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Y LAPTOP\Desktop\lossing wheight\"/>
    </mc:Choice>
  </mc:AlternateContent>
  <xr:revisionPtr revIDLastSave="0" documentId="13_ncr:1_{56454E66-C44B-46C5-AE24-5785BA8A27F0}" xr6:coauthVersionLast="47" xr6:coauthVersionMax="47" xr10:uidLastSave="{00000000-0000-0000-0000-000000000000}"/>
  <bookViews>
    <workbookView xWindow="-108" yWindow="-108" windowWidth="23256" windowHeight="12456" tabRatio="781" firstSheet="8" activeTab="11" xr2:uid="{00000000-000D-0000-FFFF-FFFF00000000}"/>
  </bookViews>
  <sheets>
    <sheet name="Read Me" sheetId="9" r:id="rId1"/>
    <sheet name="Dashboard" sheetId="1" r:id="rId2"/>
    <sheet name="Settings" sheetId="2" r:id="rId3"/>
    <sheet name="Daily Tracking" sheetId="3" r:id="rId4"/>
    <sheet name="Meal &amp; Workout Log" sheetId="11" r:id="rId5"/>
    <sheet name="Weekly Analysis" sheetId="4" r:id="rId6"/>
    <sheet name="Monthly Analysis" sheetId="5" r:id="rId7"/>
    <sheet name="Body Measurements" sheetId="6" r:id="rId8"/>
    <sheet name="Goal Planner" sheetId="7" r:id="rId9"/>
    <sheet name="Milestones" sheetId="10" r:id="rId10"/>
    <sheet name="Habit Tracker" sheetId="8" r:id="rId11"/>
    <sheet name="App Spec" sheetId="12" r:id="rId12"/>
  </sheets>
  <definedNames>
    <definedName name="dBMI">OFFSET('Daily Tracking'!$M$6,0,0,'Daily Tracking'!$P$2,1)</definedName>
    <definedName name="dDates">OFFSET('Daily Tracking'!$A$6,0,0,'Daily Tracking'!$P$2,1)</definedName>
    <definedName name="dGoal">OFFSET('Daily Tracking'!$N$6,0,0,'Daily Tracking'!$P$2,1)</definedName>
    <definedName name="dMA">OFFSET('Daily Tracking'!$D$6,0,0,'Daily Tracking'!$P$2,1)</definedName>
    <definedName name="dWeight">OFFSET('Daily Tracking'!$B$6,0,0,'Daily Tracking'!$P$2,1)</definedName>
    <definedName name="mCats">OFFSET('Monthly Analysis'!$A$6,0,0,MAX(1,'Monthly Analysis'!$L$2),1)</definedName>
    <definedName name="mLost">OFFSET('Monthly Analysis'!$F$6,0,0,MAX(1,'Monthly Analysis'!$L$2),1)</definedName>
    <definedName name="_xlnm.Print_Area" localSheetId="4">'Meal &amp; Workout Log'!$A$1:$N$205</definedName>
    <definedName name="_xlnm.Print_Area" localSheetId="9">Milestones!$A$1:$H$20</definedName>
    <definedName name="_xlnm.Print_Titles" localSheetId="7">'Body Measurements'!$1:$5</definedName>
    <definedName name="_xlnm.Print_Titles" localSheetId="3">'Daily Tracking'!$1:$5</definedName>
    <definedName name="_xlnm.Print_Titles" localSheetId="10">'Habit Tracker'!$1:$5</definedName>
    <definedName name="_xlnm.Print_Titles" localSheetId="4">'Meal &amp; Workout Log'!$1:$5</definedName>
    <definedName name="_xlnm.Print_Titles" localSheetId="6">'Monthly Analysis'!$1:$5</definedName>
    <definedName name="_xlnm.Print_Titles" localSheetId="5">'Weekly Analysis'!$1:$5</definedName>
    <definedName name="wAvg">OFFSET('Weekly Analysis'!$D$6,0,0,MAX(1,'Weekly Analysis'!$R$2),1)</definedName>
    <definedName name="wCats">OFFSET('Weekly Analysis'!$A$6,0,0,MAX(1,'Weekly Analysis'!$R$2),1)</definedName>
    <definedName name="wLoss">OFFSET('Weekly Analysis'!$E$6,0,0,MAX(1,'Weekly Analysis'!$R$2),1)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1" l="1"/>
  <c r="E32" i="1"/>
  <c r="E31" i="1"/>
  <c r="E30" i="1" a="1"/>
  <c r="E30" i="1" s="1"/>
  <c r="M29" i="1"/>
  <c r="M30" i="1" s="1"/>
  <c r="E29" i="1"/>
  <c r="M28" i="1" a="1"/>
  <c r="M28" i="1" s="1"/>
  <c r="E28" i="1"/>
  <c r="G20" i="10"/>
  <c r="E20" i="10"/>
  <c r="F20" i="10" s="1"/>
  <c r="D20" i="10"/>
  <c r="C20" i="10"/>
  <c r="B20" i="10"/>
  <c r="G19" i="10"/>
  <c r="E19" i="10"/>
  <c r="F19" i="10" s="1"/>
  <c r="D19" i="10"/>
  <c r="C19" i="10"/>
  <c r="B19" i="10"/>
  <c r="G18" i="10"/>
  <c r="E18" i="10"/>
  <c r="F18" i="10" s="1"/>
  <c r="D18" i="10"/>
  <c r="C18" i="10"/>
  <c r="B18" i="10"/>
  <c r="E17" i="10"/>
  <c r="C17" i="10"/>
  <c r="B17" i="10"/>
  <c r="D17" i="10" s="1"/>
  <c r="E16" i="10"/>
  <c r="G16" i="10" s="1"/>
  <c r="C16" i="10"/>
  <c r="B16" i="10"/>
  <c r="D16" i="10" s="1"/>
  <c r="E15" i="10"/>
  <c r="C15" i="10"/>
  <c r="B15" i="10"/>
  <c r="D15" i="10" s="1"/>
  <c r="E14" i="10"/>
  <c r="G14" i="10" s="1"/>
  <c r="C14" i="10"/>
  <c r="B14" i="10"/>
  <c r="D14" i="10" s="1"/>
  <c r="E13" i="10"/>
  <c r="F13" i="10" s="1"/>
  <c r="C13" i="10"/>
  <c r="B13" i="10"/>
  <c r="D13" i="10" s="1"/>
  <c r="E12" i="10"/>
  <c r="G12" i="10" s="1"/>
  <c r="C12" i="10"/>
  <c r="B12" i="10"/>
  <c r="D12" i="10" s="1"/>
  <c r="E11" i="10"/>
  <c r="C11" i="10"/>
  <c r="B11" i="10"/>
  <c r="D11" i="10" s="1"/>
  <c r="E10" i="10"/>
  <c r="G10" i="10" s="1"/>
  <c r="C10" i="10"/>
  <c r="B10" i="10"/>
  <c r="D10" i="10" s="1"/>
  <c r="E9" i="10"/>
  <c r="C9" i="10"/>
  <c r="B9" i="10"/>
  <c r="D9" i="10" s="1"/>
  <c r="E8" i="10"/>
  <c r="G8" i="10" s="1"/>
  <c r="C8" i="10"/>
  <c r="B8" i="10"/>
  <c r="D8" i="10" s="1"/>
  <c r="E7" i="10"/>
  <c r="C7" i="10"/>
  <c r="B7" i="10"/>
  <c r="D7" i="10" s="1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8" i="10"/>
  <c r="A7" i="10"/>
  <c r="G6" i="10"/>
  <c r="F6" i="10"/>
  <c r="E6" i="10"/>
  <c r="D6" i="10"/>
  <c r="C6" i="10"/>
  <c r="B6" i="10"/>
  <c r="A6" i="10"/>
  <c r="C25" i="9"/>
  <c r="C27" i="9"/>
  <c r="C26" i="9"/>
  <c r="E6" i="8"/>
  <c r="D7" i="8"/>
  <c r="D6" i="8"/>
  <c r="C7" i="8"/>
  <c r="B7" i="8"/>
  <c r="U735" i="3"/>
  <c r="T735" i="3"/>
  <c r="S735" i="3"/>
  <c r="R735" i="3"/>
  <c r="U734" i="3"/>
  <c r="T734" i="3"/>
  <c r="S734" i="3"/>
  <c r="R734" i="3"/>
  <c r="U733" i="3"/>
  <c r="T733" i="3"/>
  <c r="S733" i="3"/>
  <c r="R733" i="3"/>
  <c r="U732" i="3"/>
  <c r="T732" i="3"/>
  <c r="S732" i="3"/>
  <c r="R732" i="3"/>
  <c r="U731" i="3"/>
  <c r="T731" i="3"/>
  <c r="S731" i="3"/>
  <c r="R731" i="3"/>
  <c r="U730" i="3"/>
  <c r="T730" i="3"/>
  <c r="S730" i="3"/>
  <c r="R730" i="3"/>
  <c r="U729" i="3"/>
  <c r="T729" i="3"/>
  <c r="S729" i="3"/>
  <c r="R729" i="3"/>
  <c r="U728" i="3"/>
  <c r="T728" i="3"/>
  <c r="S728" i="3"/>
  <c r="R728" i="3"/>
  <c r="U727" i="3"/>
  <c r="T727" i="3"/>
  <c r="S727" i="3"/>
  <c r="R727" i="3"/>
  <c r="U726" i="3"/>
  <c r="T726" i="3"/>
  <c r="S726" i="3"/>
  <c r="R726" i="3"/>
  <c r="U725" i="3"/>
  <c r="T725" i="3"/>
  <c r="S725" i="3"/>
  <c r="R725" i="3"/>
  <c r="U724" i="3"/>
  <c r="T724" i="3"/>
  <c r="S724" i="3"/>
  <c r="R724" i="3"/>
  <c r="U723" i="3"/>
  <c r="T723" i="3"/>
  <c r="S723" i="3"/>
  <c r="R723" i="3"/>
  <c r="U722" i="3"/>
  <c r="T722" i="3"/>
  <c r="S722" i="3"/>
  <c r="R722" i="3"/>
  <c r="U721" i="3"/>
  <c r="T721" i="3"/>
  <c r="S721" i="3"/>
  <c r="R721" i="3"/>
  <c r="U720" i="3"/>
  <c r="T720" i="3"/>
  <c r="S720" i="3"/>
  <c r="R720" i="3"/>
  <c r="U719" i="3"/>
  <c r="T719" i="3"/>
  <c r="S719" i="3"/>
  <c r="R719" i="3"/>
  <c r="U718" i="3"/>
  <c r="T718" i="3"/>
  <c r="S718" i="3"/>
  <c r="R718" i="3"/>
  <c r="U717" i="3"/>
  <c r="T717" i="3"/>
  <c r="S717" i="3"/>
  <c r="R717" i="3"/>
  <c r="U716" i="3"/>
  <c r="T716" i="3"/>
  <c r="S716" i="3"/>
  <c r="R716" i="3"/>
  <c r="U715" i="3"/>
  <c r="T715" i="3"/>
  <c r="S715" i="3"/>
  <c r="R715" i="3"/>
  <c r="U714" i="3"/>
  <c r="T714" i="3"/>
  <c r="S714" i="3"/>
  <c r="R714" i="3"/>
  <c r="U713" i="3"/>
  <c r="T713" i="3"/>
  <c r="S713" i="3"/>
  <c r="R713" i="3"/>
  <c r="U712" i="3"/>
  <c r="T712" i="3"/>
  <c r="S712" i="3"/>
  <c r="R712" i="3"/>
  <c r="U711" i="3"/>
  <c r="T711" i="3"/>
  <c r="S711" i="3"/>
  <c r="R711" i="3"/>
  <c r="U710" i="3"/>
  <c r="T710" i="3"/>
  <c r="S710" i="3"/>
  <c r="R710" i="3"/>
  <c r="U709" i="3"/>
  <c r="T709" i="3"/>
  <c r="S709" i="3"/>
  <c r="R709" i="3"/>
  <c r="U708" i="3"/>
  <c r="T708" i="3"/>
  <c r="S708" i="3"/>
  <c r="R708" i="3"/>
  <c r="U707" i="3"/>
  <c r="T707" i="3"/>
  <c r="S707" i="3"/>
  <c r="R707" i="3"/>
  <c r="U706" i="3"/>
  <c r="T706" i="3"/>
  <c r="S706" i="3"/>
  <c r="R706" i="3"/>
  <c r="U705" i="3"/>
  <c r="T705" i="3"/>
  <c r="S705" i="3"/>
  <c r="R705" i="3"/>
  <c r="U704" i="3"/>
  <c r="T704" i="3"/>
  <c r="S704" i="3"/>
  <c r="R704" i="3"/>
  <c r="U703" i="3"/>
  <c r="T703" i="3"/>
  <c r="S703" i="3"/>
  <c r="R703" i="3"/>
  <c r="U702" i="3"/>
  <c r="T702" i="3"/>
  <c r="S702" i="3"/>
  <c r="R702" i="3"/>
  <c r="U701" i="3"/>
  <c r="T701" i="3"/>
  <c r="S701" i="3"/>
  <c r="R701" i="3"/>
  <c r="U700" i="3"/>
  <c r="T700" i="3"/>
  <c r="S700" i="3"/>
  <c r="R700" i="3"/>
  <c r="U699" i="3"/>
  <c r="T699" i="3"/>
  <c r="S699" i="3"/>
  <c r="R699" i="3"/>
  <c r="U698" i="3"/>
  <c r="T698" i="3"/>
  <c r="S698" i="3"/>
  <c r="R698" i="3"/>
  <c r="U697" i="3"/>
  <c r="T697" i="3"/>
  <c r="S697" i="3"/>
  <c r="R697" i="3"/>
  <c r="U696" i="3"/>
  <c r="T696" i="3"/>
  <c r="S696" i="3"/>
  <c r="R696" i="3"/>
  <c r="U695" i="3"/>
  <c r="T695" i="3"/>
  <c r="S695" i="3"/>
  <c r="R695" i="3"/>
  <c r="U694" i="3"/>
  <c r="T694" i="3"/>
  <c r="S694" i="3"/>
  <c r="R694" i="3"/>
  <c r="U693" i="3"/>
  <c r="T693" i="3"/>
  <c r="S693" i="3"/>
  <c r="R693" i="3"/>
  <c r="U692" i="3"/>
  <c r="T692" i="3"/>
  <c r="S692" i="3"/>
  <c r="R692" i="3"/>
  <c r="U691" i="3"/>
  <c r="T691" i="3"/>
  <c r="S691" i="3"/>
  <c r="R691" i="3"/>
  <c r="U690" i="3"/>
  <c r="T690" i="3"/>
  <c r="S690" i="3"/>
  <c r="R690" i="3"/>
  <c r="U689" i="3"/>
  <c r="T689" i="3"/>
  <c r="S689" i="3"/>
  <c r="R689" i="3"/>
  <c r="U688" i="3"/>
  <c r="T688" i="3"/>
  <c r="S688" i="3"/>
  <c r="R688" i="3"/>
  <c r="U687" i="3"/>
  <c r="T687" i="3"/>
  <c r="S687" i="3"/>
  <c r="R687" i="3"/>
  <c r="U686" i="3"/>
  <c r="T686" i="3"/>
  <c r="S686" i="3"/>
  <c r="R686" i="3"/>
  <c r="U685" i="3"/>
  <c r="T685" i="3"/>
  <c r="S685" i="3"/>
  <c r="R685" i="3"/>
  <c r="U684" i="3"/>
  <c r="T684" i="3"/>
  <c r="S684" i="3"/>
  <c r="R684" i="3"/>
  <c r="U683" i="3"/>
  <c r="T683" i="3"/>
  <c r="S683" i="3"/>
  <c r="R683" i="3"/>
  <c r="U682" i="3"/>
  <c r="T682" i="3"/>
  <c r="S682" i="3"/>
  <c r="R682" i="3"/>
  <c r="U681" i="3"/>
  <c r="T681" i="3"/>
  <c r="S681" i="3"/>
  <c r="R681" i="3"/>
  <c r="U680" i="3"/>
  <c r="T680" i="3"/>
  <c r="S680" i="3"/>
  <c r="R680" i="3"/>
  <c r="U679" i="3"/>
  <c r="T679" i="3"/>
  <c r="S679" i="3"/>
  <c r="R679" i="3"/>
  <c r="U678" i="3"/>
  <c r="T678" i="3"/>
  <c r="S678" i="3"/>
  <c r="R678" i="3"/>
  <c r="U677" i="3"/>
  <c r="T677" i="3"/>
  <c r="S677" i="3"/>
  <c r="R677" i="3"/>
  <c r="U676" i="3"/>
  <c r="T676" i="3"/>
  <c r="S676" i="3"/>
  <c r="R676" i="3"/>
  <c r="U675" i="3"/>
  <c r="T675" i="3"/>
  <c r="S675" i="3"/>
  <c r="R675" i="3"/>
  <c r="U674" i="3"/>
  <c r="T674" i="3"/>
  <c r="S674" i="3"/>
  <c r="R674" i="3"/>
  <c r="U673" i="3"/>
  <c r="T673" i="3"/>
  <c r="S673" i="3"/>
  <c r="R673" i="3"/>
  <c r="U672" i="3"/>
  <c r="T672" i="3"/>
  <c r="S672" i="3"/>
  <c r="R672" i="3"/>
  <c r="U671" i="3"/>
  <c r="T671" i="3"/>
  <c r="S671" i="3"/>
  <c r="R671" i="3"/>
  <c r="U670" i="3"/>
  <c r="T670" i="3"/>
  <c r="S670" i="3"/>
  <c r="R670" i="3"/>
  <c r="U669" i="3"/>
  <c r="T669" i="3"/>
  <c r="S669" i="3"/>
  <c r="R669" i="3"/>
  <c r="U668" i="3"/>
  <c r="T668" i="3"/>
  <c r="S668" i="3"/>
  <c r="R668" i="3"/>
  <c r="U667" i="3"/>
  <c r="T667" i="3"/>
  <c r="S667" i="3"/>
  <c r="R667" i="3"/>
  <c r="U666" i="3"/>
  <c r="T666" i="3"/>
  <c r="S666" i="3"/>
  <c r="R666" i="3"/>
  <c r="U665" i="3"/>
  <c r="T665" i="3"/>
  <c r="S665" i="3"/>
  <c r="R665" i="3"/>
  <c r="U664" i="3"/>
  <c r="T664" i="3"/>
  <c r="S664" i="3"/>
  <c r="R664" i="3"/>
  <c r="U663" i="3"/>
  <c r="T663" i="3"/>
  <c r="S663" i="3"/>
  <c r="R663" i="3"/>
  <c r="U662" i="3"/>
  <c r="T662" i="3"/>
  <c r="S662" i="3"/>
  <c r="R662" i="3"/>
  <c r="U661" i="3"/>
  <c r="T661" i="3"/>
  <c r="S661" i="3"/>
  <c r="R661" i="3"/>
  <c r="U660" i="3"/>
  <c r="T660" i="3"/>
  <c r="S660" i="3"/>
  <c r="R660" i="3"/>
  <c r="U659" i="3"/>
  <c r="T659" i="3"/>
  <c r="S659" i="3"/>
  <c r="R659" i="3"/>
  <c r="U658" i="3"/>
  <c r="T658" i="3"/>
  <c r="S658" i="3"/>
  <c r="R658" i="3"/>
  <c r="U657" i="3"/>
  <c r="T657" i="3"/>
  <c r="S657" i="3"/>
  <c r="R657" i="3"/>
  <c r="U656" i="3"/>
  <c r="T656" i="3"/>
  <c r="S656" i="3"/>
  <c r="R656" i="3"/>
  <c r="U655" i="3"/>
  <c r="T655" i="3"/>
  <c r="S655" i="3"/>
  <c r="R655" i="3"/>
  <c r="U654" i="3"/>
  <c r="T654" i="3"/>
  <c r="S654" i="3"/>
  <c r="R654" i="3"/>
  <c r="U653" i="3"/>
  <c r="T653" i="3"/>
  <c r="S653" i="3"/>
  <c r="R653" i="3"/>
  <c r="U652" i="3"/>
  <c r="T652" i="3"/>
  <c r="S652" i="3"/>
  <c r="R652" i="3"/>
  <c r="U651" i="3"/>
  <c r="T651" i="3"/>
  <c r="S651" i="3"/>
  <c r="R651" i="3"/>
  <c r="U650" i="3"/>
  <c r="T650" i="3"/>
  <c r="S650" i="3"/>
  <c r="R650" i="3"/>
  <c r="U649" i="3"/>
  <c r="T649" i="3"/>
  <c r="S649" i="3"/>
  <c r="R649" i="3"/>
  <c r="U648" i="3"/>
  <c r="T648" i="3"/>
  <c r="S648" i="3"/>
  <c r="R648" i="3"/>
  <c r="U647" i="3"/>
  <c r="T647" i="3"/>
  <c r="S647" i="3"/>
  <c r="R647" i="3"/>
  <c r="U646" i="3"/>
  <c r="T646" i="3"/>
  <c r="S646" i="3"/>
  <c r="R646" i="3"/>
  <c r="U645" i="3"/>
  <c r="T645" i="3"/>
  <c r="S645" i="3"/>
  <c r="R645" i="3"/>
  <c r="U644" i="3"/>
  <c r="T644" i="3"/>
  <c r="S644" i="3"/>
  <c r="R644" i="3"/>
  <c r="U643" i="3"/>
  <c r="T643" i="3"/>
  <c r="S643" i="3"/>
  <c r="R643" i="3"/>
  <c r="U642" i="3"/>
  <c r="T642" i="3"/>
  <c r="S642" i="3"/>
  <c r="R642" i="3"/>
  <c r="U641" i="3"/>
  <c r="T641" i="3"/>
  <c r="S641" i="3"/>
  <c r="R641" i="3"/>
  <c r="U640" i="3"/>
  <c r="T640" i="3"/>
  <c r="S640" i="3"/>
  <c r="R640" i="3"/>
  <c r="U639" i="3"/>
  <c r="T639" i="3"/>
  <c r="S639" i="3"/>
  <c r="R639" i="3"/>
  <c r="U638" i="3"/>
  <c r="T638" i="3"/>
  <c r="S638" i="3"/>
  <c r="R638" i="3"/>
  <c r="U637" i="3"/>
  <c r="T637" i="3"/>
  <c r="S637" i="3"/>
  <c r="R637" i="3"/>
  <c r="U636" i="3"/>
  <c r="T636" i="3"/>
  <c r="S636" i="3"/>
  <c r="R636" i="3"/>
  <c r="U635" i="3"/>
  <c r="T635" i="3"/>
  <c r="S635" i="3"/>
  <c r="R635" i="3"/>
  <c r="U634" i="3"/>
  <c r="T634" i="3"/>
  <c r="S634" i="3"/>
  <c r="R634" i="3"/>
  <c r="U633" i="3"/>
  <c r="T633" i="3"/>
  <c r="S633" i="3"/>
  <c r="R633" i="3"/>
  <c r="U632" i="3"/>
  <c r="T632" i="3"/>
  <c r="S632" i="3"/>
  <c r="R632" i="3"/>
  <c r="U631" i="3"/>
  <c r="T631" i="3"/>
  <c r="S631" i="3"/>
  <c r="R631" i="3"/>
  <c r="U630" i="3"/>
  <c r="T630" i="3"/>
  <c r="S630" i="3"/>
  <c r="R630" i="3"/>
  <c r="U629" i="3"/>
  <c r="T629" i="3"/>
  <c r="S629" i="3"/>
  <c r="R629" i="3"/>
  <c r="U628" i="3"/>
  <c r="T628" i="3"/>
  <c r="S628" i="3"/>
  <c r="R628" i="3"/>
  <c r="U627" i="3"/>
  <c r="T627" i="3"/>
  <c r="S627" i="3"/>
  <c r="R627" i="3"/>
  <c r="U626" i="3"/>
  <c r="T626" i="3"/>
  <c r="S626" i="3"/>
  <c r="R626" i="3"/>
  <c r="U625" i="3"/>
  <c r="T625" i="3"/>
  <c r="S625" i="3"/>
  <c r="R625" i="3"/>
  <c r="U624" i="3"/>
  <c r="T624" i="3"/>
  <c r="S624" i="3"/>
  <c r="R624" i="3"/>
  <c r="U623" i="3"/>
  <c r="T623" i="3"/>
  <c r="S623" i="3"/>
  <c r="R623" i="3"/>
  <c r="U622" i="3"/>
  <c r="T622" i="3"/>
  <c r="S622" i="3"/>
  <c r="R622" i="3"/>
  <c r="U621" i="3"/>
  <c r="T621" i="3"/>
  <c r="S621" i="3"/>
  <c r="R621" i="3"/>
  <c r="U620" i="3"/>
  <c r="T620" i="3"/>
  <c r="S620" i="3"/>
  <c r="R620" i="3"/>
  <c r="U619" i="3"/>
  <c r="T619" i="3"/>
  <c r="S619" i="3"/>
  <c r="R619" i="3"/>
  <c r="U618" i="3"/>
  <c r="T618" i="3"/>
  <c r="S618" i="3"/>
  <c r="R618" i="3"/>
  <c r="U617" i="3"/>
  <c r="T617" i="3"/>
  <c r="S617" i="3"/>
  <c r="R617" i="3"/>
  <c r="U616" i="3"/>
  <c r="T616" i="3"/>
  <c r="S616" i="3"/>
  <c r="R616" i="3"/>
  <c r="U615" i="3"/>
  <c r="T615" i="3"/>
  <c r="S615" i="3"/>
  <c r="R615" i="3"/>
  <c r="U614" i="3"/>
  <c r="T614" i="3"/>
  <c r="S614" i="3"/>
  <c r="R614" i="3"/>
  <c r="U613" i="3"/>
  <c r="T613" i="3"/>
  <c r="S613" i="3"/>
  <c r="R613" i="3"/>
  <c r="U612" i="3"/>
  <c r="T612" i="3"/>
  <c r="S612" i="3"/>
  <c r="R612" i="3"/>
  <c r="U611" i="3"/>
  <c r="T611" i="3"/>
  <c r="S611" i="3"/>
  <c r="R611" i="3"/>
  <c r="U610" i="3"/>
  <c r="T610" i="3"/>
  <c r="S610" i="3"/>
  <c r="R610" i="3"/>
  <c r="U609" i="3"/>
  <c r="T609" i="3"/>
  <c r="S609" i="3"/>
  <c r="R609" i="3"/>
  <c r="U608" i="3"/>
  <c r="T608" i="3"/>
  <c r="S608" i="3"/>
  <c r="R608" i="3"/>
  <c r="U607" i="3"/>
  <c r="T607" i="3"/>
  <c r="S607" i="3"/>
  <c r="R607" i="3"/>
  <c r="U606" i="3"/>
  <c r="T606" i="3"/>
  <c r="S606" i="3"/>
  <c r="R606" i="3"/>
  <c r="U605" i="3"/>
  <c r="T605" i="3"/>
  <c r="S605" i="3"/>
  <c r="R605" i="3"/>
  <c r="U604" i="3"/>
  <c r="T604" i="3"/>
  <c r="S604" i="3"/>
  <c r="R604" i="3"/>
  <c r="U603" i="3"/>
  <c r="T603" i="3"/>
  <c r="S603" i="3"/>
  <c r="R603" i="3"/>
  <c r="U602" i="3"/>
  <c r="T602" i="3"/>
  <c r="S602" i="3"/>
  <c r="R602" i="3"/>
  <c r="U601" i="3"/>
  <c r="T601" i="3"/>
  <c r="S601" i="3"/>
  <c r="R601" i="3"/>
  <c r="U600" i="3"/>
  <c r="T600" i="3"/>
  <c r="S600" i="3"/>
  <c r="R600" i="3"/>
  <c r="U599" i="3"/>
  <c r="T599" i="3"/>
  <c r="S599" i="3"/>
  <c r="R599" i="3"/>
  <c r="U598" i="3"/>
  <c r="T598" i="3"/>
  <c r="S598" i="3"/>
  <c r="R598" i="3"/>
  <c r="U597" i="3"/>
  <c r="T597" i="3"/>
  <c r="S597" i="3"/>
  <c r="R597" i="3"/>
  <c r="U596" i="3"/>
  <c r="T596" i="3"/>
  <c r="S596" i="3"/>
  <c r="R596" i="3"/>
  <c r="U595" i="3"/>
  <c r="T595" i="3"/>
  <c r="S595" i="3"/>
  <c r="R595" i="3"/>
  <c r="U594" i="3"/>
  <c r="T594" i="3"/>
  <c r="S594" i="3"/>
  <c r="R594" i="3"/>
  <c r="U593" i="3"/>
  <c r="T593" i="3"/>
  <c r="S593" i="3"/>
  <c r="R593" i="3"/>
  <c r="U592" i="3"/>
  <c r="T592" i="3"/>
  <c r="S592" i="3"/>
  <c r="R592" i="3"/>
  <c r="U591" i="3"/>
  <c r="T591" i="3"/>
  <c r="S591" i="3"/>
  <c r="R591" i="3"/>
  <c r="U590" i="3"/>
  <c r="T590" i="3"/>
  <c r="S590" i="3"/>
  <c r="R590" i="3"/>
  <c r="U589" i="3"/>
  <c r="T589" i="3"/>
  <c r="S589" i="3"/>
  <c r="R589" i="3"/>
  <c r="U588" i="3"/>
  <c r="T588" i="3"/>
  <c r="S588" i="3"/>
  <c r="R588" i="3"/>
  <c r="U587" i="3"/>
  <c r="T587" i="3"/>
  <c r="S587" i="3"/>
  <c r="R587" i="3"/>
  <c r="U586" i="3"/>
  <c r="T586" i="3"/>
  <c r="S586" i="3"/>
  <c r="R586" i="3"/>
  <c r="U585" i="3"/>
  <c r="T585" i="3"/>
  <c r="S585" i="3"/>
  <c r="R585" i="3"/>
  <c r="U584" i="3"/>
  <c r="T584" i="3"/>
  <c r="S584" i="3"/>
  <c r="R584" i="3"/>
  <c r="U583" i="3"/>
  <c r="T583" i="3"/>
  <c r="S583" i="3"/>
  <c r="R583" i="3"/>
  <c r="U582" i="3"/>
  <c r="T582" i="3"/>
  <c r="S582" i="3"/>
  <c r="R582" i="3"/>
  <c r="U581" i="3"/>
  <c r="T581" i="3"/>
  <c r="S581" i="3"/>
  <c r="R581" i="3"/>
  <c r="U580" i="3"/>
  <c r="T580" i="3"/>
  <c r="S580" i="3"/>
  <c r="R580" i="3"/>
  <c r="U579" i="3"/>
  <c r="T579" i="3"/>
  <c r="S579" i="3"/>
  <c r="R579" i="3"/>
  <c r="U578" i="3"/>
  <c r="T578" i="3"/>
  <c r="S578" i="3"/>
  <c r="R578" i="3"/>
  <c r="U577" i="3"/>
  <c r="T577" i="3"/>
  <c r="S577" i="3"/>
  <c r="R577" i="3"/>
  <c r="U576" i="3"/>
  <c r="T576" i="3"/>
  <c r="S576" i="3"/>
  <c r="R576" i="3"/>
  <c r="U575" i="3"/>
  <c r="T575" i="3"/>
  <c r="S575" i="3"/>
  <c r="R575" i="3"/>
  <c r="U574" i="3"/>
  <c r="T574" i="3"/>
  <c r="S574" i="3"/>
  <c r="R574" i="3"/>
  <c r="U573" i="3"/>
  <c r="T573" i="3"/>
  <c r="S573" i="3"/>
  <c r="R573" i="3"/>
  <c r="U572" i="3"/>
  <c r="T572" i="3"/>
  <c r="S572" i="3"/>
  <c r="R572" i="3"/>
  <c r="U571" i="3"/>
  <c r="T571" i="3"/>
  <c r="S571" i="3"/>
  <c r="R571" i="3"/>
  <c r="U570" i="3"/>
  <c r="T570" i="3"/>
  <c r="S570" i="3"/>
  <c r="R570" i="3"/>
  <c r="U569" i="3"/>
  <c r="T569" i="3"/>
  <c r="S569" i="3"/>
  <c r="R569" i="3"/>
  <c r="U568" i="3"/>
  <c r="T568" i="3"/>
  <c r="S568" i="3"/>
  <c r="R568" i="3"/>
  <c r="U567" i="3"/>
  <c r="T567" i="3"/>
  <c r="S567" i="3"/>
  <c r="R567" i="3"/>
  <c r="U566" i="3"/>
  <c r="T566" i="3"/>
  <c r="S566" i="3"/>
  <c r="R566" i="3"/>
  <c r="U565" i="3"/>
  <c r="T565" i="3"/>
  <c r="S565" i="3"/>
  <c r="R565" i="3"/>
  <c r="U564" i="3"/>
  <c r="T564" i="3"/>
  <c r="S564" i="3"/>
  <c r="R564" i="3"/>
  <c r="U563" i="3"/>
  <c r="T563" i="3"/>
  <c r="S563" i="3"/>
  <c r="R563" i="3"/>
  <c r="U562" i="3"/>
  <c r="T562" i="3"/>
  <c r="S562" i="3"/>
  <c r="R562" i="3"/>
  <c r="U561" i="3"/>
  <c r="T561" i="3"/>
  <c r="S561" i="3"/>
  <c r="R561" i="3"/>
  <c r="U560" i="3"/>
  <c r="T560" i="3"/>
  <c r="S560" i="3"/>
  <c r="R560" i="3"/>
  <c r="U559" i="3"/>
  <c r="T559" i="3"/>
  <c r="S559" i="3"/>
  <c r="R559" i="3"/>
  <c r="U558" i="3"/>
  <c r="T558" i="3"/>
  <c r="S558" i="3"/>
  <c r="R558" i="3"/>
  <c r="U557" i="3"/>
  <c r="T557" i="3"/>
  <c r="S557" i="3"/>
  <c r="R557" i="3"/>
  <c r="U556" i="3"/>
  <c r="T556" i="3"/>
  <c r="S556" i="3"/>
  <c r="R556" i="3"/>
  <c r="U555" i="3"/>
  <c r="T555" i="3"/>
  <c r="S555" i="3"/>
  <c r="R555" i="3"/>
  <c r="U554" i="3"/>
  <c r="T554" i="3"/>
  <c r="S554" i="3"/>
  <c r="R554" i="3"/>
  <c r="U553" i="3"/>
  <c r="T553" i="3"/>
  <c r="S553" i="3"/>
  <c r="R553" i="3"/>
  <c r="U552" i="3"/>
  <c r="T552" i="3"/>
  <c r="S552" i="3"/>
  <c r="R552" i="3"/>
  <c r="U551" i="3"/>
  <c r="T551" i="3"/>
  <c r="S551" i="3"/>
  <c r="R551" i="3"/>
  <c r="U550" i="3"/>
  <c r="T550" i="3"/>
  <c r="S550" i="3"/>
  <c r="R550" i="3"/>
  <c r="U549" i="3"/>
  <c r="T549" i="3"/>
  <c r="S549" i="3"/>
  <c r="R549" i="3"/>
  <c r="U548" i="3"/>
  <c r="T548" i="3"/>
  <c r="S548" i="3"/>
  <c r="R548" i="3"/>
  <c r="U547" i="3"/>
  <c r="T547" i="3"/>
  <c r="S547" i="3"/>
  <c r="R547" i="3"/>
  <c r="U546" i="3"/>
  <c r="T546" i="3"/>
  <c r="S546" i="3"/>
  <c r="R546" i="3"/>
  <c r="U545" i="3"/>
  <c r="T545" i="3"/>
  <c r="S545" i="3"/>
  <c r="R545" i="3"/>
  <c r="U544" i="3"/>
  <c r="T544" i="3"/>
  <c r="S544" i="3"/>
  <c r="R544" i="3"/>
  <c r="U543" i="3"/>
  <c r="T543" i="3"/>
  <c r="S543" i="3"/>
  <c r="R543" i="3"/>
  <c r="U542" i="3"/>
  <c r="T542" i="3"/>
  <c r="S542" i="3"/>
  <c r="R542" i="3"/>
  <c r="U541" i="3"/>
  <c r="T541" i="3"/>
  <c r="S541" i="3"/>
  <c r="R541" i="3"/>
  <c r="U540" i="3"/>
  <c r="T540" i="3"/>
  <c r="S540" i="3"/>
  <c r="R540" i="3"/>
  <c r="U539" i="3"/>
  <c r="T539" i="3"/>
  <c r="S539" i="3"/>
  <c r="R539" i="3"/>
  <c r="U538" i="3"/>
  <c r="T538" i="3"/>
  <c r="S538" i="3"/>
  <c r="R538" i="3"/>
  <c r="U537" i="3"/>
  <c r="T537" i="3"/>
  <c r="S537" i="3"/>
  <c r="R537" i="3"/>
  <c r="U536" i="3"/>
  <c r="T536" i="3"/>
  <c r="S536" i="3"/>
  <c r="R536" i="3"/>
  <c r="U535" i="3"/>
  <c r="T535" i="3"/>
  <c r="S535" i="3"/>
  <c r="R535" i="3"/>
  <c r="U534" i="3"/>
  <c r="T534" i="3"/>
  <c r="S534" i="3"/>
  <c r="R534" i="3"/>
  <c r="U533" i="3"/>
  <c r="T533" i="3"/>
  <c r="S533" i="3"/>
  <c r="R533" i="3"/>
  <c r="U532" i="3"/>
  <c r="T532" i="3"/>
  <c r="S532" i="3"/>
  <c r="R532" i="3"/>
  <c r="U531" i="3"/>
  <c r="T531" i="3"/>
  <c r="S531" i="3"/>
  <c r="R531" i="3"/>
  <c r="U530" i="3"/>
  <c r="T530" i="3"/>
  <c r="S530" i="3"/>
  <c r="R530" i="3"/>
  <c r="U529" i="3"/>
  <c r="T529" i="3"/>
  <c r="S529" i="3"/>
  <c r="R529" i="3"/>
  <c r="U528" i="3"/>
  <c r="T528" i="3"/>
  <c r="S528" i="3"/>
  <c r="R528" i="3"/>
  <c r="U527" i="3"/>
  <c r="T527" i="3"/>
  <c r="S527" i="3"/>
  <c r="R527" i="3"/>
  <c r="U526" i="3"/>
  <c r="T526" i="3"/>
  <c r="S526" i="3"/>
  <c r="R526" i="3"/>
  <c r="U525" i="3"/>
  <c r="T525" i="3"/>
  <c r="S525" i="3"/>
  <c r="R525" i="3"/>
  <c r="U524" i="3"/>
  <c r="T524" i="3"/>
  <c r="S524" i="3"/>
  <c r="R524" i="3"/>
  <c r="U523" i="3"/>
  <c r="T523" i="3"/>
  <c r="S523" i="3"/>
  <c r="R523" i="3"/>
  <c r="U522" i="3"/>
  <c r="T522" i="3"/>
  <c r="S522" i="3"/>
  <c r="R522" i="3"/>
  <c r="U521" i="3"/>
  <c r="T521" i="3"/>
  <c r="S521" i="3"/>
  <c r="R521" i="3"/>
  <c r="U520" i="3"/>
  <c r="T520" i="3"/>
  <c r="S520" i="3"/>
  <c r="R520" i="3"/>
  <c r="U519" i="3"/>
  <c r="T519" i="3"/>
  <c r="S519" i="3"/>
  <c r="R519" i="3"/>
  <c r="U518" i="3"/>
  <c r="T518" i="3"/>
  <c r="S518" i="3"/>
  <c r="R518" i="3"/>
  <c r="U517" i="3"/>
  <c r="T517" i="3"/>
  <c r="S517" i="3"/>
  <c r="R517" i="3"/>
  <c r="U516" i="3"/>
  <c r="T516" i="3"/>
  <c r="S516" i="3"/>
  <c r="R516" i="3"/>
  <c r="U515" i="3"/>
  <c r="T515" i="3"/>
  <c r="S515" i="3"/>
  <c r="R515" i="3"/>
  <c r="U514" i="3"/>
  <c r="T514" i="3"/>
  <c r="S514" i="3"/>
  <c r="R514" i="3"/>
  <c r="U513" i="3"/>
  <c r="T513" i="3"/>
  <c r="S513" i="3"/>
  <c r="R513" i="3"/>
  <c r="U512" i="3"/>
  <c r="T512" i="3"/>
  <c r="S512" i="3"/>
  <c r="R512" i="3"/>
  <c r="U511" i="3"/>
  <c r="T511" i="3"/>
  <c r="S511" i="3"/>
  <c r="R511" i="3"/>
  <c r="U510" i="3"/>
  <c r="T510" i="3"/>
  <c r="S510" i="3"/>
  <c r="R510" i="3"/>
  <c r="U509" i="3"/>
  <c r="T509" i="3"/>
  <c r="S509" i="3"/>
  <c r="R509" i="3"/>
  <c r="U508" i="3"/>
  <c r="T508" i="3"/>
  <c r="S508" i="3"/>
  <c r="R508" i="3"/>
  <c r="U507" i="3"/>
  <c r="T507" i="3"/>
  <c r="S507" i="3"/>
  <c r="R507" i="3"/>
  <c r="U506" i="3"/>
  <c r="T506" i="3"/>
  <c r="S506" i="3"/>
  <c r="R506" i="3"/>
  <c r="U505" i="3"/>
  <c r="T505" i="3"/>
  <c r="S505" i="3"/>
  <c r="R505" i="3"/>
  <c r="U504" i="3"/>
  <c r="T504" i="3"/>
  <c r="S504" i="3"/>
  <c r="R504" i="3"/>
  <c r="U503" i="3"/>
  <c r="T503" i="3"/>
  <c r="S503" i="3"/>
  <c r="R503" i="3"/>
  <c r="U502" i="3"/>
  <c r="T502" i="3"/>
  <c r="S502" i="3"/>
  <c r="R502" i="3"/>
  <c r="U501" i="3"/>
  <c r="T501" i="3"/>
  <c r="S501" i="3"/>
  <c r="R501" i="3"/>
  <c r="U500" i="3"/>
  <c r="T500" i="3"/>
  <c r="S500" i="3"/>
  <c r="R500" i="3"/>
  <c r="U499" i="3"/>
  <c r="T499" i="3"/>
  <c r="S499" i="3"/>
  <c r="R499" i="3"/>
  <c r="U498" i="3"/>
  <c r="T498" i="3"/>
  <c r="S498" i="3"/>
  <c r="R498" i="3"/>
  <c r="U497" i="3"/>
  <c r="T497" i="3"/>
  <c r="S497" i="3"/>
  <c r="R497" i="3"/>
  <c r="U496" i="3"/>
  <c r="T496" i="3"/>
  <c r="S496" i="3"/>
  <c r="R496" i="3"/>
  <c r="U495" i="3"/>
  <c r="T495" i="3"/>
  <c r="S495" i="3"/>
  <c r="R495" i="3"/>
  <c r="U494" i="3"/>
  <c r="T494" i="3"/>
  <c r="S494" i="3"/>
  <c r="R494" i="3"/>
  <c r="U493" i="3"/>
  <c r="T493" i="3"/>
  <c r="S493" i="3"/>
  <c r="R493" i="3"/>
  <c r="U492" i="3"/>
  <c r="T492" i="3"/>
  <c r="S492" i="3"/>
  <c r="R492" i="3"/>
  <c r="U491" i="3"/>
  <c r="T491" i="3"/>
  <c r="S491" i="3"/>
  <c r="R491" i="3"/>
  <c r="U490" i="3"/>
  <c r="T490" i="3"/>
  <c r="S490" i="3"/>
  <c r="R490" i="3"/>
  <c r="U489" i="3"/>
  <c r="T489" i="3"/>
  <c r="S489" i="3"/>
  <c r="R489" i="3"/>
  <c r="U488" i="3"/>
  <c r="T488" i="3"/>
  <c r="S488" i="3"/>
  <c r="R488" i="3"/>
  <c r="U487" i="3"/>
  <c r="T487" i="3"/>
  <c r="S487" i="3"/>
  <c r="R487" i="3"/>
  <c r="U486" i="3"/>
  <c r="T486" i="3"/>
  <c r="S486" i="3"/>
  <c r="R486" i="3"/>
  <c r="U485" i="3"/>
  <c r="T485" i="3"/>
  <c r="S485" i="3"/>
  <c r="R485" i="3"/>
  <c r="U484" i="3"/>
  <c r="T484" i="3"/>
  <c r="S484" i="3"/>
  <c r="R484" i="3"/>
  <c r="U483" i="3"/>
  <c r="T483" i="3"/>
  <c r="S483" i="3"/>
  <c r="R483" i="3"/>
  <c r="U482" i="3"/>
  <c r="T482" i="3"/>
  <c r="S482" i="3"/>
  <c r="R482" i="3"/>
  <c r="U481" i="3"/>
  <c r="T481" i="3"/>
  <c r="S481" i="3"/>
  <c r="R481" i="3"/>
  <c r="U480" i="3"/>
  <c r="T480" i="3"/>
  <c r="S480" i="3"/>
  <c r="R480" i="3"/>
  <c r="U479" i="3"/>
  <c r="T479" i="3"/>
  <c r="S479" i="3"/>
  <c r="R479" i="3"/>
  <c r="U478" i="3"/>
  <c r="T478" i="3"/>
  <c r="S478" i="3"/>
  <c r="R478" i="3"/>
  <c r="U477" i="3"/>
  <c r="T477" i="3"/>
  <c r="S477" i="3"/>
  <c r="R477" i="3"/>
  <c r="U476" i="3"/>
  <c r="T476" i="3"/>
  <c r="S476" i="3"/>
  <c r="R476" i="3"/>
  <c r="U475" i="3"/>
  <c r="T475" i="3"/>
  <c r="S475" i="3"/>
  <c r="R475" i="3"/>
  <c r="U474" i="3"/>
  <c r="T474" i="3"/>
  <c r="S474" i="3"/>
  <c r="R474" i="3"/>
  <c r="U473" i="3"/>
  <c r="T473" i="3"/>
  <c r="S473" i="3"/>
  <c r="R473" i="3"/>
  <c r="U472" i="3"/>
  <c r="T472" i="3"/>
  <c r="S472" i="3"/>
  <c r="R472" i="3"/>
  <c r="U471" i="3"/>
  <c r="T471" i="3"/>
  <c r="S471" i="3"/>
  <c r="R471" i="3"/>
  <c r="U470" i="3"/>
  <c r="T470" i="3"/>
  <c r="S470" i="3"/>
  <c r="R470" i="3"/>
  <c r="U469" i="3"/>
  <c r="T469" i="3"/>
  <c r="S469" i="3"/>
  <c r="R469" i="3"/>
  <c r="U468" i="3"/>
  <c r="T468" i="3"/>
  <c r="S468" i="3"/>
  <c r="R468" i="3"/>
  <c r="U467" i="3"/>
  <c r="T467" i="3"/>
  <c r="S467" i="3"/>
  <c r="R467" i="3"/>
  <c r="U466" i="3"/>
  <c r="T466" i="3"/>
  <c r="S466" i="3"/>
  <c r="R466" i="3"/>
  <c r="U465" i="3"/>
  <c r="T465" i="3"/>
  <c r="S465" i="3"/>
  <c r="R465" i="3"/>
  <c r="U464" i="3"/>
  <c r="T464" i="3"/>
  <c r="S464" i="3"/>
  <c r="R464" i="3"/>
  <c r="U463" i="3"/>
  <c r="T463" i="3"/>
  <c r="S463" i="3"/>
  <c r="R463" i="3"/>
  <c r="U462" i="3"/>
  <c r="T462" i="3"/>
  <c r="S462" i="3"/>
  <c r="R462" i="3"/>
  <c r="U461" i="3"/>
  <c r="T461" i="3"/>
  <c r="S461" i="3"/>
  <c r="R461" i="3"/>
  <c r="U460" i="3"/>
  <c r="T460" i="3"/>
  <c r="S460" i="3"/>
  <c r="R460" i="3"/>
  <c r="U459" i="3"/>
  <c r="T459" i="3"/>
  <c r="S459" i="3"/>
  <c r="R459" i="3"/>
  <c r="U458" i="3"/>
  <c r="T458" i="3"/>
  <c r="S458" i="3"/>
  <c r="R458" i="3"/>
  <c r="U457" i="3"/>
  <c r="T457" i="3"/>
  <c r="S457" i="3"/>
  <c r="R457" i="3"/>
  <c r="U456" i="3"/>
  <c r="T456" i="3"/>
  <c r="S456" i="3"/>
  <c r="R456" i="3"/>
  <c r="U455" i="3"/>
  <c r="T455" i="3"/>
  <c r="S455" i="3"/>
  <c r="R455" i="3"/>
  <c r="U454" i="3"/>
  <c r="T454" i="3"/>
  <c r="S454" i="3"/>
  <c r="R454" i="3"/>
  <c r="U453" i="3"/>
  <c r="T453" i="3"/>
  <c r="S453" i="3"/>
  <c r="R453" i="3"/>
  <c r="U452" i="3"/>
  <c r="T452" i="3"/>
  <c r="S452" i="3"/>
  <c r="R452" i="3"/>
  <c r="U451" i="3"/>
  <c r="T451" i="3"/>
  <c r="S451" i="3"/>
  <c r="R451" i="3"/>
  <c r="U450" i="3"/>
  <c r="T450" i="3"/>
  <c r="S450" i="3"/>
  <c r="R450" i="3"/>
  <c r="U449" i="3"/>
  <c r="T449" i="3"/>
  <c r="S449" i="3"/>
  <c r="R449" i="3"/>
  <c r="U448" i="3"/>
  <c r="T448" i="3"/>
  <c r="S448" i="3"/>
  <c r="R448" i="3"/>
  <c r="U447" i="3"/>
  <c r="T447" i="3"/>
  <c r="S447" i="3"/>
  <c r="R447" i="3"/>
  <c r="U446" i="3"/>
  <c r="T446" i="3"/>
  <c r="S446" i="3"/>
  <c r="R446" i="3"/>
  <c r="U445" i="3"/>
  <c r="T445" i="3"/>
  <c r="S445" i="3"/>
  <c r="R445" i="3"/>
  <c r="U444" i="3"/>
  <c r="T444" i="3"/>
  <c r="S444" i="3"/>
  <c r="R444" i="3"/>
  <c r="U443" i="3"/>
  <c r="T443" i="3"/>
  <c r="S443" i="3"/>
  <c r="R443" i="3"/>
  <c r="U442" i="3"/>
  <c r="T442" i="3"/>
  <c r="S442" i="3"/>
  <c r="R442" i="3"/>
  <c r="U441" i="3"/>
  <c r="T441" i="3"/>
  <c r="S441" i="3"/>
  <c r="R441" i="3"/>
  <c r="U440" i="3"/>
  <c r="T440" i="3"/>
  <c r="S440" i="3"/>
  <c r="R440" i="3"/>
  <c r="U439" i="3"/>
  <c r="T439" i="3"/>
  <c r="S439" i="3"/>
  <c r="R439" i="3"/>
  <c r="U438" i="3"/>
  <c r="T438" i="3"/>
  <c r="S438" i="3"/>
  <c r="R438" i="3"/>
  <c r="U437" i="3"/>
  <c r="T437" i="3"/>
  <c r="S437" i="3"/>
  <c r="R437" i="3"/>
  <c r="U436" i="3"/>
  <c r="T436" i="3"/>
  <c r="S436" i="3"/>
  <c r="R436" i="3"/>
  <c r="U435" i="3"/>
  <c r="T435" i="3"/>
  <c r="S435" i="3"/>
  <c r="R435" i="3"/>
  <c r="U434" i="3"/>
  <c r="T434" i="3"/>
  <c r="S434" i="3"/>
  <c r="R434" i="3"/>
  <c r="U433" i="3"/>
  <c r="T433" i="3"/>
  <c r="S433" i="3"/>
  <c r="R433" i="3"/>
  <c r="U432" i="3"/>
  <c r="T432" i="3"/>
  <c r="S432" i="3"/>
  <c r="R432" i="3"/>
  <c r="U431" i="3"/>
  <c r="T431" i="3"/>
  <c r="S431" i="3"/>
  <c r="R431" i="3"/>
  <c r="U430" i="3"/>
  <c r="T430" i="3"/>
  <c r="S430" i="3"/>
  <c r="R430" i="3"/>
  <c r="U429" i="3"/>
  <c r="T429" i="3"/>
  <c r="S429" i="3"/>
  <c r="R429" i="3"/>
  <c r="U428" i="3"/>
  <c r="T428" i="3"/>
  <c r="S428" i="3"/>
  <c r="R428" i="3"/>
  <c r="U427" i="3"/>
  <c r="T427" i="3"/>
  <c r="S427" i="3"/>
  <c r="R427" i="3"/>
  <c r="U426" i="3"/>
  <c r="T426" i="3"/>
  <c r="S426" i="3"/>
  <c r="R426" i="3"/>
  <c r="U425" i="3"/>
  <c r="T425" i="3"/>
  <c r="S425" i="3"/>
  <c r="R425" i="3"/>
  <c r="U424" i="3"/>
  <c r="T424" i="3"/>
  <c r="S424" i="3"/>
  <c r="R424" i="3"/>
  <c r="U423" i="3"/>
  <c r="T423" i="3"/>
  <c r="S423" i="3"/>
  <c r="R423" i="3"/>
  <c r="U422" i="3"/>
  <c r="T422" i="3"/>
  <c r="S422" i="3"/>
  <c r="R422" i="3"/>
  <c r="U421" i="3"/>
  <c r="T421" i="3"/>
  <c r="S421" i="3"/>
  <c r="R421" i="3"/>
  <c r="U420" i="3"/>
  <c r="T420" i="3"/>
  <c r="S420" i="3"/>
  <c r="R420" i="3"/>
  <c r="U419" i="3"/>
  <c r="T419" i="3"/>
  <c r="S419" i="3"/>
  <c r="R419" i="3"/>
  <c r="U418" i="3"/>
  <c r="T418" i="3"/>
  <c r="S418" i="3"/>
  <c r="R418" i="3"/>
  <c r="U417" i="3"/>
  <c r="T417" i="3"/>
  <c r="S417" i="3"/>
  <c r="R417" i="3"/>
  <c r="U416" i="3"/>
  <c r="T416" i="3"/>
  <c r="S416" i="3"/>
  <c r="R416" i="3"/>
  <c r="U415" i="3"/>
  <c r="T415" i="3"/>
  <c r="S415" i="3"/>
  <c r="R415" i="3"/>
  <c r="U414" i="3"/>
  <c r="T414" i="3"/>
  <c r="S414" i="3"/>
  <c r="R414" i="3"/>
  <c r="U413" i="3"/>
  <c r="T413" i="3"/>
  <c r="S413" i="3"/>
  <c r="R413" i="3"/>
  <c r="U412" i="3"/>
  <c r="T412" i="3"/>
  <c r="S412" i="3"/>
  <c r="R412" i="3"/>
  <c r="U411" i="3"/>
  <c r="T411" i="3"/>
  <c r="S411" i="3"/>
  <c r="R411" i="3"/>
  <c r="U410" i="3"/>
  <c r="T410" i="3"/>
  <c r="S410" i="3"/>
  <c r="R410" i="3"/>
  <c r="U409" i="3"/>
  <c r="T409" i="3"/>
  <c r="S409" i="3"/>
  <c r="R409" i="3"/>
  <c r="U408" i="3"/>
  <c r="T408" i="3"/>
  <c r="S408" i="3"/>
  <c r="R408" i="3"/>
  <c r="U407" i="3"/>
  <c r="T407" i="3"/>
  <c r="S407" i="3"/>
  <c r="R407" i="3"/>
  <c r="U406" i="3"/>
  <c r="T406" i="3"/>
  <c r="S406" i="3"/>
  <c r="R406" i="3"/>
  <c r="U405" i="3"/>
  <c r="T405" i="3"/>
  <c r="S405" i="3"/>
  <c r="R405" i="3"/>
  <c r="U404" i="3"/>
  <c r="T404" i="3"/>
  <c r="S404" i="3"/>
  <c r="R404" i="3"/>
  <c r="U403" i="3"/>
  <c r="T403" i="3"/>
  <c r="S403" i="3"/>
  <c r="R403" i="3"/>
  <c r="U402" i="3"/>
  <c r="T402" i="3"/>
  <c r="S402" i="3"/>
  <c r="R402" i="3"/>
  <c r="U401" i="3"/>
  <c r="T401" i="3"/>
  <c r="S401" i="3"/>
  <c r="R401" i="3"/>
  <c r="U400" i="3"/>
  <c r="T400" i="3"/>
  <c r="S400" i="3"/>
  <c r="R400" i="3"/>
  <c r="U399" i="3"/>
  <c r="T399" i="3"/>
  <c r="S399" i="3"/>
  <c r="R399" i="3"/>
  <c r="U398" i="3"/>
  <c r="T398" i="3"/>
  <c r="S398" i="3"/>
  <c r="R398" i="3"/>
  <c r="U397" i="3"/>
  <c r="T397" i="3"/>
  <c r="S397" i="3"/>
  <c r="R397" i="3"/>
  <c r="U396" i="3"/>
  <c r="T396" i="3"/>
  <c r="S396" i="3"/>
  <c r="R396" i="3"/>
  <c r="U395" i="3"/>
  <c r="T395" i="3"/>
  <c r="S395" i="3"/>
  <c r="R395" i="3"/>
  <c r="U394" i="3"/>
  <c r="T394" i="3"/>
  <c r="S394" i="3"/>
  <c r="R394" i="3"/>
  <c r="U393" i="3"/>
  <c r="T393" i="3"/>
  <c r="S393" i="3"/>
  <c r="R393" i="3"/>
  <c r="U392" i="3"/>
  <c r="T392" i="3"/>
  <c r="S392" i="3"/>
  <c r="R392" i="3"/>
  <c r="U391" i="3"/>
  <c r="T391" i="3"/>
  <c r="S391" i="3"/>
  <c r="R391" i="3"/>
  <c r="U390" i="3"/>
  <c r="T390" i="3"/>
  <c r="S390" i="3"/>
  <c r="R390" i="3"/>
  <c r="U389" i="3"/>
  <c r="T389" i="3"/>
  <c r="S389" i="3"/>
  <c r="R389" i="3"/>
  <c r="U388" i="3"/>
  <c r="T388" i="3"/>
  <c r="S388" i="3"/>
  <c r="R388" i="3"/>
  <c r="U387" i="3"/>
  <c r="T387" i="3"/>
  <c r="S387" i="3"/>
  <c r="R387" i="3"/>
  <c r="U386" i="3"/>
  <c r="T386" i="3"/>
  <c r="S386" i="3"/>
  <c r="R386" i="3"/>
  <c r="U385" i="3"/>
  <c r="T385" i="3"/>
  <c r="S385" i="3"/>
  <c r="R385" i="3"/>
  <c r="U384" i="3"/>
  <c r="T384" i="3"/>
  <c r="S384" i="3"/>
  <c r="R384" i="3"/>
  <c r="U383" i="3"/>
  <c r="T383" i="3"/>
  <c r="S383" i="3"/>
  <c r="R383" i="3"/>
  <c r="U382" i="3"/>
  <c r="T382" i="3"/>
  <c r="S382" i="3"/>
  <c r="R382" i="3"/>
  <c r="U381" i="3"/>
  <c r="T381" i="3"/>
  <c r="S381" i="3"/>
  <c r="R381" i="3"/>
  <c r="U380" i="3"/>
  <c r="T380" i="3"/>
  <c r="S380" i="3"/>
  <c r="R380" i="3"/>
  <c r="U379" i="3"/>
  <c r="T379" i="3"/>
  <c r="S379" i="3"/>
  <c r="R379" i="3"/>
  <c r="U378" i="3"/>
  <c r="T378" i="3"/>
  <c r="S378" i="3"/>
  <c r="R378" i="3"/>
  <c r="U377" i="3"/>
  <c r="T377" i="3"/>
  <c r="S377" i="3"/>
  <c r="R377" i="3"/>
  <c r="U376" i="3"/>
  <c r="T376" i="3"/>
  <c r="S376" i="3"/>
  <c r="R376" i="3"/>
  <c r="U375" i="3"/>
  <c r="T375" i="3"/>
  <c r="S375" i="3"/>
  <c r="R375" i="3"/>
  <c r="U374" i="3"/>
  <c r="T374" i="3"/>
  <c r="S374" i="3"/>
  <c r="R374" i="3"/>
  <c r="U373" i="3"/>
  <c r="T373" i="3"/>
  <c r="S373" i="3"/>
  <c r="R373" i="3"/>
  <c r="U372" i="3"/>
  <c r="T372" i="3"/>
  <c r="S372" i="3"/>
  <c r="R372" i="3"/>
  <c r="U371" i="3"/>
  <c r="T371" i="3"/>
  <c r="S371" i="3"/>
  <c r="R371" i="3"/>
  <c r="U370" i="3"/>
  <c r="T370" i="3"/>
  <c r="S370" i="3"/>
  <c r="R370" i="3"/>
  <c r="U369" i="3"/>
  <c r="T369" i="3"/>
  <c r="S369" i="3"/>
  <c r="R369" i="3"/>
  <c r="U368" i="3"/>
  <c r="T368" i="3"/>
  <c r="S368" i="3"/>
  <c r="R368" i="3"/>
  <c r="U367" i="3"/>
  <c r="T367" i="3"/>
  <c r="S367" i="3"/>
  <c r="R367" i="3"/>
  <c r="U366" i="3"/>
  <c r="T366" i="3"/>
  <c r="S366" i="3"/>
  <c r="R366" i="3"/>
  <c r="U365" i="3"/>
  <c r="T365" i="3"/>
  <c r="S365" i="3"/>
  <c r="R365" i="3"/>
  <c r="U364" i="3"/>
  <c r="T364" i="3"/>
  <c r="S364" i="3"/>
  <c r="R364" i="3"/>
  <c r="U363" i="3"/>
  <c r="T363" i="3"/>
  <c r="S363" i="3"/>
  <c r="R363" i="3"/>
  <c r="U362" i="3"/>
  <c r="T362" i="3"/>
  <c r="S362" i="3"/>
  <c r="R362" i="3"/>
  <c r="U361" i="3"/>
  <c r="T361" i="3"/>
  <c r="S361" i="3"/>
  <c r="R361" i="3"/>
  <c r="U360" i="3"/>
  <c r="T360" i="3"/>
  <c r="S360" i="3"/>
  <c r="R360" i="3"/>
  <c r="U359" i="3"/>
  <c r="T359" i="3"/>
  <c r="S359" i="3"/>
  <c r="R359" i="3"/>
  <c r="U358" i="3"/>
  <c r="T358" i="3"/>
  <c r="S358" i="3"/>
  <c r="R358" i="3"/>
  <c r="U357" i="3"/>
  <c r="T357" i="3"/>
  <c r="S357" i="3"/>
  <c r="R357" i="3"/>
  <c r="U356" i="3"/>
  <c r="T356" i="3"/>
  <c r="S356" i="3"/>
  <c r="R356" i="3"/>
  <c r="U355" i="3"/>
  <c r="T355" i="3"/>
  <c r="S355" i="3"/>
  <c r="R355" i="3"/>
  <c r="U354" i="3"/>
  <c r="T354" i="3"/>
  <c r="S354" i="3"/>
  <c r="R354" i="3"/>
  <c r="U353" i="3"/>
  <c r="T353" i="3"/>
  <c r="S353" i="3"/>
  <c r="R353" i="3"/>
  <c r="U352" i="3"/>
  <c r="T352" i="3"/>
  <c r="S352" i="3"/>
  <c r="R352" i="3"/>
  <c r="U351" i="3"/>
  <c r="T351" i="3"/>
  <c r="S351" i="3"/>
  <c r="R351" i="3"/>
  <c r="U350" i="3"/>
  <c r="T350" i="3"/>
  <c r="S350" i="3"/>
  <c r="R350" i="3"/>
  <c r="U349" i="3"/>
  <c r="T349" i="3"/>
  <c r="S349" i="3"/>
  <c r="R349" i="3"/>
  <c r="U348" i="3"/>
  <c r="T348" i="3"/>
  <c r="S348" i="3"/>
  <c r="R348" i="3"/>
  <c r="U347" i="3"/>
  <c r="T347" i="3"/>
  <c r="S347" i="3"/>
  <c r="R347" i="3"/>
  <c r="U346" i="3"/>
  <c r="T346" i="3"/>
  <c r="S346" i="3"/>
  <c r="R346" i="3"/>
  <c r="U345" i="3"/>
  <c r="T345" i="3"/>
  <c r="S345" i="3"/>
  <c r="R345" i="3"/>
  <c r="U344" i="3"/>
  <c r="T344" i="3"/>
  <c r="S344" i="3"/>
  <c r="R344" i="3"/>
  <c r="U343" i="3"/>
  <c r="T343" i="3"/>
  <c r="S343" i="3"/>
  <c r="R343" i="3"/>
  <c r="U342" i="3"/>
  <c r="T342" i="3"/>
  <c r="S342" i="3"/>
  <c r="R342" i="3"/>
  <c r="U341" i="3"/>
  <c r="T341" i="3"/>
  <c r="S341" i="3"/>
  <c r="R341" i="3"/>
  <c r="U340" i="3"/>
  <c r="T340" i="3"/>
  <c r="S340" i="3"/>
  <c r="R340" i="3"/>
  <c r="U339" i="3"/>
  <c r="T339" i="3"/>
  <c r="S339" i="3"/>
  <c r="R339" i="3"/>
  <c r="U338" i="3"/>
  <c r="T338" i="3"/>
  <c r="S338" i="3"/>
  <c r="R338" i="3"/>
  <c r="U337" i="3"/>
  <c r="T337" i="3"/>
  <c r="S337" i="3"/>
  <c r="R337" i="3"/>
  <c r="U336" i="3"/>
  <c r="T336" i="3"/>
  <c r="S336" i="3"/>
  <c r="R336" i="3"/>
  <c r="U335" i="3"/>
  <c r="T335" i="3"/>
  <c r="S335" i="3"/>
  <c r="R335" i="3"/>
  <c r="U334" i="3"/>
  <c r="T334" i="3"/>
  <c r="S334" i="3"/>
  <c r="R334" i="3"/>
  <c r="U333" i="3"/>
  <c r="T333" i="3"/>
  <c r="S333" i="3"/>
  <c r="R333" i="3"/>
  <c r="U332" i="3"/>
  <c r="T332" i="3"/>
  <c r="S332" i="3"/>
  <c r="R332" i="3"/>
  <c r="U331" i="3"/>
  <c r="T331" i="3"/>
  <c r="S331" i="3"/>
  <c r="R331" i="3"/>
  <c r="U330" i="3"/>
  <c r="T330" i="3"/>
  <c r="S330" i="3"/>
  <c r="R330" i="3"/>
  <c r="U329" i="3"/>
  <c r="T329" i="3"/>
  <c r="S329" i="3"/>
  <c r="R329" i="3"/>
  <c r="U328" i="3"/>
  <c r="T328" i="3"/>
  <c r="S328" i="3"/>
  <c r="R328" i="3"/>
  <c r="U327" i="3"/>
  <c r="T327" i="3"/>
  <c r="S327" i="3"/>
  <c r="R327" i="3"/>
  <c r="U326" i="3"/>
  <c r="T326" i="3"/>
  <c r="S326" i="3"/>
  <c r="R326" i="3"/>
  <c r="U325" i="3"/>
  <c r="T325" i="3"/>
  <c r="S325" i="3"/>
  <c r="R325" i="3"/>
  <c r="U324" i="3"/>
  <c r="T324" i="3"/>
  <c r="S324" i="3"/>
  <c r="R324" i="3"/>
  <c r="U323" i="3"/>
  <c r="T323" i="3"/>
  <c r="S323" i="3"/>
  <c r="R323" i="3"/>
  <c r="U322" i="3"/>
  <c r="T322" i="3"/>
  <c r="S322" i="3"/>
  <c r="R322" i="3"/>
  <c r="U321" i="3"/>
  <c r="T321" i="3"/>
  <c r="S321" i="3"/>
  <c r="R321" i="3"/>
  <c r="U320" i="3"/>
  <c r="T320" i="3"/>
  <c r="S320" i="3"/>
  <c r="R320" i="3"/>
  <c r="U319" i="3"/>
  <c r="T319" i="3"/>
  <c r="S319" i="3"/>
  <c r="R319" i="3"/>
  <c r="U318" i="3"/>
  <c r="T318" i="3"/>
  <c r="S318" i="3"/>
  <c r="R318" i="3"/>
  <c r="U317" i="3"/>
  <c r="T317" i="3"/>
  <c r="S317" i="3"/>
  <c r="R317" i="3"/>
  <c r="U316" i="3"/>
  <c r="T316" i="3"/>
  <c r="S316" i="3"/>
  <c r="R316" i="3"/>
  <c r="U315" i="3"/>
  <c r="T315" i="3"/>
  <c r="S315" i="3"/>
  <c r="R315" i="3"/>
  <c r="U314" i="3"/>
  <c r="T314" i="3"/>
  <c r="S314" i="3"/>
  <c r="R314" i="3"/>
  <c r="U313" i="3"/>
  <c r="T313" i="3"/>
  <c r="S313" i="3"/>
  <c r="R313" i="3"/>
  <c r="U312" i="3"/>
  <c r="T312" i="3"/>
  <c r="S312" i="3"/>
  <c r="R312" i="3"/>
  <c r="U311" i="3"/>
  <c r="T311" i="3"/>
  <c r="S311" i="3"/>
  <c r="R311" i="3"/>
  <c r="U310" i="3"/>
  <c r="T310" i="3"/>
  <c r="S310" i="3"/>
  <c r="R310" i="3"/>
  <c r="U309" i="3"/>
  <c r="T309" i="3"/>
  <c r="S309" i="3"/>
  <c r="R309" i="3"/>
  <c r="U308" i="3"/>
  <c r="T308" i="3"/>
  <c r="S308" i="3"/>
  <c r="R308" i="3"/>
  <c r="U307" i="3"/>
  <c r="T307" i="3"/>
  <c r="S307" i="3"/>
  <c r="R307" i="3"/>
  <c r="U306" i="3"/>
  <c r="T306" i="3"/>
  <c r="S306" i="3"/>
  <c r="R306" i="3"/>
  <c r="U305" i="3"/>
  <c r="T305" i="3"/>
  <c r="S305" i="3"/>
  <c r="R305" i="3"/>
  <c r="U304" i="3"/>
  <c r="T304" i="3"/>
  <c r="S304" i="3"/>
  <c r="R304" i="3"/>
  <c r="U303" i="3"/>
  <c r="T303" i="3"/>
  <c r="S303" i="3"/>
  <c r="R303" i="3"/>
  <c r="U302" i="3"/>
  <c r="T302" i="3"/>
  <c r="S302" i="3"/>
  <c r="R302" i="3"/>
  <c r="U301" i="3"/>
  <c r="T301" i="3"/>
  <c r="S301" i="3"/>
  <c r="R301" i="3"/>
  <c r="U300" i="3"/>
  <c r="T300" i="3"/>
  <c r="S300" i="3"/>
  <c r="R300" i="3"/>
  <c r="U299" i="3"/>
  <c r="T299" i="3"/>
  <c r="S299" i="3"/>
  <c r="R299" i="3"/>
  <c r="U298" i="3"/>
  <c r="T298" i="3"/>
  <c r="S298" i="3"/>
  <c r="R298" i="3"/>
  <c r="U297" i="3"/>
  <c r="T297" i="3"/>
  <c r="S297" i="3"/>
  <c r="R297" i="3"/>
  <c r="U296" i="3"/>
  <c r="T296" i="3"/>
  <c r="S296" i="3"/>
  <c r="R296" i="3"/>
  <c r="U295" i="3"/>
  <c r="T295" i="3"/>
  <c r="S295" i="3"/>
  <c r="R295" i="3"/>
  <c r="U294" i="3"/>
  <c r="T294" i="3"/>
  <c r="S294" i="3"/>
  <c r="R294" i="3"/>
  <c r="U293" i="3"/>
  <c r="T293" i="3"/>
  <c r="S293" i="3"/>
  <c r="R293" i="3"/>
  <c r="U292" i="3"/>
  <c r="T292" i="3"/>
  <c r="S292" i="3"/>
  <c r="R292" i="3"/>
  <c r="U291" i="3"/>
  <c r="T291" i="3"/>
  <c r="S291" i="3"/>
  <c r="R291" i="3"/>
  <c r="U290" i="3"/>
  <c r="T290" i="3"/>
  <c r="S290" i="3"/>
  <c r="R290" i="3"/>
  <c r="U289" i="3"/>
  <c r="T289" i="3"/>
  <c r="S289" i="3"/>
  <c r="R289" i="3"/>
  <c r="U288" i="3"/>
  <c r="T288" i="3"/>
  <c r="S288" i="3"/>
  <c r="R288" i="3"/>
  <c r="U287" i="3"/>
  <c r="T287" i="3"/>
  <c r="S287" i="3"/>
  <c r="R287" i="3"/>
  <c r="U286" i="3"/>
  <c r="T286" i="3"/>
  <c r="S286" i="3"/>
  <c r="R286" i="3"/>
  <c r="U285" i="3"/>
  <c r="T285" i="3"/>
  <c r="S285" i="3"/>
  <c r="R285" i="3"/>
  <c r="U284" i="3"/>
  <c r="T284" i="3"/>
  <c r="S284" i="3"/>
  <c r="R284" i="3"/>
  <c r="U283" i="3"/>
  <c r="T283" i="3"/>
  <c r="S283" i="3"/>
  <c r="R283" i="3"/>
  <c r="U282" i="3"/>
  <c r="T282" i="3"/>
  <c r="S282" i="3"/>
  <c r="R282" i="3"/>
  <c r="U281" i="3"/>
  <c r="T281" i="3"/>
  <c r="S281" i="3"/>
  <c r="R281" i="3"/>
  <c r="U280" i="3"/>
  <c r="T280" i="3"/>
  <c r="S280" i="3"/>
  <c r="R280" i="3"/>
  <c r="U279" i="3"/>
  <c r="T279" i="3"/>
  <c r="S279" i="3"/>
  <c r="R279" i="3"/>
  <c r="U278" i="3"/>
  <c r="T278" i="3"/>
  <c r="S278" i="3"/>
  <c r="R278" i="3"/>
  <c r="U277" i="3"/>
  <c r="T277" i="3"/>
  <c r="S277" i="3"/>
  <c r="R277" i="3"/>
  <c r="U276" i="3"/>
  <c r="T276" i="3"/>
  <c r="S276" i="3"/>
  <c r="R276" i="3"/>
  <c r="U275" i="3"/>
  <c r="T275" i="3"/>
  <c r="S275" i="3"/>
  <c r="R275" i="3"/>
  <c r="U274" i="3"/>
  <c r="T274" i="3"/>
  <c r="S274" i="3"/>
  <c r="R274" i="3"/>
  <c r="U273" i="3"/>
  <c r="T273" i="3"/>
  <c r="S273" i="3"/>
  <c r="R273" i="3"/>
  <c r="U272" i="3"/>
  <c r="T272" i="3"/>
  <c r="S272" i="3"/>
  <c r="R272" i="3"/>
  <c r="U271" i="3"/>
  <c r="T271" i="3"/>
  <c r="S271" i="3"/>
  <c r="R271" i="3"/>
  <c r="U270" i="3"/>
  <c r="T270" i="3"/>
  <c r="S270" i="3"/>
  <c r="R270" i="3"/>
  <c r="U269" i="3"/>
  <c r="T269" i="3"/>
  <c r="S269" i="3"/>
  <c r="R269" i="3"/>
  <c r="U268" i="3"/>
  <c r="T268" i="3"/>
  <c r="S268" i="3"/>
  <c r="R268" i="3"/>
  <c r="U267" i="3"/>
  <c r="T267" i="3"/>
  <c r="S267" i="3"/>
  <c r="R267" i="3"/>
  <c r="U266" i="3"/>
  <c r="T266" i="3"/>
  <c r="S266" i="3"/>
  <c r="R266" i="3"/>
  <c r="U265" i="3"/>
  <c r="T265" i="3"/>
  <c r="S265" i="3"/>
  <c r="R265" i="3"/>
  <c r="U264" i="3"/>
  <c r="T264" i="3"/>
  <c r="S264" i="3"/>
  <c r="R264" i="3"/>
  <c r="U263" i="3"/>
  <c r="T263" i="3"/>
  <c r="S263" i="3"/>
  <c r="R263" i="3"/>
  <c r="U262" i="3"/>
  <c r="T262" i="3"/>
  <c r="S262" i="3"/>
  <c r="R262" i="3"/>
  <c r="U261" i="3"/>
  <c r="T261" i="3"/>
  <c r="S261" i="3"/>
  <c r="R261" i="3"/>
  <c r="U260" i="3"/>
  <c r="T260" i="3"/>
  <c r="S260" i="3"/>
  <c r="R260" i="3"/>
  <c r="U259" i="3"/>
  <c r="T259" i="3"/>
  <c r="S259" i="3"/>
  <c r="R259" i="3"/>
  <c r="U258" i="3"/>
  <c r="T258" i="3"/>
  <c r="S258" i="3"/>
  <c r="R258" i="3"/>
  <c r="U257" i="3"/>
  <c r="T257" i="3"/>
  <c r="S257" i="3"/>
  <c r="R257" i="3"/>
  <c r="U256" i="3"/>
  <c r="T256" i="3"/>
  <c r="S256" i="3"/>
  <c r="R256" i="3"/>
  <c r="U255" i="3"/>
  <c r="T255" i="3"/>
  <c r="S255" i="3"/>
  <c r="R255" i="3"/>
  <c r="U254" i="3"/>
  <c r="T254" i="3"/>
  <c r="S254" i="3"/>
  <c r="R254" i="3"/>
  <c r="U253" i="3"/>
  <c r="T253" i="3"/>
  <c r="S253" i="3"/>
  <c r="R253" i="3"/>
  <c r="U252" i="3"/>
  <c r="T252" i="3"/>
  <c r="S252" i="3"/>
  <c r="R252" i="3"/>
  <c r="U251" i="3"/>
  <c r="T251" i="3"/>
  <c r="S251" i="3"/>
  <c r="R251" i="3"/>
  <c r="U250" i="3"/>
  <c r="T250" i="3"/>
  <c r="S250" i="3"/>
  <c r="R250" i="3"/>
  <c r="U249" i="3"/>
  <c r="T249" i="3"/>
  <c r="S249" i="3"/>
  <c r="R249" i="3"/>
  <c r="U248" i="3"/>
  <c r="T248" i="3"/>
  <c r="S248" i="3"/>
  <c r="R248" i="3"/>
  <c r="U247" i="3"/>
  <c r="T247" i="3"/>
  <c r="S247" i="3"/>
  <c r="R247" i="3"/>
  <c r="U246" i="3"/>
  <c r="T246" i="3"/>
  <c r="S246" i="3"/>
  <c r="R246" i="3"/>
  <c r="U245" i="3"/>
  <c r="T245" i="3"/>
  <c r="S245" i="3"/>
  <c r="R245" i="3"/>
  <c r="U244" i="3"/>
  <c r="T244" i="3"/>
  <c r="S244" i="3"/>
  <c r="R244" i="3"/>
  <c r="U243" i="3"/>
  <c r="T243" i="3"/>
  <c r="S243" i="3"/>
  <c r="R243" i="3"/>
  <c r="U242" i="3"/>
  <c r="T242" i="3"/>
  <c r="S242" i="3"/>
  <c r="R242" i="3"/>
  <c r="U241" i="3"/>
  <c r="T241" i="3"/>
  <c r="S241" i="3"/>
  <c r="R241" i="3"/>
  <c r="U240" i="3"/>
  <c r="T240" i="3"/>
  <c r="S240" i="3"/>
  <c r="R240" i="3"/>
  <c r="U239" i="3"/>
  <c r="T239" i="3"/>
  <c r="S239" i="3"/>
  <c r="R239" i="3"/>
  <c r="U238" i="3"/>
  <c r="T238" i="3"/>
  <c r="S238" i="3"/>
  <c r="R238" i="3"/>
  <c r="U237" i="3"/>
  <c r="T237" i="3"/>
  <c r="S237" i="3"/>
  <c r="R237" i="3"/>
  <c r="U236" i="3"/>
  <c r="T236" i="3"/>
  <c r="S236" i="3"/>
  <c r="R236" i="3"/>
  <c r="U235" i="3"/>
  <c r="T235" i="3"/>
  <c r="S235" i="3"/>
  <c r="R235" i="3"/>
  <c r="U234" i="3"/>
  <c r="T234" i="3"/>
  <c r="S234" i="3"/>
  <c r="R234" i="3"/>
  <c r="U233" i="3"/>
  <c r="T233" i="3"/>
  <c r="S233" i="3"/>
  <c r="R233" i="3"/>
  <c r="U232" i="3"/>
  <c r="T232" i="3"/>
  <c r="S232" i="3"/>
  <c r="R232" i="3"/>
  <c r="U231" i="3"/>
  <c r="T231" i="3"/>
  <c r="S231" i="3"/>
  <c r="R231" i="3"/>
  <c r="U230" i="3"/>
  <c r="T230" i="3"/>
  <c r="S230" i="3"/>
  <c r="R230" i="3"/>
  <c r="U229" i="3"/>
  <c r="T229" i="3"/>
  <c r="S229" i="3"/>
  <c r="R229" i="3"/>
  <c r="U228" i="3"/>
  <c r="T228" i="3"/>
  <c r="S228" i="3"/>
  <c r="R228" i="3"/>
  <c r="U227" i="3"/>
  <c r="T227" i="3"/>
  <c r="S227" i="3"/>
  <c r="R227" i="3"/>
  <c r="U226" i="3"/>
  <c r="T226" i="3"/>
  <c r="S226" i="3"/>
  <c r="R226" i="3"/>
  <c r="U225" i="3"/>
  <c r="T225" i="3"/>
  <c r="S225" i="3"/>
  <c r="R225" i="3"/>
  <c r="U224" i="3"/>
  <c r="T224" i="3"/>
  <c r="S224" i="3"/>
  <c r="R224" i="3"/>
  <c r="U223" i="3"/>
  <c r="T223" i="3"/>
  <c r="S223" i="3"/>
  <c r="R223" i="3"/>
  <c r="U222" i="3"/>
  <c r="T222" i="3"/>
  <c r="S222" i="3"/>
  <c r="R222" i="3"/>
  <c r="U221" i="3"/>
  <c r="T221" i="3"/>
  <c r="S221" i="3"/>
  <c r="R221" i="3"/>
  <c r="U220" i="3"/>
  <c r="T220" i="3"/>
  <c r="S220" i="3"/>
  <c r="R220" i="3"/>
  <c r="U219" i="3"/>
  <c r="T219" i="3"/>
  <c r="S219" i="3"/>
  <c r="R219" i="3"/>
  <c r="U218" i="3"/>
  <c r="T218" i="3"/>
  <c r="S218" i="3"/>
  <c r="R218" i="3"/>
  <c r="U217" i="3"/>
  <c r="T217" i="3"/>
  <c r="S217" i="3"/>
  <c r="R217" i="3"/>
  <c r="U216" i="3"/>
  <c r="T216" i="3"/>
  <c r="S216" i="3"/>
  <c r="R216" i="3"/>
  <c r="U215" i="3"/>
  <c r="T215" i="3"/>
  <c r="S215" i="3"/>
  <c r="R215" i="3"/>
  <c r="U214" i="3"/>
  <c r="T214" i="3"/>
  <c r="S214" i="3"/>
  <c r="R214" i="3"/>
  <c r="U213" i="3"/>
  <c r="T213" i="3"/>
  <c r="S213" i="3"/>
  <c r="R213" i="3"/>
  <c r="U212" i="3"/>
  <c r="T212" i="3"/>
  <c r="S212" i="3"/>
  <c r="R212" i="3"/>
  <c r="U211" i="3"/>
  <c r="T211" i="3"/>
  <c r="S211" i="3"/>
  <c r="R211" i="3"/>
  <c r="U210" i="3"/>
  <c r="T210" i="3"/>
  <c r="S210" i="3"/>
  <c r="R210" i="3"/>
  <c r="U209" i="3"/>
  <c r="T209" i="3"/>
  <c r="S209" i="3"/>
  <c r="R209" i="3"/>
  <c r="U208" i="3"/>
  <c r="T208" i="3"/>
  <c r="S208" i="3"/>
  <c r="R208" i="3"/>
  <c r="U207" i="3"/>
  <c r="T207" i="3"/>
  <c r="S207" i="3"/>
  <c r="R207" i="3"/>
  <c r="U206" i="3"/>
  <c r="T206" i="3"/>
  <c r="S206" i="3"/>
  <c r="R206" i="3"/>
  <c r="U205" i="3"/>
  <c r="T205" i="3"/>
  <c r="S205" i="3"/>
  <c r="R205" i="3"/>
  <c r="U204" i="3"/>
  <c r="T204" i="3"/>
  <c r="S204" i="3"/>
  <c r="R204" i="3"/>
  <c r="U203" i="3"/>
  <c r="T203" i="3"/>
  <c r="S203" i="3"/>
  <c r="R203" i="3"/>
  <c r="U202" i="3"/>
  <c r="T202" i="3"/>
  <c r="S202" i="3"/>
  <c r="R202" i="3"/>
  <c r="U201" i="3"/>
  <c r="T201" i="3"/>
  <c r="S201" i="3"/>
  <c r="R201" i="3"/>
  <c r="U200" i="3"/>
  <c r="T200" i="3"/>
  <c r="S200" i="3"/>
  <c r="R200" i="3"/>
  <c r="U199" i="3"/>
  <c r="T199" i="3"/>
  <c r="S199" i="3"/>
  <c r="R199" i="3"/>
  <c r="U198" i="3"/>
  <c r="T198" i="3"/>
  <c r="S198" i="3"/>
  <c r="R198" i="3"/>
  <c r="U197" i="3"/>
  <c r="T197" i="3"/>
  <c r="S197" i="3"/>
  <c r="R197" i="3"/>
  <c r="U196" i="3"/>
  <c r="T196" i="3"/>
  <c r="S196" i="3"/>
  <c r="R196" i="3"/>
  <c r="U195" i="3"/>
  <c r="T195" i="3"/>
  <c r="S195" i="3"/>
  <c r="R195" i="3"/>
  <c r="U194" i="3"/>
  <c r="T194" i="3"/>
  <c r="S194" i="3"/>
  <c r="R194" i="3"/>
  <c r="U193" i="3"/>
  <c r="T193" i="3"/>
  <c r="S193" i="3"/>
  <c r="R193" i="3"/>
  <c r="U192" i="3"/>
  <c r="T192" i="3"/>
  <c r="S192" i="3"/>
  <c r="R192" i="3"/>
  <c r="U191" i="3"/>
  <c r="T191" i="3"/>
  <c r="S191" i="3"/>
  <c r="R191" i="3"/>
  <c r="U190" i="3"/>
  <c r="T190" i="3"/>
  <c r="S190" i="3"/>
  <c r="R190" i="3"/>
  <c r="U189" i="3"/>
  <c r="T189" i="3"/>
  <c r="S189" i="3"/>
  <c r="R189" i="3"/>
  <c r="U188" i="3"/>
  <c r="T188" i="3"/>
  <c r="S188" i="3"/>
  <c r="R188" i="3"/>
  <c r="U187" i="3"/>
  <c r="T187" i="3"/>
  <c r="S187" i="3"/>
  <c r="R187" i="3"/>
  <c r="U186" i="3"/>
  <c r="T186" i="3"/>
  <c r="S186" i="3"/>
  <c r="R186" i="3"/>
  <c r="U185" i="3"/>
  <c r="T185" i="3"/>
  <c r="S185" i="3"/>
  <c r="R185" i="3"/>
  <c r="U184" i="3"/>
  <c r="T184" i="3"/>
  <c r="S184" i="3"/>
  <c r="R184" i="3"/>
  <c r="U183" i="3"/>
  <c r="T183" i="3"/>
  <c r="S183" i="3"/>
  <c r="R183" i="3"/>
  <c r="U182" i="3"/>
  <c r="T182" i="3"/>
  <c r="S182" i="3"/>
  <c r="R182" i="3"/>
  <c r="U181" i="3"/>
  <c r="T181" i="3"/>
  <c r="S181" i="3"/>
  <c r="R181" i="3"/>
  <c r="U180" i="3"/>
  <c r="T180" i="3"/>
  <c r="S180" i="3"/>
  <c r="R180" i="3"/>
  <c r="U179" i="3"/>
  <c r="T179" i="3"/>
  <c r="S179" i="3"/>
  <c r="R179" i="3"/>
  <c r="U178" i="3"/>
  <c r="T178" i="3"/>
  <c r="S178" i="3"/>
  <c r="R178" i="3"/>
  <c r="U177" i="3"/>
  <c r="T177" i="3"/>
  <c r="S177" i="3"/>
  <c r="R177" i="3"/>
  <c r="U176" i="3"/>
  <c r="T176" i="3"/>
  <c r="S176" i="3"/>
  <c r="R176" i="3"/>
  <c r="U175" i="3"/>
  <c r="T175" i="3"/>
  <c r="S175" i="3"/>
  <c r="R175" i="3"/>
  <c r="U174" i="3"/>
  <c r="T174" i="3"/>
  <c r="S174" i="3"/>
  <c r="R174" i="3"/>
  <c r="U173" i="3"/>
  <c r="T173" i="3"/>
  <c r="S173" i="3"/>
  <c r="R173" i="3"/>
  <c r="U172" i="3"/>
  <c r="T172" i="3"/>
  <c r="S172" i="3"/>
  <c r="R172" i="3"/>
  <c r="U171" i="3"/>
  <c r="T171" i="3"/>
  <c r="S171" i="3"/>
  <c r="R171" i="3"/>
  <c r="U170" i="3"/>
  <c r="T170" i="3"/>
  <c r="S170" i="3"/>
  <c r="R170" i="3"/>
  <c r="U169" i="3"/>
  <c r="T169" i="3"/>
  <c r="S169" i="3"/>
  <c r="R169" i="3"/>
  <c r="U168" i="3"/>
  <c r="T168" i="3"/>
  <c r="S168" i="3"/>
  <c r="R168" i="3"/>
  <c r="U167" i="3"/>
  <c r="T167" i="3"/>
  <c r="S167" i="3"/>
  <c r="R167" i="3"/>
  <c r="U166" i="3"/>
  <c r="T166" i="3"/>
  <c r="S166" i="3"/>
  <c r="R166" i="3"/>
  <c r="U165" i="3"/>
  <c r="T165" i="3"/>
  <c r="S165" i="3"/>
  <c r="R165" i="3"/>
  <c r="U164" i="3"/>
  <c r="T164" i="3"/>
  <c r="S164" i="3"/>
  <c r="R164" i="3"/>
  <c r="U163" i="3"/>
  <c r="T163" i="3"/>
  <c r="S163" i="3"/>
  <c r="R163" i="3"/>
  <c r="U162" i="3"/>
  <c r="T162" i="3"/>
  <c r="S162" i="3"/>
  <c r="R162" i="3"/>
  <c r="U161" i="3"/>
  <c r="T161" i="3"/>
  <c r="S161" i="3"/>
  <c r="R161" i="3"/>
  <c r="U160" i="3"/>
  <c r="T160" i="3"/>
  <c r="S160" i="3"/>
  <c r="R160" i="3"/>
  <c r="U159" i="3"/>
  <c r="T159" i="3"/>
  <c r="S159" i="3"/>
  <c r="R159" i="3"/>
  <c r="U158" i="3"/>
  <c r="T158" i="3"/>
  <c r="S158" i="3"/>
  <c r="R158" i="3"/>
  <c r="U157" i="3"/>
  <c r="T157" i="3"/>
  <c r="S157" i="3"/>
  <c r="R157" i="3"/>
  <c r="U156" i="3"/>
  <c r="T156" i="3"/>
  <c r="S156" i="3"/>
  <c r="R156" i="3"/>
  <c r="U155" i="3"/>
  <c r="T155" i="3"/>
  <c r="S155" i="3"/>
  <c r="R155" i="3"/>
  <c r="U154" i="3"/>
  <c r="T154" i="3"/>
  <c r="S154" i="3"/>
  <c r="R154" i="3"/>
  <c r="U153" i="3"/>
  <c r="T153" i="3"/>
  <c r="S153" i="3"/>
  <c r="R153" i="3"/>
  <c r="U152" i="3"/>
  <c r="T152" i="3"/>
  <c r="S152" i="3"/>
  <c r="R152" i="3"/>
  <c r="U151" i="3"/>
  <c r="T151" i="3"/>
  <c r="S151" i="3"/>
  <c r="R151" i="3"/>
  <c r="U150" i="3"/>
  <c r="T150" i="3"/>
  <c r="S150" i="3"/>
  <c r="R150" i="3"/>
  <c r="U149" i="3"/>
  <c r="T149" i="3"/>
  <c r="S149" i="3"/>
  <c r="R149" i="3"/>
  <c r="U148" i="3"/>
  <c r="T148" i="3"/>
  <c r="S148" i="3"/>
  <c r="R148" i="3"/>
  <c r="U147" i="3"/>
  <c r="T147" i="3"/>
  <c r="S147" i="3"/>
  <c r="R147" i="3"/>
  <c r="U146" i="3"/>
  <c r="T146" i="3"/>
  <c r="S146" i="3"/>
  <c r="R146" i="3"/>
  <c r="U145" i="3"/>
  <c r="T145" i="3"/>
  <c r="S145" i="3"/>
  <c r="R145" i="3"/>
  <c r="U144" i="3"/>
  <c r="T144" i="3"/>
  <c r="S144" i="3"/>
  <c r="R144" i="3"/>
  <c r="U143" i="3"/>
  <c r="T143" i="3"/>
  <c r="S143" i="3"/>
  <c r="R143" i="3"/>
  <c r="U142" i="3"/>
  <c r="T142" i="3"/>
  <c r="S142" i="3"/>
  <c r="R142" i="3"/>
  <c r="U141" i="3"/>
  <c r="T141" i="3"/>
  <c r="S141" i="3"/>
  <c r="R141" i="3"/>
  <c r="U140" i="3"/>
  <c r="T140" i="3"/>
  <c r="S140" i="3"/>
  <c r="R140" i="3"/>
  <c r="U139" i="3"/>
  <c r="T139" i="3"/>
  <c r="S139" i="3"/>
  <c r="R139" i="3"/>
  <c r="U138" i="3"/>
  <c r="T138" i="3"/>
  <c r="S138" i="3"/>
  <c r="R138" i="3"/>
  <c r="U137" i="3"/>
  <c r="T137" i="3"/>
  <c r="S137" i="3"/>
  <c r="R137" i="3"/>
  <c r="U136" i="3"/>
  <c r="T136" i="3"/>
  <c r="S136" i="3"/>
  <c r="R136" i="3"/>
  <c r="U135" i="3"/>
  <c r="T135" i="3"/>
  <c r="S135" i="3"/>
  <c r="R135" i="3"/>
  <c r="U134" i="3"/>
  <c r="T134" i="3"/>
  <c r="S134" i="3"/>
  <c r="R134" i="3"/>
  <c r="U133" i="3"/>
  <c r="T133" i="3"/>
  <c r="S133" i="3"/>
  <c r="R133" i="3"/>
  <c r="U132" i="3"/>
  <c r="T132" i="3"/>
  <c r="S132" i="3"/>
  <c r="R132" i="3"/>
  <c r="U131" i="3"/>
  <c r="T131" i="3"/>
  <c r="S131" i="3"/>
  <c r="R131" i="3"/>
  <c r="U130" i="3"/>
  <c r="T130" i="3"/>
  <c r="S130" i="3"/>
  <c r="R130" i="3"/>
  <c r="U129" i="3"/>
  <c r="T129" i="3"/>
  <c r="S129" i="3"/>
  <c r="R129" i="3"/>
  <c r="U128" i="3"/>
  <c r="T128" i="3"/>
  <c r="S128" i="3"/>
  <c r="R128" i="3"/>
  <c r="U127" i="3"/>
  <c r="T127" i="3"/>
  <c r="S127" i="3"/>
  <c r="R127" i="3"/>
  <c r="U126" i="3"/>
  <c r="T126" i="3"/>
  <c r="S126" i="3"/>
  <c r="R126" i="3"/>
  <c r="U125" i="3"/>
  <c r="T125" i="3"/>
  <c r="S125" i="3"/>
  <c r="R125" i="3"/>
  <c r="U124" i="3"/>
  <c r="T124" i="3"/>
  <c r="S124" i="3"/>
  <c r="R124" i="3"/>
  <c r="U123" i="3"/>
  <c r="T123" i="3"/>
  <c r="S123" i="3"/>
  <c r="R123" i="3"/>
  <c r="U122" i="3"/>
  <c r="T122" i="3"/>
  <c r="S122" i="3"/>
  <c r="R122" i="3"/>
  <c r="U121" i="3"/>
  <c r="T121" i="3"/>
  <c r="S121" i="3"/>
  <c r="R121" i="3"/>
  <c r="U120" i="3"/>
  <c r="T120" i="3"/>
  <c r="S120" i="3"/>
  <c r="R120" i="3"/>
  <c r="U119" i="3"/>
  <c r="T119" i="3"/>
  <c r="S119" i="3"/>
  <c r="R119" i="3"/>
  <c r="U118" i="3"/>
  <c r="T118" i="3"/>
  <c r="S118" i="3"/>
  <c r="R118" i="3"/>
  <c r="U117" i="3"/>
  <c r="T117" i="3"/>
  <c r="S117" i="3"/>
  <c r="R117" i="3"/>
  <c r="U116" i="3"/>
  <c r="T116" i="3"/>
  <c r="S116" i="3"/>
  <c r="R116" i="3"/>
  <c r="U115" i="3"/>
  <c r="T115" i="3"/>
  <c r="S115" i="3"/>
  <c r="R115" i="3"/>
  <c r="U114" i="3"/>
  <c r="T114" i="3"/>
  <c r="S114" i="3"/>
  <c r="R114" i="3"/>
  <c r="U113" i="3"/>
  <c r="T113" i="3"/>
  <c r="S113" i="3"/>
  <c r="R113" i="3"/>
  <c r="U112" i="3"/>
  <c r="T112" i="3"/>
  <c r="S112" i="3"/>
  <c r="R112" i="3"/>
  <c r="U111" i="3"/>
  <c r="T111" i="3"/>
  <c r="S111" i="3"/>
  <c r="R111" i="3"/>
  <c r="U110" i="3"/>
  <c r="T110" i="3"/>
  <c r="S110" i="3"/>
  <c r="R110" i="3"/>
  <c r="U109" i="3"/>
  <c r="T109" i="3"/>
  <c r="S109" i="3"/>
  <c r="R109" i="3"/>
  <c r="U108" i="3"/>
  <c r="T108" i="3"/>
  <c r="S108" i="3"/>
  <c r="R108" i="3"/>
  <c r="U107" i="3"/>
  <c r="T107" i="3"/>
  <c r="S107" i="3"/>
  <c r="R107" i="3"/>
  <c r="U106" i="3"/>
  <c r="T106" i="3"/>
  <c r="S106" i="3"/>
  <c r="R106" i="3"/>
  <c r="U105" i="3"/>
  <c r="T105" i="3"/>
  <c r="S105" i="3"/>
  <c r="R105" i="3"/>
  <c r="U104" i="3"/>
  <c r="T104" i="3"/>
  <c r="S104" i="3"/>
  <c r="R104" i="3"/>
  <c r="U103" i="3"/>
  <c r="T103" i="3"/>
  <c r="S103" i="3"/>
  <c r="R103" i="3"/>
  <c r="U102" i="3"/>
  <c r="T102" i="3"/>
  <c r="S102" i="3"/>
  <c r="R102" i="3"/>
  <c r="U101" i="3"/>
  <c r="T101" i="3"/>
  <c r="S101" i="3"/>
  <c r="R101" i="3"/>
  <c r="U100" i="3"/>
  <c r="T100" i="3"/>
  <c r="S100" i="3"/>
  <c r="R100" i="3"/>
  <c r="U99" i="3"/>
  <c r="T99" i="3"/>
  <c r="S99" i="3"/>
  <c r="R99" i="3"/>
  <c r="U98" i="3"/>
  <c r="T98" i="3"/>
  <c r="S98" i="3"/>
  <c r="R98" i="3"/>
  <c r="U97" i="3"/>
  <c r="T97" i="3"/>
  <c r="S97" i="3"/>
  <c r="R97" i="3"/>
  <c r="U96" i="3"/>
  <c r="T96" i="3"/>
  <c r="S96" i="3"/>
  <c r="R96" i="3"/>
  <c r="U95" i="3"/>
  <c r="T95" i="3"/>
  <c r="S95" i="3"/>
  <c r="R95" i="3"/>
  <c r="U94" i="3"/>
  <c r="T94" i="3"/>
  <c r="S94" i="3"/>
  <c r="R94" i="3"/>
  <c r="U93" i="3"/>
  <c r="T93" i="3"/>
  <c r="S93" i="3"/>
  <c r="R93" i="3"/>
  <c r="U92" i="3"/>
  <c r="T92" i="3"/>
  <c r="S92" i="3"/>
  <c r="R92" i="3"/>
  <c r="U91" i="3"/>
  <c r="T91" i="3"/>
  <c r="S91" i="3"/>
  <c r="R91" i="3"/>
  <c r="U90" i="3"/>
  <c r="T90" i="3"/>
  <c r="S90" i="3"/>
  <c r="R90" i="3"/>
  <c r="U89" i="3"/>
  <c r="T89" i="3"/>
  <c r="S89" i="3"/>
  <c r="R89" i="3"/>
  <c r="U88" i="3"/>
  <c r="T88" i="3"/>
  <c r="S88" i="3"/>
  <c r="R88" i="3"/>
  <c r="U87" i="3"/>
  <c r="T87" i="3"/>
  <c r="S87" i="3"/>
  <c r="R87" i="3"/>
  <c r="U86" i="3"/>
  <c r="T86" i="3"/>
  <c r="S86" i="3"/>
  <c r="R86" i="3"/>
  <c r="U85" i="3"/>
  <c r="T85" i="3"/>
  <c r="S85" i="3"/>
  <c r="R85" i="3"/>
  <c r="U84" i="3"/>
  <c r="T84" i="3"/>
  <c r="S84" i="3"/>
  <c r="R84" i="3"/>
  <c r="U83" i="3"/>
  <c r="T83" i="3"/>
  <c r="S83" i="3"/>
  <c r="R83" i="3"/>
  <c r="U82" i="3"/>
  <c r="T82" i="3"/>
  <c r="S82" i="3"/>
  <c r="R82" i="3"/>
  <c r="U81" i="3"/>
  <c r="T81" i="3"/>
  <c r="S81" i="3"/>
  <c r="R81" i="3"/>
  <c r="U80" i="3"/>
  <c r="T80" i="3"/>
  <c r="S80" i="3"/>
  <c r="R80" i="3"/>
  <c r="U79" i="3"/>
  <c r="T79" i="3"/>
  <c r="S79" i="3"/>
  <c r="R79" i="3"/>
  <c r="U78" i="3"/>
  <c r="T78" i="3"/>
  <c r="S78" i="3"/>
  <c r="R78" i="3"/>
  <c r="U77" i="3"/>
  <c r="T77" i="3"/>
  <c r="S77" i="3"/>
  <c r="R77" i="3"/>
  <c r="U76" i="3"/>
  <c r="T76" i="3"/>
  <c r="S76" i="3"/>
  <c r="R76" i="3"/>
  <c r="U75" i="3"/>
  <c r="T75" i="3"/>
  <c r="S75" i="3"/>
  <c r="R75" i="3"/>
  <c r="U74" i="3"/>
  <c r="T74" i="3"/>
  <c r="S74" i="3"/>
  <c r="R74" i="3"/>
  <c r="U73" i="3"/>
  <c r="T73" i="3"/>
  <c r="S73" i="3"/>
  <c r="R73" i="3"/>
  <c r="U72" i="3"/>
  <c r="T72" i="3"/>
  <c r="S72" i="3"/>
  <c r="R72" i="3"/>
  <c r="U71" i="3"/>
  <c r="T71" i="3"/>
  <c r="S71" i="3"/>
  <c r="R71" i="3"/>
  <c r="U70" i="3"/>
  <c r="T70" i="3"/>
  <c r="S70" i="3"/>
  <c r="R70" i="3"/>
  <c r="U69" i="3"/>
  <c r="T69" i="3"/>
  <c r="S69" i="3"/>
  <c r="R69" i="3"/>
  <c r="U68" i="3"/>
  <c r="T68" i="3"/>
  <c r="S68" i="3"/>
  <c r="R68" i="3"/>
  <c r="U67" i="3"/>
  <c r="T67" i="3"/>
  <c r="S67" i="3"/>
  <c r="R67" i="3"/>
  <c r="U66" i="3"/>
  <c r="T66" i="3"/>
  <c r="S66" i="3"/>
  <c r="R66" i="3"/>
  <c r="U65" i="3"/>
  <c r="T65" i="3"/>
  <c r="S65" i="3"/>
  <c r="R65" i="3"/>
  <c r="U64" i="3"/>
  <c r="T64" i="3"/>
  <c r="S64" i="3"/>
  <c r="R64" i="3"/>
  <c r="U63" i="3"/>
  <c r="T63" i="3"/>
  <c r="S63" i="3"/>
  <c r="R63" i="3"/>
  <c r="U62" i="3"/>
  <c r="T62" i="3"/>
  <c r="S62" i="3"/>
  <c r="R62" i="3"/>
  <c r="U61" i="3"/>
  <c r="T61" i="3"/>
  <c r="S61" i="3"/>
  <c r="R61" i="3"/>
  <c r="U60" i="3"/>
  <c r="T60" i="3"/>
  <c r="S60" i="3"/>
  <c r="R60" i="3"/>
  <c r="U59" i="3"/>
  <c r="T59" i="3"/>
  <c r="S59" i="3"/>
  <c r="R59" i="3"/>
  <c r="U58" i="3"/>
  <c r="T58" i="3"/>
  <c r="S58" i="3"/>
  <c r="R58" i="3"/>
  <c r="U57" i="3"/>
  <c r="T57" i="3"/>
  <c r="S57" i="3"/>
  <c r="R57" i="3"/>
  <c r="U56" i="3"/>
  <c r="T56" i="3"/>
  <c r="S56" i="3"/>
  <c r="R56" i="3"/>
  <c r="U55" i="3"/>
  <c r="T55" i="3"/>
  <c r="S55" i="3"/>
  <c r="R55" i="3"/>
  <c r="U54" i="3"/>
  <c r="T54" i="3"/>
  <c r="S54" i="3"/>
  <c r="R54" i="3"/>
  <c r="U53" i="3"/>
  <c r="T53" i="3"/>
  <c r="S53" i="3"/>
  <c r="R53" i="3"/>
  <c r="U52" i="3"/>
  <c r="T52" i="3"/>
  <c r="S52" i="3"/>
  <c r="R52" i="3"/>
  <c r="U51" i="3"/>
  <c r="T51" i="3"/>
  <c r="S51" i="3"/>
  <c r="R51" i="3"/>
  <c r="U50" i="3"/>
  <c r="T50" i="3"/>
  <c r="S50" i="3"/>
  <c r="R50" i="3"/>
  <c r="U49" i="3"/>
  <c r="T49" i="3"/>
  <c r="S49" i="3"/>
  <c r="R49" i="3"/>
  <c r="U48" i="3"/>
  <c r="T48" i="3"/>
  <c r="S48" i="3"/>
  <c r="R48" i="3"/>
  <c r="U47" i="3"/>
  <c r="T47" i="3"/>
  <c r="S47" i="3"/>
  <c r="R47" i="3"/>
  <c r="U46" i="3"/>
  <c r="T46" i="3"/>
  <c r="S46" i="3"/>
  <c r="R46" i="3"/>
  <c r="U45" i="3"/>
  <c r="T45" i="3"/>
  <c r="S45" i="3"/>
  <c r="R45" i="3"/>
  <c r="U44" i="3"/>
  <c r="T44" i="3"/>
  <c r="S44" i="3"/>
  <c r="R44" i="3"/>
  <c r="U43" i="3"/>
  <c r="T43" i="3"/>
  <c r="S43" i="3"/>
  <c r="R43" i="3"/>
  <c r="U42" i="3"/>
  <c r="T42" i="3"/>
  <c r="S42" i="3"/>
  <c r="R42" i="3"/>
  <c r="U41" i="3"/>
  <c r="T41" i="3"/>
  <c r="S41" i="3"/>
  <c r="R41" i="3"/>
  <c r="U40" i="3"/>
  <c r="T40" i="3"/>
  <c r="S40" i="3"/>
  <c r="R40" i="3"/>
  <c r="U39" i="3"/>
  <c r="T39" i="3"/>
  <c r="S39" i="3"/>
  <c r="R39" i="3"/>
  <c r="U38" i="3"/>
  <c r="T38" i="3"/>
  <c r="S38" i="3"/>
  <c r="R38" i="3"/>
  <c r="U37" i="3"/>
  <c r="T37" i="3"/>
  <c r="S37" i="3"/>
  <c r="R37" i="3"/>
  <c r="U36" i="3"/>
  <c r="T36" i="3"/>
  <c r="S36" i="3"/>
  <c r="R36" i="3"/>
  <c r="U35" i="3"/>
  <c r="T35" i="3"/>
  <c r="S35" i="3"/>
  <c r="R35" i="3"/>
  <c r="U34" i="3"/>
  <c r="T34" i="3"/>
  <c r="S34" i="3"/>
  <c r="R34" i="3"/>
  <c r="U33" i="3"/>
  <c r="T33" i="3"/>
  <c r="S33" i="3"/>
  <c r="R33" i="3"/>
  <c r="U32" i="3"/>
  <c r="T32" i="3"/>
  <c r="S32" i="3"/>
  <c r="R32" i="3"/>
  <c r="U31" i="3"/>
  <c r="T31" i="3"/>
  <c r="S31" i="3"/>
  <c r="R31" i="3"/>
  <c r="U30" i="3"/>
  <c r="T30" i="3"/>
  <c r="S30" i="3"/>
  <c r="R30" i="3"/>
  <c r="U29" i="3"/>
  <c r="T29" i="3"/>
  <c r="S29" i="3"/>
  <c r="R29" i="3"/>
  <c r="U28" i="3"/>
  <c r="T28" i="3"/>
  <c r="S28" i="3"/>
  <c r="R28" i="3"/>
  <c r="U27" i="3"/>
  <c r="T27" i="3"/>
  <c r="S27" i="3"/>
  <c r="R27" i="3"/>
  <c r="U26" i="3"/>
  <c r="T26" i="3"/>
  <c r="S26" i="3"/>
  <c r="R26" i="3"/>
  <c r="U25" i="3"/>
  <c r="T25" i="3"/>
  <c r="S25" i="3"/>
  <c r="R25" i="3"/>
  <c r="U24" i="3"/>
  <c r="T24" i="3"/>
  <c r="S24" i="3"/>
  <c r="R24" i="3"/>
  <c r="U23" i="3"/>
  <c r="T23" i="3"/>
  <c r="S23" i="3"/>
  <c r="R23" i="3"/>
  <c r="U22" i="3"/>
  <c r="T22" i="3"/>
  <c r="S22" i="3"/>
  <c r="R22" i="3"/>
  <c r="U21" i="3"/>
  <c r="T21" i="3"/>
  <c r="S21" i="3"/>
  <c r="R21" i="3"/>
  <c r="U20" i="3"/>
  <c r="T20" i="3"/>
  <c r="S20" i="3"/>
  <c r="R20" i="3"/>
  <c r="U19" i="3"/>
  <c r="T19" i="3"/>
  <c r="S19" i="3"/>
  <c r="R19" i="3"/>
  <c r="U18" i="3"/>
  <c r="T18" i="3"/>
  <c r="S18" i="3"/>
  <c r="R18" i="3"/>
  <c r="U17" i="3"/>
  <c r="T17" i="3"/>
  <c r="S17" i="3"/>
  <c r="R17" i="3"/>
  <c r="U16" i="3"/>
  <c r="T16" i="3"/>
  <c r="S16" i="3"/>
  <c r="R16" i="3"/>
  <c r="U15" i="3"/>
  <c r="T15" i="3"/>
  <c r="S15" i="3"/>
  <c r="R15" i="3"/>
  <c r="U14" i="3"/>
  <c r="T14" i="3"/>
  <c r="S14" i="3"/>
  <c r="R14" i="3"/>
  <c r="U13" i="3"/>
  <c r="T13" i="3"/>
  <c r="S13" i="3"/>
  <c r="R13" i="3"/>
  <c r="U12" i="3"/>
  <c r="T12" i="3"/>
  <c r="S12" i="3"/>
  <c r="R12" i="3"/>
  <c r="U11" i="3"/>
  <c r="T11" i="3"/>
  <c r="S11" i="3"/>
  <c r="R11" i="3"/>
  <c r="U10" i="3"/>
  <c r="T10" i="3"/>
  <c r="S10" i="3"/>
  <c r="R10" i="3"/>
  <c r="U9" i="3"/>
  <c r="T9" i="3"/>
  <c r="S9" i="3"/>
  <c r="R9" i="3"/>
  <c r="U8" i="3"/>
  <c r="T8" i="3"/>
  <c r="S8" i="3"/>
  <c r="R8" i="3"/>
  <c r="U7" i="3"/>
  <c r="T7" i="3"/>
  <c r="S7" i="3"/>
  <c r="R7" i="3"/>
  <c r="R6" i="3"/>
  <c r="S6" i="3"/>
  <c r="T6" i="3"/>
  <c r="U6" i="3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T109" i="4"/>
  <c r="S109" i="4"/>
  <c r="T108" i="4"/>
  <c r="S108" i="4"/>
  <c r="T107" i="4"/>
  <c r="S107" i="4"/>
  <c r="T106" i="4"/>
  <c r="S106" i="4"/>
  <c r="T105" i="4"/>
  <c r="S105" i="4"/>
  <c r="T104" i="4"/>
  <c r="S104" i="4"/>
  <c r="T103" i="4"/>
  <c r="S103" i="4"/>
  <c r="T102" i="4"/>
  <c r="S102" i="4"/>
  <c r="T101" i="4"/>
  <c r="S101" i="4"/>
  <c r="T100" i="4"/>
  <c r="S100" i="4"/>
  <c r="T99" i="4"/>
  <c r="S99" i="4"/>
  <c r="T98" i="4"/>
  <c r="S98" i="4"/>
  <c r="T97" i="4"/>
  <c r="S97" i="4"/>
  <c r="T96" i="4"/>
  <c r="S96" i="4"/>
  <c r="T95" i="4"/>
  <c r="S95" i="4"/>
  <c r="T94" i="4"/>
  <c r="S94" i="4"/>
  <c r="T93" i="4"/>
  <c r="S93" i="4"/>
  <c r="T92" i="4"/>
  <c r="S92" i="4"/>
  <c r="T91" i="4"/>
  <c r="S91" i="4"/>
  <c r="T90" i="4"/>
  <c r="S90" i="4"/>
  <c r="T89" i="4"/>
  <c r="S89" i="4"/>
  <c r="T88" i="4"/>
  <c r="S88" i="4"/>
  <c r="T87" i="4"/>
  <c r="S87" i="4"/>
  <c r="T86" i="4"/>
  <c r="S86" i="4"/>
  <c r="T85" i="4"/>
  <c r="S85" i="4"/>
  <c r="T84" i="4"/>
  <c r="S84" i="4"/>
  <c r="T83" i="4"/>
  <c r="S83" i="4"/>
  <c r="T82" i="4"/>
  <c r="S82" i="4"/>
  <c r="T81" i="4"/>
  <c r="S81" i="4"/>
  <c r="T80" i="4"/>
  <c r="S80" i="4"/>
  <c r="T79" i="4"/>
  <c r="S79" i="4"/>
  <c r="T78" i="4"/>
  <c r="S78" i="4"/>
  <c r="T77" i="4"/>
  <c r="S77" i="4"/>
  <c r="T76" i="4"/>
  <c r="S76" i="4"/>
  <c r="T75" i="4"/>
  <c r="S75" i="4"/>
  <c r="T74" i="4"/>
  <c r="S74" i="4"/>
  <c r="T73" i="4"/>
  <c r="S73" i="4"/>
  <c r="T72" i="4"/>
  <c r="S72" i="4"/>
  <c r="T71" i="4"/>
  <c r="S71" i="4"/>
  <c r="T70" i="4"/>
  <c r="S70" i="4"/>
  <c r="T69" i="4"/>
  <c r="S69" i="4"/>
  <c r="T68" i="4"/>
  <c r="S68" i="4"/>
  <c r="T67" i="4"/>
  <c r="S67" i="4"/>
  <c r="T66" i="4"/>
  <c r="S66" i="4"/>
  <c r="T65" i="4"/>
  <c r="S65" i="4"/>
  <c r="T64" i="4"/>
  <c r="S64" i="4"/>
  <c r="T63" i="4"/>
  <c r="S63" i="4"/>
  <c r="T62" i="4"/>
  <c r="S62" i="4"/>
  <c r="T61" i="4"/>
  <c r="S61" i="4"/>
  <c r="T60" i="4"/>
  <c r="S60" i="4"/>
  <c r="T59" i="4"/>
  <c r="S59" i="4"/>
  <c r="T58" i="4"/>
  <c r="S58" i="4"/>
  <c r="T57" i="4"/>
  <c r="S57" i="4"/>
  <c r="T56" i="4"/>
  <c r="S56" i="4"/>
  <c r="T55" i="4"/>
  <c r="S55" i="4"/>
  <c r="T54" i="4"/>
  <c r="S54" i="4"/>
  <c r="T53" i="4"/>
  <c r="S53" i="4"/>
  <c r="T52" i="4"/>
  <c r="S52" i="4"/>
  <c r="T51" i="4"/>
  <c r="S51" i="4"/>
  <c r="T50" i="4"/>
  <c r="S50" i="4"/>
  <c r="T49" i="4"/>
  <c r="S49" i="4"/>
  <c r="T48" i="4"/>
  <c r="S48" i="4"/>
  <c r="T47" i="4"/>
  <c r="S47" i="4"/>
  <c r="T46" i="4"/>
  <c r="S46" i="4"/>
  <c r="T45" i="4"/>
  <c r="S45" i="4"/>
  <c r="T44" i="4"/>
  <c r="S44" i="4"/>
  <c r="T43" i="4"/>
  <c r="S43" i="4"/>
  <c r="T42" i="4"/>
  <c r="S42" i="4"/>
  <c r="T41" i="4"/>
  <c r="S41" i="4"/>
  <c r="T40" i="4"/>
  <c r="S40" i="4"/>
  <c r="T39" i="4"/>
  <c r="S39" i="4"/>
  <c r="T38" i="4"/>
  <c r="S38" i="4"/>
  <c r="T37" i="4"/>
  <c r="S37" i="4"/>
  <c r="T36" i="4"/>
  <c r="S36" i="4"/>
  <c r="T35" i="4"/>
  <c r="S35" i="4"/>
  <c r="T34" i="4"/>
  <c r="S34" i="4"/>
  <c r="T33" i="4"/>
  <c r="S33" i="4"/>
  <c r="T32" i="4"/>
  <c r="S32" i="4"/>
  <c r="T31" i="4"/>
  <c r="S31" i="4"/>
  <c r="T30" i="4"/>
  <c r="S30" i="4"/>
  <c r="T29" i="4"/>
  <c r="S29" i="4"/>
  <c r="T28" i="4"/>
  <c r="S28" i="4"/>
  <c r="T27" i="4"/>
  <c r="S27" i="4"/>
  <c r="T26" i="4"/>
  <c r="S26" i="4"/>
  <c r="T25" i="4"/>
  <c r="S25" i="4"/>
  <c r="T24" i="4"/>
  <c r="S24" i="4"/>
  <c r="T23" i="4"/>
  <c r="S23" i="4"/>
  <c r="T22" i="4"/>
  <c r="S22" i="4"/>
  <c r="T21" i="4"/>
  <c r="S21" i="4"/>
  <c r="T20" i="4"/>
  <c r="S20" i="4"/>
  <c r="T19" i="4"/>
  <c r="S19" i="4"/>
  <c r="T18" i="4"/>
  <c r="S18" i="4"/>
  <c r="T17" i="4"/>
  <c r="S17" i="4"/>
  <c r="T16" i="4"/>
  <c r="S16" i="4"/>
  <c r="T15" i="4"/>
  <c r="S15" i="4"/>
  <c r="T14" i="4"/>
  <c r="S14" i="4"/>
  <c r="T13" i="4"/>
  <c r="S13" i="4"/>
  <c r="T12" i="4"/>
  <c r="S12" i="4"/>
  <c r="T11" i="4"/>
  <c r="S11" i="4"/>
  <c r="T10" i="4"/>
  <c r="S10" i="4"/>
  <c r="T9" i="4"/>
  <c r="S9" i="4"/>
  <c r="T8" i="4"/>
  <c r="S8" i="4"/>
  <c r="T7" i="4"/>
  <c r="S7" i="4"/>
  <c r="S6" i="4"/>
  <c r="T6" i="4"/>
  <c r="Q735" i="3"/>
  <c r="P735" i="3"/>
  <c r="O735" i="3"/>
  <c r="Q734" i="3"/>
  <c r="P734" i="3"/>
  <c r="O734" i="3"/>
  <c r="Q733" i="3"/>
  <c r="P733" i="3"/>
  <c r="O733" i="3"/>
  <c r="Q732" i="3"/>
  <c r="P732" i="3"/>
  <c r="O732" i="3"/>
  <c r="Q731" i="3"/>
  <c r="P731" i="3"/>
  <c r="O731" i="3"/>
  <c r="Q730" i="3"/>
  <c r="P730" i="3"/>
  <c r="O730" i="3"/>
  <c r="Q729" i="3"/>
  <c r="P729" i="3"/>
  <c r="O729" i="3"/>
  <c r="Q728" i="3"/>
  <c r="P728" i="3"/>
  <c r="O728" i="3"/>
  <c r="Q727" i="3"/>
  <c r="P727" i="3"/>
  <c r="O727" i="3"/>
  <c r="Q726" i="3"/>
  <c r="P726" i="3"/>
  <c r="O726" i="3"/>
  <c r="Q725" i="3"/>
  <c r="P725" i="3"/>
  <c r="O725" i="3"/>
  <c r="Q724" i="3"/>
  <c r="P724" i="3"/>
  <c r="O724" i="3"/>
  <c r="Q723" i="3"/>
  <c r="P723" i="3"/>
  <c r="O723" i="3"/>
  <c r="Q722" i="3"/>
  <c r="P722" i="3"/>
  <c r="O722" i="3"/>
  <c r="Q721" i="3"/>
  <c r="P721" i="3"/>
  <c r="O721" i="3"/>
  <c r="Q720" i="3"/>
  <c r="P720" i="3"/>
  <c r="O720" i="3"/>
  <c r="Q719" i="3"/>
  <c r="P719" i="3"/>
  <c r="O719" i="3"/>
  <c r="Q718" i="3"/>
  <c r="P718" i="3"/>
  <c r="O718" i="3"/>
  <c r="Q717" i="3"/>
  <c r="P717" i="3"/>
  <c r="O717" i="3"/>
  <c r="Q716" i="3"/>
  <c r="P716" i="3"/>
  <c r="O716" i="3"/>
  <c r="Q715" i="3"/>
  <c r="P715" i="3"/>
  <c r="O715" i="3"/>
  <c r="Q714" i="3"/>
  <c r="P714" i="3"/>
  <c r="O714" i="3"/>
  <c r="Q713" i="3"/>
  <c r="P713" i="3"/>
  <c r="O713" i="3"/>
  <c r="Q712" i="3"/>
  <c r="P712" i="3"/>
  <c r="O712" i="3"/>
  <c r="Q711" i="3"/>
  <c r="P711" i="3"/>
  <c r="O711" i="3"/>
  <c r="Q710" i="3"/>
  <c r="P710" i="3"/>
  <c r="O710" i="3"/>
  <c r="Q709" i="3"/>
  <c r="P709" i="3"/>
  <c r="O709" i="3"/>
  <c r="Q708" i="3"/>
  <c r="P708" i="3"/>
  <c r="O708" i="3"/>
  <c r="Q707" i="3"/>
  <c r="P707" i="3"/>
  <c r="O707" i="3"/>
  <c r="Q706" i="3"/>
  <c r="P706" i="3"/>
  <c r="O706" i="3"/>
  <c r="Q705" i="3"/>
  <c r="P705" i="3"/>
  <c r="O705" i="3"/>
  <c r="Q704" i="3"/>
  <c r="P704" i="3"/>
  <c r="O704" i="3"/>
  <c r="Q703" i="3"/>
  <c r="P703" i="3"/>
  <c r="O703" i="3"/>
  <c r="Q702" i="3"/>
  <c r="P702" i="3"/>
  <c r="O702" i="3"/>
  <c r="Q701" i="3"/>
  <c r="P701" i="3"/>
  <c r="O701" i="3"/>
  <c r="Q700" i="3"/>
  <c r="P700" i="3"/>
  <c r="O700" i="3"/>
  <c r="Q699" i="3"/>
  <c r="P699" i="3"/>
  <c r="O699" i="3"/>
  <c r="Q698" i="3"/>
  <c r="P698" i="3"/>
  <c r="O698" i="3"/>
  <c r="Q697" i="3"/>
  <c r="P697" i="3"/>
  <c r="O697" i="3"/>
  <c r="Q696" i="3"/>
  <c r="P696" i="3"/>
  <c r="O696" i="3"/>
  <c r="Q695" i="3"/>
  <c r="P695" i="3"/>
  <c r="O695" i="3"/>
  <c r="Q694" i="3"/>
  <c r="P694" i="3"/>
  <c r="O694" i="3"/>
  <c r="Q693" i="3"/>
  <c r="P693" i="3"/>
  <c r="O693" i="3"/>
  <c r="Q692" i="3"/>
  <c r="P692" i="3"/>
  <c r="O692" i="3"/>
  <c r="Q691" i="3"/>
  <c r="P691" i="3"/>
  <c r="O691" i="3"/>
  <c r="Q690" i="3"/>
  <c r="P690" i="3"/>
  <c r="O690" i="3"/>
  <c r="Q689" i="3"/>
  <c r="P689" i="3"/>
  <c r="O689" i="3"/>
  <c r="Q688" i="3"/>
  <c r="P688" i="3"/>
  <c r="O688" i="3"/>
  <c r="Q687" i="3"/>
  <c r="P687" i="3"/>
  <c r="O687" i="3"/>
  <c r="Q686" i="3"/>
  <c r="P686" i="3"/>
  <c r="O686" i="3"/>
  <c r="Q685" i="3"/>
  <c r="P685" i="3"/>
  <c r="O685" i="3"/>
  <c r="Q684" i="3"/>
  <c r="P684" i="3"/>
  <c r="O684" i="3"/>
  <c r="Q683" i="3"/>
  <c r="P683" i="3"/>
  <c r="O683" i="3"/>
  <c r="Q682" i="3"/>
  <c r="P682" i="3"/>
  <c r="O682" i="3"/>
  <c r="Q681" i="3"/>
  <c r="P681" i="3"/>
  <c r="O681" i="3"/>
  <c r="Q680" i="3"/>
  <c r="P680" i="3"/>
  <c r="O680" i="3"/>
  <c r="Q679" i="3"/>
  <c r="P679" i="3"/>
  <c r="O679" i="3"/>
  <c r="Q678" i="3"/>
  <c r="P678" i="3"/>
  <c r="O678" i="3"/>
  <c r="Q677" i="3"/>
  <c r="P677" i="3"/>
  <c r="O677" i="3"/>
  <c r="Q676" i="3"/>
  <c r="P676" i="3"/>
  <c r="O676" i="3"/>
  <c r="Q675" i="3"/>
  <c r="P675" i="3"/>
  <c r="O675" i="3"/>
  <c r="Q674" i="3"/>
  <c r="P674" i="3"/>
  <c r="O674" i="3"/>
  <c r="Q673" i="3"/>
  <c r="P673" i="3"/>
  <c r="O673" i="3"/>
  <c r="Q672" i="3"/>
  <c r="P672" i="3"/>
  <c r="O672" i="3"/>
  <c r="Q671" i="3"/>
  <c r="P671" i="3"/>
  <c r="O671" i="3"/>
  <c r="Q670" i="3"/>
  <c r="P670" i="3"/>
  <c r="O670" i="3"/>
  <c r="Q669" i="3"/>
  <c r="P669" i="3"/>
  <c r="O669" i="3"/>
  <c r="Q668" i="3"/>
  <c r="P668" i="3"/>
  <c r="O668" i="3"/>
  <c r="Q667" i="3"/>
  <c r="P667" i="3"/>
  <c r="O667" i="3"/>
  <c r="Q666" i="3"/>
  <c r="P666" i="3"/>
  <c r="O666" i="3"/>
  <c r="Q665" i="3"/>
  <c r="P665" i="3"/>
  <c r="O665" i="3"/>
  <c r="Q664" i="3"/>
  <c r="P664" i="3"/>
  <c r="O664" i="3"/>
  <c r="Q663" i="3"/>
  <c r="P663" i="3"/>
  <c r="O663" i="3"/>
  <c r="Q662" i="3"/>
  <c r="P662" i="3"/>
  <c r="O662" i="3"/>
  <c r="Q661" i="3"/>
  <c r="P661" i="3"/>
  <c r="O661" i="3"/>
  <c r="Q660" i="3"/>
  <c r="P660" i="3"/>
  <c r="O660" i="3"/>
  <c r="Q659" i="3"/>
  <c r="P659" i="3"/>
  <c r="O659" i="3"/>
  <c r="Q658" i="3"/>
  <c r="P658" i="3"/>
  <c r="O658" i="3"/>
  <c r="Q657" i="3"/>
  <c r="P657" i="3"/>
  <c r="O657" i="3"/>
  <c r="Q656" i="3"/>
  <c r="P656" i="3"/>
  <c r="O656" i="3"/>
  <c r="Q655" i="3"/>
  <c r="P655" i="3"/>
  <c r="O655" i="3"/>
  <c r="Q654" i="3"/>
  <c r="P654" i="3"/>
  <c r="O654" i="3"/>
  <c r="Q653" i="3"/>
  <c r="P653" i="3"/>
  <c r="O653" i="3"/>
  <c r="Q652" i="3"/>
  <c r="P652" i="3"/>
  <c r="O652" i="3"/>
  <c r="Q651" i="3"/>
  <c r="P651" i="3"/>
  <c r="O651" i="3"/>
  <c r="Q650" i="3"/>
  <c r="P650" i="3"/>
  <c r="O650" i="3"/>
  <c r="Q649" i="3"/>
  <c r="P649" i="3"/>
  <c r="O649" i="3"/>
  <c r="Q648" i="3"/>
  <c r="P648" i="3"/>
  <c r="O648" i="3"/>
  <c r="Q647" i="3"/>
  <c r="P647" i="3"/>
  <c r="O647" i="3"/>
  <c r="Q646" i="3"/>
  <c r="P646" i="3"/>
  <c r="O646" i="3"/>
  <c r="Q645" i="3"/>
  <c r="P645" i="3"/>
  <c r="O645" i="3"/>
  <c r="Q644" i="3"/>
  <c r="P644" i="3"/>
  <c r="O644" i="3"/>
  <c r="Q643" i="3"/>
  <c r="P643" i="3"/>
  <c r="O643" i="3"/>
  <c r="Q642" i="3"/>
  <c r="P642" i="3"/>
  <c r="O642" i="3"/>
  <c r="Q641" i="3"/>
  <c r="P641" i="3"/>
  <c r="O641" i="3"/>
  <c r="Q640" i="3"/>
  <c r="P640" i="3"/>
  <c r="O640" i="3"/>
  <c r="Q639" i="3"/>
  <c r="P639" i="3"/>
  <c r="O639" i="3"/>
  <c r="Q638" i="3"/>
  <c r="P638" i="3"/>
  <c r="O638" i="3"/>
  <c r="Q637" i="3"/>
  <c r="P637" i="3"/>
  <c r="O637" i="3"/>
  <c r="Q636" i="3"/>
  <c r="P636" i="3"/>
  <c r="O636" i="3"/>
  <c r="Q635" i="3"/>
  <c r="P635" i="3"/>
  <c r="O635" i="3"/>
  <c r="Q634" i="3"/>
  <c r="P634" i="3"/>
  <c r="O634" i="3"/>
  <c r="Q633" i="3"/>
  <c r="P633" i="3"/>
  <c r="O633" i="3"/>
  <c r="Q632" i="3"/>
  <c r="P632" i="3"/>
  <c r="O632" i="3"/>
  <c r="Q631" i="3"/>
  <c r="P631" i="3"/>
  <c r="O631" i="3"/>
  <c r="Q630" i="3"/>
  <c r="P630" i="3"/>
  <c r="O630" i="3"/>
  <c r="Q629" i="3"/>
  <c r="P629" i="3"/>
  <c r="O629" i="3"/>
  <c r="Q628" i="3"/>
  <c r="P628" i="3"/>
  <c r="O628" i="3"/>
  <c r="Q627" i="3"/>
  <c r="P627" i="3"/>
  <c r="O627" i="3"/>
  <c r="Q626" i="3"/>
  <c r="P626" i="3"/>
  <c r="O626" i="3"/>
  <c r="Q625" i="3"/>
  <c r="P625" i="3"/>
  <c r="O625" i="3"/>
  <c r="Q624" i="3"/>
  <c r="P624" i="3"/>
  <c r="O624" i="3"/>
  <c r="Q623" i="3"/>
  <c r="P623" i="3"/>
  <c r="O623" i="3"/>
  <c r="Q622" i="3"/>
  <c r="P622" i="3"/>
  <c r="O622" i="3"/>
  <c r="Q621" i="3"/>
  <c r="P621" i="3"/>
  <c r="O621" i="3"/>
  <c r="Q620" i="3"/>
  <c r="P620" i="3"/>
  <c r="O620" i="3"/>
  <c r="Q619" i="3"/>
  <c r="P619" i="3"/>
  <c r="O619" i="3"/>
  <c r="Q618" i="3"/>
  <c r="P618" i="3"/>
  <c r="O618" i="3"/>
  <c r="Q617" i="3"/>
  <c r="P617" i="3"/>
  <c r="O617" i="3"/>
  <c r="Q616" i="3"/>
  <c r="P616" i="3"/>
  <c r="O616" i="3"/>
  <c r="Q615" i="3"/>
  <c r="P615" i="3"/>
  <c r="O615" i="3"/>
  <c r="Q614" i="3"/>
  <c r="P614" i="3"/>
  <c r="O614" i="3"/>
  <c r="Q613" i="3"/>
  <c r="P613" i="3"/>
  <c r="O613" i="3"/>
  <c r="Q612" i="3"/>
  <c r="P612" i="3"/>
  <c r="O612" i="3"/>
  <c r="Q611" i="3"/>
  <c r="P611" i="3"/>
  <c r="O611" i="3"/>
  <c r="Q610" i="3"/>
  <c r="P610" i="3"/>
  <c r="O610" i="3"/>
  <c r="Q609" i="3"/>
  <c r="P609" i="3"/>
  <c r="O609" i="3"/>
  <c r="Q608" i="3"/>
  <c r="P608" i="3"/>
  <c r="O608" i="3"/>
  <c r="Q607" i="3"/>
  <c r="P607" i="3"/>
  <c r="O607" i="3"/>
  <c r="Q606" i="3"/>
  <c r="P606" i="3"/>
  <c r="O606" i="3"/>
  <c r="Q605" i="3"/>
  <c r="P605" i="3"/>
  <c r="O605" i="3"/>
  <c r="Q604" i="3"/>
  <c r="P604" i="3"/>
  <c r="O604" i="3"/>
  <c r="Q603" i="3"/>
  <c r="P603" i="3"/>
  <c r="O603" i="3"/>
  <c r="Q602" i="3"/>
  <c r="P602" i="3"/>
  <c r="O602" i="3"/>
  <c r="Q601" i="3"/>
  <c r="P601" i="3"/>
  <c r="O601" i="3"/>
  <c r="Q600" i="3"/>
  <c r="P600" i="3"/>
  <c r="O600" i="3"/>
  <c r="Q599" i="3"/>
  <c r="P599" i="3"/>
  <c r="O599" i="3"/>
  <c r="Q598" i="3"/>
  <c r="P598" i="3"/>
  <c r="O598" i="3"/>
  <c r="Q597" i="3"/>
  <c r="P597" i="3"/>
  <c r="O597" i="3"/>
  <c r="Q596" i="3"/>
  <c r="P596" i="3"/>
  <c r="O596" i="3"/>
  <c r="Q595" i="3"/>
  <c r="P595" i="3"/>
  <c r="O595" i="3"/>
  <c r="Q594" i="3"/>
  <c r="P594" i="3"/>
  <c r="O594" i="3"/>
  <c r="Q593" i="3"/>
  <c r="P593" i="3"/>
  <c r="O593" i="3"/>
  <c r="Q592" i="3"/>
  <c r="P592" i="3"/>
  <c r="O592" i="3"/>
  <c r="Q591" i="3"/>
  <c r="P591" i="3"/>
  <c r="O591" i="3"/>
  <c r="Q590" i="3"/>
  <c r="P590" i="3"/>
  <c r="O590" i="3"/>
  <c r="Q589" i="3"/>
  <c r="P589" i="3"/>
  <c r="O589" i="3"/>
  <c r="Q588" i="3"/>
  <c r="P588" i="3"/>
  <c r="O588" i="3"/>
  <c r="Q587" i="3"/>
  <c r="P587" i="3"/>
  <c r="O587" i="3"/>
  <c r="Q586" i="3"/>
  <c r="P586" i="3"/>
  <c r="O586" i="3"/>
  <c r="Q585" i="3"/>
  <c r="P585" i="3"/>
  <c r="O585" i="3"/>
  <c r="Q584" i="3"/>
  <c r="P584" i="3"/>
  <c r="O584" i="3"/>
  <c r="Q583" i="3"/>
  <c r="P583" i="3"/>
  <c r="O583" i="3"/>
  <c r="Q582" i="3"/>
  <c r="P582" i="3"/>
  <c r="O582" i="3"/>
  <c r="Q581" i="3"/>
  <c r="P581" i="3"/>
  <c r="O581" i="3"/>
  <c r="Q580" i="3"/>
  <c r="P580" i="3"/>
  <c r="O580" i="3"/>
  <c r="Q579" i="3"/>
  <c r="P579" i="3"/>
  <c r="O579" i="3"/>
  <c r="Q578" i="3"/>
  <c r="P578" i="3"/>
  <c r="O578" i="3"/>
  <c r="Q577" i="3"/>
  <c r="P577" i="3"/>
  <c r="O577" i="3"/>
  <c r="Q576" i="3"/>
  <c r="P576" i="3"/>
  <c r="O576" i="3"/>
  <c r="Q575" i="3"/>
  <c r="P575" i="3"/>
  <c r="O575" i="3"/>
  <c r="Q574" i="3"/>
  <c r="P574" i="3"/>
  <c r="O574" i="3"/>
  <c r="Q573" i="3"/>
  <c r="P573" i="3"/>
  <c r="O573" i="3"/>
  <c r="Q572" i="3"/>
  <c r="P572" i="3"/>
  <c r="O572" i="3"/>
  <c r="Q571" i="3"/>
  <c r="P571" i="3"/>
  <c r="O571" i="3"/>
  <c r="Q570" i="3"/>
  <c r="P570" i="3"/>
  <c r="O570" i="3"/>
  <c r="Q569" i="3"/>
  <c r="P569" i="3"/>
  <c r="O569" i="3"/>
  <c r="Q568" i="3"/>
  <c r="P568" i="3"/>
  <c r="O568" i="3"/>
  <c r="Q567" i="3"/>
  <c r="P567" i="3"/>
  <c r="O567" i="3"/>
  <c r="Q566" i="3"/>
  <c r="P566" i="3"/>
  <c r="O566" i="3"/>
  <c r="Q565" i="3"/>
  <c r="P565" i="3"/>
  <c r="O565" i="3"/>
  <c r="Q564" i="3"/>
  <c r="P564" i="3"/>
  <c r="O564" i="3"/>
  <c r="Q563" i="3"/>
  <c r="P563" i="3"/>
  <c r="O563" i="3"/>
  <c r="Q562" i="3"/>
  <c r="P562" i="3"/>
  <c r="O562" i="3"/>
  <c r="Q561" i="3"/>
  <c r="P561" i="3"/>
  <c r="O561" i="3"/>
  <c r="Q560" i="3"/>
  <c r="P560" i="3"/>
  <c r="O560" i="3"/>
  <c r="Q559" i="3"/>
  <c r="P559" i="3"/>
  <c r="O559" i="3"/>
  <c r="Q558" i="3"/>
  <c r="P558" i="3"/>
  <c r="O558" i="3"/>
  <c r="Q557" i="3"/>
  <c r="P557" i="3"/>
  <c r="O557" i="3"/>
  <c r="Q556" i="3"/>
  <c r="P556" i="3"/>
  <c r="O556" i="3"/>
  <c r="Q555" i="3"/>
  <c r="P555" i="3"/>
  <c r="O555" i="3"/>
  <c r="Q554" i="3"/>
  <c r="P554" i="3"/>
  <c r="O554" i="3"/>
  <c r="Q553" i="3"/>
  <c r="P553" i="3"/>
  <c r="O553" i="3"/>
  <c r="Q552" i="3"/>
  <c r="P552" i="3"/>
  <c r="O552" i="3"/>
  <c r="Q551" i="3"/>
  <c r="P551" i="3"/>
  <c r="O551" i="3"/>
  <c r="Q550" i="3"/>
  <c r="P550" i="3"/>
  <c r="O550" i="3"/>
  <c r="Q549" i="3"/>
  <c r="P549" i="3"/>
  <c r="O549" i="3"/>
  <c r="Q548" i="3"/>
  <c r="P548" i="3"/>
  <c r="O548" i="3"/>
  <c r="Q547" i="3"/>
  <c r="P547" i="3"/>
  <c r="O547" i="3"/>
  <c r="Q546" i="3"/>
  <c r="P546" i="3"/>
  <c r="O546" i="3"/>
  <c r="Q545" i="3"/>
  <c r="P545" i="3"/>
  <c r="O545" i="3"/>
  <c r="Q544" i="3"/>
  <c r="P544" i="3"/>
  <c r="O544" i="3"/>
  <c r="Q543" i="3"/>
  <c r="P543" i="3"/>
  <c r="O543" i="3"/>
  <c r="Q542" i="3"/>
  <c r="P542" i="3"/>
  <c r="O542" i="3"/>
  <c r="Q541" i="3"/>
  <c r="P541" i="3"/>
  <c r="O541" i="3"/>
  <c r="Q540" i="3"/>
  <c r="P540" i="3"/>
  <c r="O540" i="3"/>
  <c r="Q539" i="3"/>
  <c r="P539" i="3"/>
  <c r="O539" i="3"/>
  <c r="Q538" i="3"/>
  <c r="P538" i="3"/>
  <c r="O538" i="3"/>
  <c r="Q537" i="3"/>
  <c r="P537" i="3"/>
  <c r="O537" i="3"/>
  <c r="Q536" i="3"/>
  <c r="P536" i="3"/>
  <c r="O536" i="3"/>
  <c r="Q535" i="3"/>
  <c r="P535" i="3"/>
  <c r="O535" i="3"/>
  <c r="Q534" i="3"/>
  <c r="P534" i="3"/>
  <c r="O534" i="3"/>
  <c r="Q533" i="3"/>
  <c r="P533" i="3"/>
  <c r="O533" i="3"/>
  <c r="Q532" i="3"/>
  <c r="P532" i="3"/>
  <c r="O532" i="3"/>
  <c r="Q531" i="3"/>
  <c r="P531" i="3"/>
  <c r="O531" i="3"/>
  <c r="Q530" i="3"/>
  <c r="P530" i="3"/>
  <c r="O530" i="3"/>
  <c r="Q529" i="3"/>
  <c r="P529" i="3"/>
  <c r="O529" i="3"/>
  <c r="Q528" i="3"/>
  <c r="P528" i="3"/>
  <c r="O528" i="3"/>
  <c r="Q527" i="3"/>
  <c r="P527" i="3"/>
  <c r="O527" i="3"/>
  <c r="Q526" i="3"/>
  <c r="P526" i="3"/>
  <c r="O526" i="3"/>
  <c r="Q525" i="3"/>
  <c r="P525" i="3"/>
  <c r="O525" i="3"/>
  <c r="Q524" i="3"/>
  <c r="P524" i="3"/>
  <c r="O524" i="3"/>
  <c r="Q523" i="3"/>
  <c r="P523" i="3"/>
  <c r="O523" i="3"/>
  <c r="Q522" i="3"/>
  <c r="P522" i="3"/>
  <c r="O522" i="3"/>
  <c r="Q521" i="3"/>
  <c r="P521" i="3"/>
  <c r="O521" i="3"/>
  <c r="Q520" i="3"/>
  <c r="P520" i="3"/>
  <c r="O520" i="3"/>
  <c r="Q519" i="3"/>
  <c r="P519" i="3"/>
  <c r="O519" i="3"/>
  <c r="Q518" i="3"/>
  <c r="P518" i="3"/>
  <c r="O518" i="3"/>
  <c r="Q517" i="3"/>
  <c r="P517" i="3"/>
  <c r="O517" i="3"/>
  <c r="Q516" i="3"/>
  <c r="P516" i="3"/>
  <c r="O516" i="3"/>
  <c r="Q515" i="3"/>
  <c r="P515" i="3"/>
  <c r="O515" i="3"/>
  <c r="Q514" i="3"/>
  <c r="P514" i="3"/>
  <c r="O514" i="3"/>
  <c r="Q513" i="3"/>
  <c r="P513" i="3"/>
  <c r="O513" i="3"/>
  <c r="Q512" i="3"/>
  <c r="P512" i="3"/>
  <c r="O512" i="3"/>
  <c r="Q511" i="3"/>
  <c r="P511" i="3"/>
  <c r="O511" i="3"/>
  <c r="Q510" i="3"/>
  <c r="P510" i="3"/>
  <c r="O510" i="3"/>
  <c r="Q509" i="3"/>
  <c r="P509" i="3"/>
  <c r="O509" i="3"/>
  <c r="Q508" i="3"/>
  <c r="P508" i="3"/>
  <c r="O508" i="3"/>
  <c r="Q507" i="3"/>
  <c r="P507" i="3"/>
  <c r="O507" i="3"/>
  <c r="Q506" i="3"/>
  <c r="P506" i="3"/>
  <c r="O506" i="3"/>
  <c r="Q505" i="3"/>
  <c r="P505" i="3"/>
  <c r="O505" i="3"/>
  <c r="Q504" i="3"/>
  <c r="P504" i="3"/>
  <c r="O504" i="3"/>
  <c r="Q503" i="3"/>
  <c r="P503" i="3"/>
  <c r="O503" i="3"/>
  <c r="Q502" i="3"/>
  <c r="P502" i="3"/>
  <c r="O502" i="3"/>
  <c r="Q501" i="3"/>
  <c r="P501" i="3"/>
  <c r="O501" i="3"/>
  <c r="Q500" i="3"/>
  <c r="P500" i="3"/>
  <c r="O500" i="3"/>
  <c r="Q499" i="3"/>
  <c r="P499" i="3"/>
  <c r="O499" i="3"/>
  <c r="Q498" i="3"/>
  <c r="P498" i="3"/>
  <c r="O498" i="3"/>
  <c r="Q497" i="3"/>
  <c r="P497" i="3"/>
  <c r="O497" i="3"/>
  <c r="Q496" i="3"/>
  <c r="P496" i="3"/>
  <c r="O496" i="3"/>
  <c r="Q495" i="3"/>
  <c r="P495" i="3"/>
  <c r="O495" i="3"/>
  <c r="Q494" i="3"/>
  <c r="P494" i="3"/>
  <c r="O494" i="3"/>
  <c r="Q493" i="3"/>
  <c r="P493" i="3"/>
  <c r="O493" i="3"/>
  <c r="Q492" i="3"/>
  <c r="P492" i="3"/>
  <c r="O492" i="3"/>
  <c r="Q491" i="3"/>
  <c r="P491" i="3"/>
  <c r="O491" i="3"/>
  <c r="Q490" i="3"/>
  <c r="P490" i="3"/>
  <c r="O490" i="3"/>
  <c r="Q489" i="3"/>
  <c r="P489" i="3"/>
  <c r="O489" i="3"/>
  <c r="Q488" i="3"/>
  <c r="P488" i="3"/>
  <c r="O488" i="3"/>
  <c r="Q487" i="3"/>
  <c r="P487" i="3"/>
  <c r="O487" i="3"/>
  <c r="Q486" i="3"/>
  <c r="P486" i="3"/>
  <c r="O486" i="3"/>
  <c r="Q485" i="3"/>
  <c r="P485" i="3"/>
  <c r="O485" i="3"/>
  <c r="Q484" i="3"/>
  <c r="P484" i="3"/>
  <c r="O484" i="3"/>
  <c r="Q483" i="3"/>
  <c r="P483" i="3"/>
  <c r="O483" i="3"/>
  <c r="Q482" i="3"/>
  <c r="P482" i="3"/>
  <c r="O482" i="3"/>
  <c r="Q481" i="3"/>
  <c r="P481" i="3"/>
  <c r="O481" i="3"/>
  <c r="Q480" i="3"/>
  <c r="P480" i="3"/>
  <c r="O480" i="3"/>
  <c r="Q479" i="3"/>
  <c r="P479" i="3"/>
  <c r="O479" i="3"/>
  <c r="Q478" i="3"/>
  <c r="P478" i="3"/>
  <c r="O478" i="3"/>
  <c r="Q477" i="3"/>
  <c r="P477" i="3"/>
  <c r="O477" i="3"/>
  <c r="Q476" i="3"/>
  <c r="P476" i="3"/>
  <c r="O476" i="3"/>
  <c r="Q475" i="3"/>
  <c r="P475" i="3"/>
  <c r="O475" i="3"/>
  <c r="Q474" i="3"/>
  <c r="P474" i="3"/>
  <c r="O474" i="3"/>
  <c r="Q473" i="3"/>
  <c r="P473" i="3"/>
  <c r="O473" i="3"/>
  <c r="Q472" i="3"/>
  <c r="P472" i="3"/>
  <c r="O472" i="3"/>
  <c r="Q471" i="3"/>
  <c r="P471" i="3"/>
  <c r="O471" i="3"/>
  <c r="Q470" i="3"/>
  <c r="P470" i="3"/>
  <c r="O470" i="3"/>
  <c r="Q469" i="3"/>
  <c r="P469" i="3"/>
  <c r="O469" i="3"/>
  <c r="Q468" i="3"/>
  <c r="P468" i="3"/>
  <c r="O468" i="3"/>
  <c r="Q467" i="3"/>
  <c r="P467" i="3"/>
  <c r="O467" i="3"/>
  <c r="Q466" i="3"/>
  <c r="P466" i="3"/>
  <c r="O466" i="3"/>
  <c r="Q465" i="3"/>
  <c r="P465" i="3"/>
  <c r="O465" i="3"/>
  <c r="Q464" i="3"/>
  <c r="P464" i="3"/>
  <c r="O464" i="3"/>
  <c r="Q463" i="3"/>
  <c r="P463" i="3"/>
  <c r="O463" i="3"/>
  <c r="Q462" i="3"/>
  <c r="P462" i="3"/>
  <c r="O462" i="3"/>
  <c r="Q461" i="3"/>
  <c r="P461" i="3"/>
  <c r="O461" i="3"/>
  <c r="Q460" i="3"/>
  <c r="P460" i="3"/>
  <c r="O460" i="3"/>
  <c r="Q459" i="3"/>
  <c r="P459" i="3"/>
  <c r="O459" i="3"/>
  <c r="Q458" i="3"/>
  <c r="P458" i="3"/>
  <c r="O458" i="3"/>
  <c r="Q457" i="3"/>
  <c r="P457" i="3"/>
  <c r="O457" i="3"/>
  <c r="Q456" i="3"/>
  <c r="P456" i="3"/>
  <c r="O456" i="3"/>
  <c r="Q455" i="3"/>
  <c r="P455" i="3"/>
  <c r="O455" i="3"/>
  <c r="Q454" i="3"/>
  <c r="P454" i="3"/>
  <c r="O454" i="3"/>
  <c r="Q453" i="3"/>
  <c r="P453" i="3"/>
  <c r="O453" i="3"/>
  <c r="Q452" i="3"/>
  <c r="P452" i="3"/>
  <c r="O452" i="3"/>
  <c r="Q451" i="3"/>
  <c r="P451" i="3"/>
  <c r="O451" i="3"/>
  <c r="Q450" i="3"/>
  <c r="P450" i="3"/>
  <c r="O450" i="3"/>
  <c r="Q449" i="3"/>
  <c r="P449" i="3"/>
  <c r="O449" i="3"/>
  <c r="Q448" i="3"/>
  <c r="P448" i="3"/>
  <c r="O448" i="3"/>
  <c r="Q447" i="3"/>
  <c r="P447" i="3"/>
  <c r="O447" i="3"/>
  <c r="Q446" i="3"/>
  <c r="P446" i="3"/>
  <c r="O446" i="3"/>
  <c r="Q445" i="3"/>
  <c r="P445" i="3"/>
  <c r="O445" i="3"/>
  <c r="Q444" i="3"/>
  <c r="P444" i="3"/>
  <c r="O444" i="3"/>
  <c r="Q443" i="3"/>
  <c r="P443" i="3"/>
  <c r="O443" i="3"/>
  <c r="Q442" i="3"/>
  <c r="P442" i="3"/>
  <c r="O442" i="3"/>
  <c r="Q441" i="3"/>
  <c r="P441" i="3"/>
  <c r="O441" i="3"/>
  <c r="Q440" i="3"/>
  <c r="P440" i="3"/>
  <c r="O440" i="3"/>
  <c r="Q439" i="3"/>
  <c r="P439" i="3"/>
  <c r="O439" i="3"/>
  <c r="Q438" i="3"/>
  <c r="P438" i="3"/>
  <c r="O438" i="3"/>
  <c r="Q437" i="3"/>
  <c r="P437" i="3"/>
  <c r="O437" i="3"/>
  <c r="Q436" i="3"/>
  <c r="P436" i="3"/>
  <c r="O436" i="3"/>
  <c r="Q435" i="3"/>
  <c r="P435" i="3"/>
  <c r="O435" i="3"/>
  <c r="Q434" i="3"/>
  <c r="P434" i="3"/>
  <c r="O434" i="3"/>
  <c r="Q433" i="3"/>
  <c r="P433" i="3"/>
  <c r="O433" i="3"/>
  <c r="Q432" i="3"/>
  <c r="P432" i="3"/>
  <c r="O432" i="3"/>
  <c r="Q431" i="3"/>
  <c r="P431" i="3"/>
  <c r="O431" i="3"/>
  <c r="Q430" i="3"/>
  <c r="P430" i="3"/>
  <c r="O430" i="3"/>
  <c r="Q429" i="3"/>
  <c r="P429" i="3"/>
  <c r="O429" i="3"/>
  <c r="Q428" i="3"/>
  <c r="P428" i="3"/>
  <c r="O428" i="3"/>
  <c r="Q427" i="3"/>
  <c r="P427" i="3"/>
  <c r="O427" i="3"/>
  <c r="Q426" i="3"/>
  <c r="P426" i="3"/>
  <c r="O426" i="3"/>
  <c r="Q425" i="3"/>
  <c r="P425" i="3"/>
  <c r="O425" i="3"/>
  <c r="Q424" i="3"/>
  <c r="P424" i="3"/>
  <c r="O424" i="3"/>
  <c r="Q423" i="3"/>
  <c r="P423" i="3"/>
  <c r="O423" i="3"/>
  <c r="Q422" i="3"/>
  <c r="P422" i="3"/>
  <c r="O422" i="3"/>
  <c r="Q421" i="3"/>
  <c r="P421" i="3"/>
  <c r="O421" i="3"/>
  <c r="Q420" i="3"/>
  <c r="P420" i="3"/>
  <c r="O420" i="3"/>
  <c r="Q419" i="3"/>
  <c r="P419" i="3"/>
  <c r="O419" i="3"/>
  <c r="Q418" i="3"/>
  <c r="P418" i="3"/>
  <c r="O418" i="3"/>
  <c r="Q417" i="3"/>
  <c r="P417" i="3"/>
  <c r="O417" i="3"/>
  <c r="Q416" i="3"/>
  <c r="P416" i="3"/>
  <c r="O416" i="3"/>
  <c r="Q415" i="3"/>
  <c r="P415" i="3"/>
  <c r="O415" i="3"/>
  <c r="Q414" i="3"/>
  <c r="P414" i="3"/>
  <c r="O414" i="3"/>
  <c r="Q413" i="3"/>
  <c r="P413" i="3"/>
  <c r="O413" i="3"/>
  <c r="Q412" i="3"/>
  <c r="P412" i="3"/>
  <c r="O412" i="3"/>
  <c r="Q411" i="3"/>
  <c r="P411" i="3"/>
  <c r="O411" i="3"/>
  <c r="Q410" i="3"/>
  <c r="P410" i="3"/>
  <c r="O410" i="3"/>
  <c r="Q409" i="3"/>
  <c r="P409" i="3"/>
  <c r="O409" i="3"/>
  <c r="Q408" i="3"/>
  <c r="P408" i="3"/>
  <c r="O408" i="3"/>
  <c r="Q407" i="3"/>
  <c r="P407" i="3"/>
  <c r="O407" i="3"/>
  <c r="Q406" i="3"/>
  <c r="P406" i="3"/>
  <c r="O406" i="3"/>
  <c r="Q405" i="3"/>
  <c r="P405" i="3"/>
  <c r="O405" i="3"/>
  <c r="Q404" i="3"/>
  <c r="P404" i="3"/>
  <c r="O404" i="3"/>
  <c r="Q403" i="3"/>
  <c r="P403" i="3"/>
  <c r="O403" i="3"/>
  <c r="Q402" i="3"/>
  <c r="P402" i="3"/>
  <c r="O402" i="3"/>
  <c r="Q401" i="3"/>
  <c r="P401" i="3"/>
  <c r="O401" i="3"/>
  <c r="Q400" i="3"/>
  <c r="P400" i="3"/>
  <c r="O400" i="3"/>
  <c r="Q399" i="3"/>
  <c r="P399" i="3"/>
  <c r="O399" i="3"/>
  <c r="Q398" i="3"/>
  <c r="P398" i="3"/>
  <c r="O398" i="3"/>
  <c r="Q397" i="3"/>
  <c r="P397" i="3"/>
  <c r="O397" i="3"/>
  <c r="Q396" i="3"/>
  <c r="P396" i="3"/>
  <c r="O396" i="3"/>
  <c r="Q395" i="3"/>
  <c r="P395" i="3"/>
  <c r="O395" i="3"/>
  <c r="Q394" i="3"/>
  <c r="P394" i="3"/>
  <c r="O394" i="3"/>
  <c r="Q393" i="3"/>
  <c r="P393" i="3"/>
  <c r="O393" i="3"/>
  <c r="Q392" i="3"/>
  <c r="P392" i="3"/>
  <c r="O392" i="3"/>
  <c r="Q391" i="3"/>
  <c r="P391" i="3"/>
  <c r="O391" i="3"/>
  <c r="Q390" i="3"/>
  <c r="P390" i="3"/>
  <c r="O390" i="3"/>
  <c r="Q389" i="3"/>
  <c r="P389" i="3"/>
  <c r="O389" i="3"/>
  <c r="Q388" i="3"/>
  <c r="P388" i="3"/>
  <c r="O388" i="3"/>
  <c r="Q387" i="3"/>
  <c r="P387" i="3"/>
  <c r="O387" i="3"/>
  <c r="Q386" i="3"/>
  <c r="P386" i="3"/>
  <c r="O386" i="3"/>
  <c r="Q385" i="3"/>
  <c r="P385" i="3"/>
  <c r="O385" i="3"/>
  <c r="Q384" i="3"/>
  <c r="P384" i="3"/>
  <c r="O384" i="3"/>
  <c r="Q383" i="3"/>
  <c r="P383" i="3"/>
  <c r="O383" i="3"/>
  <c r="Q382" i="3"/>
  <c r="P382" i="3"/>
  <c r="O382" i="3"/>
  <c r="Q381" i="3"/>
  <c r="P381" i="3"/>
  <c r="O381" i="3"/>
  <c r="Q380" i="3"/>
  <c r="P380" i="3"/>
  <c r="O380" i="3"/>
  <c r="Q379" i="3"/>
  <c r="P379" i="3"/>
  <c r="O379" i="3"/>
  <c r="Q378" i="3"/>
  <c r="P378" i="3"/>
  <c r="O378" i="3"/>
  <c r="Q377" i="3"/>
  <c r="P377" i="3"/>
  <c r="O377" i="3"/>
  <c r="Q376" i="3"/>
  <c r="P376" i="3"/>
  <c r="O376" i="3"/>
  <c r="Q375" i="3"/>
  <c r="P375" i="3"/>
  <c r="O375" i="3"/>
  <c r="Q374" i="3"/>
  <c r="P374" i="3"/>
  <c r="O374" i="3"/>
  <c r="Q373" i="3"/>
  <c r="P373" i="3"/>
  <c r="O373" i="3"/>
  <c r="Q372" i="3"/>
  <c r="P372" i="3"/>
  <c r="O372" i="3"/>
  <c r="Q371" i="3"/>
  <c r="P371" i="3"/>
  <c r="O371" i="3"/>
  <c r="Q370" i="3"/>
  <c r="P370" i="3"/>
  <c r="O370" i="3"/>
  <c r="Q369" i="3"/>
  <c r="P369" i="3"/>
  <c r="O369" i="3"/>
  <c r="Q368" i="3"/>
  <c r="P368" i="3"/>
  <c r="O368" i="3"/>
  <c r="Q367" i="3"/>
  <c r="P367" i="3"/>
  <c r="O367" i="3"/>
  <c r="Q366" i="3"/>
  <c r="P366" i="3"/>
  <c r="O366" i="3"/>
  <c r="Q365" i="3"/>
  <c r="P365" i="3"/>
  <c r="O365" i="3"/>
  <c r="Q364" i="3"/>
  <c r="P364" i="3"/>
  <c r="O364" i="3"/>
  <c r="Q363" i="3"/>
  <c r="P363" i="3"/>
  <c r="O363" i="3"/>
  <c r="Q362" i="3"/>
  <c r="P362" i="3"/>
  <c r="O362" i="3"/>
  <c r="Q361" i="3"/>
  <c r="P361" i="3"/>
  <c r="O361" i="3"/>
  <c r="Q360" i="3"/>
  <c r="P360" i="3"/>
  <c r="O360" i="3"/>
  <c r="Q359" i="3"/>
  <c r="P359" i="3"/>
  <c r="O359" i="3"/>
  <c r="Q358" i="3"/>
  <c r="P358" i="3"/>
  <c r="O358" i="3"/>
  <c r="Q357" i="3"/>
  <c r="P357" i="3"/>
  <c r="O357" i="3"/>
  <c r="Q356" i="3"/>
  <c r="P356" i="3"/>
  <c r="O356" i="3"/>
  <c r="Q355" i="3"/>
  <c r="P355" i="3"/>
  <c r="O355" i="3"/>
  <c r="Q354" i="3"/>
  <c r="P354" i="3"/>
  <c r="O354" i="3"/>
  <c r="Q353" i="3"/>
  <c r="P353" i="3"/>
  <c r="O353" i="3"/>
  <c r="Q352" i="3"/>
  <c r="P352" i="3"/>
  <c r="O352" i="3"/>
  <c r="Q351" i="3"/>
  <c r="P351" i="3"/>
  <c r="O351" i="3"/>
  <c r="Q350" i="3"/>
  <c r="P350" i="3"/>
  <c r="O350" i="3"/>
  <c r="Q349" i="3"/>
  <c r="P349" i="3"/>
  <c r="O349" i="3"/>
  <c r="Q348" i="3"/>
  <c r="P348" i="3"/>
  <c r="O348" i="3"/>
  <c r="Q347" i="3"/>
  <c r="P347" i="3"/>
  <c r="O347" i="3"/>
  <c r="Q346" i="3"/>
  <c r="P346" i="3"/>
  <c r="O346" i="3"/>
  <c r="Q345" i="3"/>
  <c r="P345" i="3"/>
  <c r="O345" i="3"/>
  <c r="Q344" i="3"/>
  <c r="P344" i="3"/>
  <c r="O344" i="3"/>
  <c r="Q343" i="3"/>
  <c r="P343" i="3"/>
  <c r="O343" i="3"/>
  <c r="Q342" i="3"/>
  <c r="P342" i="3"/>
  <c r="O342" i="3"/>
  <c r="Q341" i="3"/>
  <c r="P341" i="3"/>
  <c r="O341" i="3"/>
  <c r="Q340" i="3"/>
  <c r="P340" i="3"/>
  <c r="O340" i="3"/>
  <c r="Q339" i="3"/>
  <c r="P339" i="3"/>
  <c r="O339" i="3"/>
  <c r="Q338" i="3"/>
  <c r="P338" i="3"/>
  <c r="O338" i="3"/>
  <c r="Q337" i="3"/>
  <c r="P337" i="3"/>
  <c r="O337" i="3"/>
  <c r="Q336" i="3"/>
  <c r="P336" i="3"/>
  <c r="O336" i="3"/>
  <c r="Q335" i="3"/>
  <c r="P335" i="3"/>
  <c r="O335" i="3"/>
  <c r="Q334" i="3"/>
  <c r="P334" i="3"/>
  <c r="O334" i="3"/>
  <c r="Q333" i="3"/>
  <c r="P333" i="3"/>
  <c r="O333" i="3"/>
  <c r="Q332" i="3"/>
  <c r="P332" i="3"/>
  <c r="O332" i="3"/>
  <c r="Q331" i="3"/>
  <c r="P331" i="3"/>
  <c r="O331" i="3"/>
  <c r="Q330" i="3"/>
  <c r="P330" i="3"/>
  <c r="O330" i="3"/>
  <c r="Q329" i="3"/>
  <c r="P329" i="3"/>
  <c r="O329" i="3"/>
  <c r="Q328" i="3"/>
  <c r="P328" i="3"/>
  <c r="O328" i="3"/>
  <c r="Q327" i="3"/>
  <c r="P327" i="3"/>
  <c r="O327" i="3"/>
  <c r="Q326" i="3"/>
  <c r="P326" i="3"/>
  <c r="O326" i="3"/>
  <c r="Q325" i="3"/>
  <c r="P325" i="3"/>
  <c r="O325" i="3"/>
  <c r="Q324" i="3"/>
  <c r="P324" i="3"/>
  <c r="O324" i="3"/>
  <c r="Q323" i="3"/>
  <c r="P323" i="3"/>
  <c r="O323" i="3"/>
  <c r="Q322" i="3"/>
  <c r="P322" i="3"/>
  <c r="O322" i="3"/>
  <c r="Q321" i="3"/>
  <c r="P321" i="3"/>
  <c r="O321" i="3"/>
  <c r="Q320" i="3"/>
  <c r="P320" i="3"/>
  <c r="O320" i="3"/>
  <c r="Q319" i="3"/>
  <c r="P319" i="3"/>
  <c r="O319" i="3"/>
  <c r="Q318" i="3"/>
  <c r="P318" i="3"/>
  <c r="O318" i="3"/>
  <c r="Q317" i="3"/>
  <c r="P317" i="3"/>
  <c r="O317" i="3"/>
  <c r="Q316" i="3"/>
  <c r="P316" i="3"/>
  <c r="O316" i="3"/>
  <c r="Q315" i="3"/>
  <c r="P315" i="3"/>
  <c r="O315" i="3"/>
  <c r="Q314" i="3"/>
  <c r="P314" i="3"/>
  <c r="O314" i="3"/>
  <c r="Q313" i="3"/>
  <c r="P313" i="3"/>
  <c r="O313" i="3"/>
  <c r="Q312" i="3"/>
  <c r="P312" i="3"/>
  <c r="O312" i="3"/>
  <c r="Q311" i="3"/>
  <c r="P311" i="3"/>
  <c r="O311" i="3"/>
  <c r="Q310" i="3"/>
  <c r="P310" i="3"/>
  <c r="O310" i="3"/>
  <c r="Q309" i="3"/>
  <c r="P309" i="3"/>
  <c r="O309" i="3"/>
  <c r="Q308" i="3"/>
  <c r="P308" i="3"/>
  <c r="O308" i="3"/>
  <c r="Q307" i="3"/>
  <c r="P307" i="3"/>
  <c r="O307" i="3"/>
  <c r="Q306" i="3"/>
  <c r="P306" i="3"/>
  <c r="O306" i="3"/>
  <c r="Q305" i="3"/>
  <c r="P305" i="3"/>
  <c r="O305" i="3"/>
  <c r="Q304" i="3"/>
  <c r="P304" i="3"/>
  <c r="O304" i="3"/>
  <c r="Q303" i="3"/>
  <c r="P303" i="3"/>
  <c r="O303" i="3"/>
  <c r="Q302" i="3"/>
  <c r="P302" i="3"/>
  <c r="O302" i="3"/>
  <c r="Q301" i="3"/>
  <c r="P301" i="3"/>
  <c r="O301" i="3"/>
  <c r="Q300" i="3"/>
  <c r="P300" i="3"/>
  <c r="O300" i="3"/>
  <c r="Q299" i="3"/>
  <c r="P299" i="3"/>
  <c r="O299" i="3"/>
  <c r="Q298" i="3"/>
  <c r="P298" i="3"/>
  <c r="O298" i="3"/>
  <c r="Q297" i="3"/>
  <c r="P297" i="3"/>
  <c r="O297" i="3"/>
  <c r="Q296" i="3"/>
  <c r="P296" i="3"/>
  <c r="O296" i="3"/>
  <c r="Q295" i="3"/>
  <c r="P295" i="3"/>
  <c r="O295" i="3"/>
  <c r="Q294" i="3"/>
  <c r="P294" i="3"/>
  <c r="O294" i="3"/>
  <c r="Q293" i="3"/>
  <c r="P293" i="3"/>
  <c r="O293" i="3"/>
  <c r="Q292" i="3"/>
  <c r="P292" i="3"/>
  <c r="O292" i="3"/>
  <c r="Q291" i="3"/>
  <c r="P291" i="3"/>
  <c r="O291" i="3"/>
  <c r="Q290" i="3"/>
  <c r="P290" i="3"/>
  <c r="O290" i="3"/>
  <c r="Q289" i="3"/>
  <c r="P289" i="3"/>
  <c r="O289" i="3"/>
  <c r="Q288" i="3"/>
  <c r="P288" i="3"/>
  <c r="O288" i="3"/>
  <c r="Q287" i="3"/>
  <c r="P287" i="3"/>
  <c r="O287" i="3"/>
  <c r="Q286" i="3"/>
  <c r="P286" i="3"/>
  <c r="O286" i="3"/>
  <c r="Q285" i="3"/>
  <c r="P285" i="3"/>
  <c r="O285" i="3"/>
  <c r="Q284" i="3"/>
  <c r="P284" i="3"/>
  <c r="O284" i="3"/>
  <c r="Q283" i="3"/>
  <c r="P283" i="3"/>
  <c r="O283" i="3"/>
  <c r="Q282" i="3"/>
  <c r="P282" i="3"/>
  <c r="O282" i="3"/>
  <c r="Q281" i="3"/>
  <c r="P281" i="3"/>
  <c r="O281" i="3"/>
  <c r="Q280" i="3"/>
  <c r="P280" i="3"/>
  <c r="O280" i="3"/>
  <c r="Q279" i="3"/>
  <c r="P279" i="3"/>
  <c r="O279" i="3"/>
  <c r="Q278" i="3"/>
  <c r="P278" i="3"/>
  <c r="O278" i="3"/>
  <c r="Q277" i="3"/>
  <c r="P277" i="3"/>
  <c r="O277" i="3"/>
  <c r="Q276" i="3"/>
  <c r="P276" i="3"/>
  <c r="O276" i="3"/>
  <c r="Q275" i="3"/>
  <c r="P275" i="3"/>
  <c r="O275" i="3"/>
  <c r="Q274" i="3"/>
  <c r="P274" i="3"/>
  <c r="O274" i="3"/>
  <c r="Q273" i="3"/>
  <c r="P273" i="3"/>
  <c r="O273" i="3"/>
  <c r="Q272" i="3"/>
  <c r="P272" i="3"/>
  <c r="O272" i="3"/>
  <c r="Q271" i="3"/>
  <c r="P271" i="3"/>
  <c r="O271" i="3"/>
  <c r="Q270" i="3"/>
  <c r="P270" i="3"/>
  <c r="O270" i="3"/>
  <c r="Q269" i="3"/>
  <c r="P269" i="3"/>
  <c r="O269" i="3"/>
  <c r="Q268" i="3"/>
  <c r="P268" i="3"/>
  <c r="O268" i="3"/>
  <c r="Q267" i="3"/>
  <c r="P267" i="3"/>
  <c r="O267" i="3"/>
  <c r="Q266" i="3"/>
  <c r="P266" i="3"/>
  <c r="O266" i="3"/>
  <c r="Q265" i="3"/>
  <c r="P265" i="3"/>
  <c r="O265" i="3"/>
  <c r="Q264" i="3"/>
  <c r="P264" i="3"/>
  <c r="O264" i="3"/>
  <c r="Q263" i="3"/>
  <c r="P263" i="3"/>
  <c r="O263" i="3"/>
  <c r="Q262" i="3"/>
  <c r="P262" i="3"/>
  <c r="O262" i="3"/>
  <c r="Q261" i="3"/>
  <c r="P261" i="3"/>
  <c r="O261" i="3"/>
  <c r="Q260" i="3"/>
  <c r="P260" i="3"/>
  <c r="O260" i="3"/>
  <c r="Q259" i="3"/>
  <c r="P259" i="3"/>
  <c r="O259" i="3"/>
  <c r="Q258" i="3"/>
  <c r="P258" i="3"/>
  <c r="O258" i="3"/>
  <c r="Q257" i="3"/>
  <c r="P257" i="3"/>
  <c r="O257" i="3"/>
  <c r="Q256" i="3"/>
  <c r="P256" i="3"/>
  <c r="O256" i="3"/>
  <c r="Q255" i="3"/>
  <c r="P255" i="3"/>
  <c r="O255" i="3"/>
  <c r="Q254" i="3"/>
  <c r="P254" i="3"/>
  <c r="O254" i="3"/>
  <c r="Q253" i="3"/>
  <c r="P253" i="3"/>
  <c r="O253" i="3"/>
  <c r="Q252" i="3"/>
  <c r="P252" i="3"/>
  <c r="O252" i="3"/>
  <c r="Q251" i="3"/>
  <c r="P251" i="3"/>
  <c r="O251" i="3"/>
  <c r="Q250" i="3"/>
  <c r="P250" i="3"/>
  <c r="O250" i="3"/>
  <c r="Q249" i="3"/>
  <c r="P249" i="3"/>
  <c r="O249" i="3"/>
  <c r="Q248" i="3"/>
  <c r="P248" i="3"/>
  <c r="O248" i="3"/>
  <c r="Q247" i="3"/>
  <c r="P247" i="3"/>
  <c r="O247" i="3"/>
  <c r="Q246" i="3"/>
  <c r="P246" i="3"/>
  <c r="O246" i="3"/>
  <c r="Q245" i="3"/>
  <c r="P245" i="3"/>
  <c r="O245" i="3"/>
  <c r="Q244" i="3"/>
  <c r="P244" i="3"/>
  <c r="O244" i="3"/>
  <c r="Q243" i="3"/>
  <c r="P243" i="3"/>
  <c r="O243" i="3"/>
  <c r="Q242" i="3"/>
  <c r="P242" i="3"/>
  <c r="O242" i="3"/>
  <c r="Q241" i="3"/>
  <c r="P241" i="3"/>
  <c r="O241" i="3"/>
  <c r="Q240" i="3"/>
  <c r="P240" i="3"/>
  <c r="O240" i="3"/>
  <c r="Q239" i="3"/>
  <c r="P239" i="3"/>
  <c r="O239" i="3"/>
  <c r="Q238" i="3"/>
  <c r="P238" i="3"/>
  <c r="O238" i="3"/>
  <c r="Q237" i="3"/>
  <c r="P237" i="3"/>
  <c r="O237" i="3"/>
  <c r="Q236" i="3"/>
  <c r="P236" i="3"/>
  <c r="O236" i="3"/>
  <c r="Q235" i="3"/>
  <c r="P235" i="3"/>
  <c r="O235" i="3"/>
  <c r="Q234" i="3"/>
  <c r="P234" i="3"/>
  <c r="O234" i="3"/>
  <c r="Q233" i="3"/>
  <c r="P233" i="3"/>
  <c r="O233" i="3"/>
  <c r="Q232" i="3"/>
  <c r="P232" i="3"/>
  <c r="O232" i="3"/>
  <c r="Q231" i="3"/>
  <c r="P231" i="3"/>
  <c r="O231" i="3"/>
  <c r="Q230" i="3"/>
  <c r="P230" i="3"/>
  <c r="O230" i="3"/>
  <c r="Q229" i="3"/>
  <c r="P229" i="3"/>
  <c r="O229" i="3"/>
  <c r="Q228" i="3"/>
  <c r="P228" i="3"/>
  <c r="O228" i="3"/>
  <c r="Q227" i="3"/>
  <c r="P227" i="3"/>
  <c r="O227" i="3"/>
  <c r="Q226" i="3"/>
  <c r="P226" i="3"/>
  <c r="O226" i="3"/>
  <c r="Q225" i="3"/>
  <c r="P225" i="3"/>
  <c r="O225" i="3"/>
  <c r="Q224" i="3"/>
  <c r="P224" i="3"/>
  <c r="O224" i="3"/>
  <c r="Q223" i="3"/>
  <c r="P223" i="3"/>
  <c r="O223" i="3"/>
  <c r="Q222" i="3"/>
  <c r="P222" i="3"/>
  <c r="O222" i="3"/>
  <c r="Q221" i="3"/>
  <c r="P221" i="3"/>
  <c r="O221" i="3"/>
  <c r="Q220" i="3"/>
  <c r="P220" i="3"/>
  <c r="O220" i="3"/>
  <c r="Q219" i="3"/>
  <c r="P219" i="3"/>
  <c r="O219" i="3"/>
  <c r="Q218" i="3"/>
  <c r="P218" i="3"/>
  <c r="O218" i="3"/>
  <c r="Q217" i="3"/>
  <c r="P217" i="3"/>
  <c r="O217" i="3"/>
  <c r="Q216" i="3"/>
  <c r="P216" i="3"/>
  <c r="O216" i="3"/>
  <c r="Q215" i="3"/>
  <c r="P215" i="3"/>
  <c r="O215" i="3"/>
  <c r="Q214" i="3"/>
  <c r="P214" i="3"/>
  <c r="O214" i="3"/>
  <c r="Q213" i="3"/>
  <c r="P213" i="3"/>
  <c r="O213" i="3"/>
  <c r="Q212" i="3"/>
  <c r="P212" i="3"/>
  <c r="O212" i="3"/>
  <c r="Q211" i="3"/>
  <c r="P211" i="3"/>
  <c r="O211" i="3"/>
  <c r="Q210" i="3"/>
  <c r="P210" i="3"/>
  <c r="O210" i="3"/>
  <c r="Q209" i="3"/>
  <c r="P209" i="3"/>
  <c r="O209" i="3"/>
  <c r="Q208" i="3"/>
  <c r="P208" i="3"/>
  <c r="O208" i="3"/>
  <c r="Q207" i="3"/>
  <c r="P207" i="3"/>
  <c r="O207" i="3"/>
  <c r="Q206" i="3"/>
  <c r="P206" i="3"/>
  <c r="O206" i="3"/>
  <c r="Q205" i="3"/>
  <c r="P205" i="3"/>
  <c r="O205" i="3"/>
  <c r="Q204" i="3"/>
  <c r="P204" i="3"/>
  <c r="O204" i="3"/>
  <c r="Q203" i="3"/>
  <c r="P203" i="3"/>
  <c r="O203" i="3"/>
  <c r="Q202" i="3"/>
  <c r="P202" i="3"/>
  <c r="O202" i="3"/>
  <c r="Q201" i="3"/>
  <c r="P201" i="3"/>
  <c r="O201" i="3"/>
  <c r="Q200" i="3"/>
  <c r="P200" i="3"/>
  <c r="O200" i="3"/>
  <c r="Q199" i="3"/>
  <c r="P199" i="3"/>
  <c r="O199" i="3"/>
  <c r="Q198" i="3"/>
  <c r="P198" i="3"/>
  <c r="O198" i="3"/>
  <c r="Q197" i="3"/>
  <c r="P197" i="3"/>
  <c r="O197" i="3"/>
  <c r="Q196" i="3"/>
  <c r="P196" i="3"/>
  <c r="O196" i="3"/>
  <c r="Q195" i="3"/>
  <c r="P195" i="3"/>
  <c r="O195" i="3"/>
  <c r="Q194" i="3"/>
  <c r="P194" i="3"/>
  <c r="O194" i="3"/>
  <c r="Q193" i="3"/>
  <c r="P193" i="3"/>
  <c r="O193" i="3"/>
  <c r="Q192" i="3"/>
  <c r="P192" i="3"/>
  <c r="O192" i="3"/>
  <c r="Q191" i="3"/>
  <c r="P191" i="3"/>
  <c r="O191" i="3"/>
  <c r="Q190" i="3"/>
  <c r="P190" i="3"/>
  <c r="O190" i="3"/>
  <c r="Q189" i="3"/>
  <c r="P189" i="3"/>
  <c r="O189" i="3"/>
  <c r="Q188" i="3"/>
  <c r="P188" i="3"/>
  <c r="O188" i="3"/>
  <c r="Q187" i="3"/>
  <c r="P187" i="3"/>
  <c r="O187" i="3"/>
  <c r="Q186" i="3"/>
  <c r="P186" i="3"/>
  <c r="O186" i="3"/>
  <c r="Q185" i="3"/>
  <c r="P185" i="3"/>
  <c r="O185" i="3"/>
  <c r="Q184" i="3"/>
  <c r="P184" i="3"/>
  <c r="O184" i="3"/>
  <c r="Q183" i="3"/>
  <c r="P183" i="3"/>
  <c r="O183" i="3"/>
  <c r="Q182" i="3"/>
  <c r="P182" i="3"/>
  <c r="O182" i="3"/>
  <c r="Q181" i="3"/>
  <c r="P181" i="3"/>
  <c r="O181" i="3"/>
  <c r="Q180" i="3"/>
  <c r="P180" i="3"/>
  <c r="O180" i="3"/>
  <c r="Q179" i="3"/>
  <c r="P179" i="3"/>
  <c r="O179" i="3"/>
  <c r="Q178" i="3"/>
  <c r="P178" i="3"/>
  <c r="O178" i="3"/>
  <c r="Q177" i="3"/>
  <c r="P177" i="3"/>
  <c r="O177" i="3"/>
  <c r="Q176" i="3"/>
  <c r="P176" i="3"/>
  <c r="O176" i="3"/>
  <c r="Q175" i="3"/>
  <c r="P175" i="3"/>
  <c r="O175" i="3"/>
  <c r="Q174" i="3"/>
  <c r="P174" i="3"/>
  <c r="O174" i="3"/>
  <c r="Q173" i="3"/>
  <c r="P173" i="3"/>
  <c r="O173" i="3"/>
  <c r="Q172" i="3"/>
  <c r="P172" i="3"/>
  <c r="O172" i="3"/>
  <c r="Q171" i="3"/>
  <c r="P171" i="3"/>
  <c r="O171" i="3"/>
  <c r="Q170" i="3"/>
  <c r="P170" i="3"/>
  <c r="O170" i="3"/>
  <c r="Q169" i="3"/>
  <c r="P169" i="3"/>
  <c r="O169" i="3"/>
  <c r="Q168" i="3"/>
  <c r="P168" i="3"/>
  <c r="O168" i="3"/>
  <c r="Q167" i="3"/>
  <c r="P167" i="3"/>
  <c r="O167" i="3"/>
  <c r="Q166" i="3"/>
  <c r="P166" i="3"/>
  <c r="O166" i="3"/>
  <c r="Q165" i="3"/>
  <c r="P165" i="3"/>
  <c r="O165" i="3"/>
  <c r="Q164" i="3"/>
  <c r="P164" i="3"/>
  <c r="O164" i="3"/>
  <c r="Q163" i="3"/>
  <c r="P163" i="3"/>
  <c r="O163" i="3"/>
  <c r="Q162" i="3"/>
  <c r="P162" i="3"/>
  <c r="O162" i="3"/>
  <c r="Q161" i="3"/>
  <c r="P161" i="3"/>
  <c r="O161" i="3"/>
  <c r="Q160" i="3"/>
  <c r="P160" i="3"/>
  <c r="O160" i="3"/>
  <c r="Q159" i="3"/>
  <c r="P159" i="3"/>
  <c r="O159" i="3"/>
  <c r="Q158" i="3"/>
  <c r="P158" i="3"/>
  <c r="O158" i="3"/>
  <c r="Q157" i="3"/>
  <c r="P157" i="3"/>
  <c r="O157" i="3"/>
  <c r="Q156" i="3"/>
  <c r="P156" i="3"/>
  <c r="O156" i="3"/>
  <c r="Q155" i="3"/>
  <c r="P155" i="3"/>
  <c r="O155" i="3"/>
  <c r="Q154" i="3"/>
  <c r="P154" i="3"/>
  <c r="O154" i="3"/>
  <c r="Q153" i="3"/>
  <c r="P153" i="3"/>
  <c r="O153" i="3"/>
  <c r="Q152" i="3"/>
  <c r="P152" i="3"/>
  <c r="O152" i="3"/>
  <c r="Q151" i="3"/>
  <c r="P151" i="3"/>
  <c r="O151" i="3"/>
  <c r="Q150" i="3"/>
  <c r="P150" i="3"/>
  <c r="O150" i="3"/>
  <c r="Q149" i="3"/>
  <c r="P149" i="3"/>
  <c r="O149" i="3"/>
  <c r="Q148" i="3"/>
  <c r="P148" i="3"/>
  <c r="O148" i="3"/>
  <c r="Q147" i="3"/>
  <c r="P147" i="3"/>
  <c r="O147" i="3"/>
  <c r="Q146" i="3"/>
  <c r="P146" i="3"/>
  <c r="O146" i="3"/>
  <c r="Q145" i="3"/>
  <c r="P145" i="3"/>
  <c r="O145" i="3"/>
  <c r="Q144" i="3"/>
  <c r="P144" i="3"/>
  <c r="O144" i="3"/>
  <c r="Q143" i="3"/>
  <c r="P143" i="3"/>
  <c r="O143" i="3"/>
  <c r="Q142" i="3"/>
  <c r="P142" i="3"/>
  <c r="O142" i="3"/>
  <c r="Q141" i="3"/>
  <c r="P141" i="3"/>
  <c r="O141" i="3"/>
  <c r="Q140" i="3"/>
  <c r="P140" i="3"/>
  <c r="O140" i="3"/>
  <c r="Q139" i="3"/>
  <c r="P139" i="3"/>
  <c r="O139" i="3"/>
  <c r="Q138" i="3"/>
  <c r="P138" i="3"/>
  <c r="O138" i="3"/>
  <c r="Q137" i="3"/>
  <c r="P137" i="3"/>
  <c r="O137" i="3"/>
  <c r="Q136" i="3"/>
  <c r="P136" i="3"/>
  <c r="O136" i="3"/>
  <c r="Q135" i="3"/>
  <c r="P135" i="3"/>
  <c r="O135" i="3"/>
  <c r="Q134" i="3"/>
  <c r="P134" i="3"/>
  <c r="O134" i="3"/>
  <c r="Q133" i="3"/>
  <c r="P133" i="3"/>
  <c r="O133" i="3"/>
  <c r="Q132" i="3"/>
  <c r="P132" i="3"/>
  <c r="O132" i="3"/>
  <c r="Q131" i="3"/>
  <c r="P131" i="3"/>
  <c r="O131" i="3"/>
  <c r="Q130" i="3"/>
  <c r="P130" i="3"/>
  <c r="O130" i="3"/>
  <c r="Q129" i="3"/>
  <c r="P129" i="3"/>
  <c r="O129" i="3"/>
  <c r="Q128" i="3"/>
  <c r="P128" i="3"/>
  <c r="O128" i="3"/>
  <c r="Q127" i="3"/>
  <c r="P127" i="3"/>
  <c r="O127" i="3"/>
  <c r="Q126" i="3"/>
  <c r="P126" i="3"/>
  <c r="O126" i="3"/>
  <c r="Q125" i="3"/>
  <c r="P125" i="3"/>
  <c r="O125" i="3"/>
  <c r="Q124" i="3"/>
  <c r="P124" i="3"/>
  <c r="O124" i="3"/>
  <c r="Q123" i="3"/>
  <c r="P123" i="3"/>
  <c r="O123" i="3"/>
  <c r="Q122" i="3"/>
  <c r="P122" i="3"/>
  <c r="O122" i="3"/>
  <c r="Q121" i="3"/>
  <c r="P121" i="3"/>
  <c r="O121" i="3"/>
  <c r="Q120" i="3"/>
  <c r="P120" i="3"/>
  <c r="O120" i="3"/>
  <c r="Q119" i="3"/>
  <c r="P119" i="3"/>
  <c r="O119" i="3"/>
  <c r="Q118" i="3"/>
  <c r="P118" i="3"/>
  <c r="O118" i="3"/>
  <c r="Q117" i="3"/>
  <c r="P117" i="3"/>
  <c r="O117" i="3"/>
  <c r="Q116" i="3"/>
  <c r="P116" i="3"/>
  <c r="O116" i="3"/>
  <c r="Q115" i="3"/>
  <c r="P115" i="3"/>
  <c r="O115" i="3"/>
  <c r="Q114" i="3"/>
  <c r="P114" i="3"/>
  <c r="O114" i="3"/>
  <c r="Q113" i="3"/>
  <c r="P113" i="3"/>
  <c r="O113" i="3"/>
  <c r="Q112" i="3"/>
  <c r="P112" i="3"/>
  <c r="O112" i="3"/>
  <c r="Q111" i="3"/>
  <c r="P111" i="3"/>
  <c r="O111" i="3"/>
  <c r="Q110" i="3"/>
  <c r="P110" i="3"/>
  <c r="O110" i="3"/>
  <c r="Q109" i="3"/>
  <c r="P109" i="3"/>
  <c r="O109" i="3"/>
  <c r="Q108" i="3"/>
  <c r="P108" i="3"/>
  <c r="O108" i="3"/>
  <c r="Q107" i="3"/>
  <c r="P107" i="3"/>
  <c r="O107" i="3"/>
  <c r="Q106" i="3"/>
  <c r="P106" i="3"/>
  <c r="O106" i="3"/>
  <c r="Q105" i="3"/>
  <c r="P105" i="3"/>
  <c r="O105" i="3"/>
  <c r="Q104" i="3"/>
  <c r="P104" i="3"/>
  <c r="O104" i="3"/>
  <c r="Q103" i="3"/>
  <c r="P103" i="3"/>
  <c r="O103" i="3"/>
  <c r="Q102" i="3"/>
  <c r="P102" i="3"/>
  <c r="O102" i="3"/>
  <c r="Q101" i="3"/>
  <c r="P101" i="3"/>
  <c r="O101" i="3"/>
  <c r="Q100" i="3"/>
  <c r="P100" i="3"/>
  <c r="O100" i="3"/>
  <c r="Q99" i="3"/>
  <c r="P99" i="3"/>
  <c r="O99" i="3"/>
  <c r="Q98" i="3"/>
  <c r="P98" i="3"/>
  <c r="O98" i="3"/>
  <c r="Q97" i="3"/>
  <c r="P97" i="3"/>
  <c r="O97" i="3"/>
  <c r="Q96" i="3"/>
  <c r="P96" i="3"/>
  <c r="O96" i="3"/>
  <c r="Q95" i="3"/>
  <c r="P95" i="3"/>
  <c r="O95" i="3"/>
  <c r="Q94" i="3"/>
  <c r="P94" i="3"/>
  <c r="O94" i="3"/>
  <c r="Q93" i="3"/>
  <c r="P93" i="3"/>
  <c r="O93" i="3"/>
  <c r="Q92" i="3"/>
  <c r="P92" i="3"/>
  <c r="O92" i="3"/>
  <c r="Q91" i="3"/>
  <c r="P91" i="3"/>
  <c r="O91" i="3"/>
  <c r="Q90" i="3"/>
  <c r="P90" i="3"/>
  <c r="O90" i="3"/>
  <c r="Q89" i="3"/>
  <c r="P89" i="3"/>
  <c r="O89" i="3"/>
  <c r="Q88" i="3"/>
  <c r="P88" i="3"/>
  <c r="O88" i="3"/>
  <c r="Q87" i="3"/>
  <c r="P87" i="3"/>
  <c r="O87" i="3"/>
  <c r="Q86" i="3"/>
  <c r="P86" i="3"/>
  <c r="O86" i="3"/>
  <c r="Q85" i="3"/>
  <c r="P85" i="3"/>
  <c r="O85" i="3"/>
  <c r="Q84" i="3"/>
  <c r="P84" i="3"/>
  <c r="O84" i="3"/>
  <c r="Q83" i="3"/>
  <c r="P83" i="3"/>
  <c r="O83" i="3"/>
  <c r="Q82" i="3"/>
  <c r="P82" i="3"/>
  <c r="O82" i="3"/>
  <c r="Q81" i="3"/>
  <c r="P81" i="3"/>
  <c r="O81" i="3"/>
  <c r="Q80" i="3"/>
  <c r="P80" i="3"/>
  <c r="O80" i="3"/>
  <c r="Q79" i="3"/>
  <c r="P79" i="3"/>
  <c r="O79" i="3"/>
  <c r="Q78" i="3"/>
  <c r="P78" i="3"/>
  <c r="O78" i="3"/>
  <c r="Q77" i="3"/>
  <c r="P77" i="3"/>
  <c r="O77" i="3"/>
  <c r="Q76" i="3"/>
  <c r="P76" i="3"/>
  <c r="O76" i="3"/>
  <c r="Q75" i="3"/>
  <c r="P75" i="3"/>
  <c r="O75" i="3"/>
  <c r="Q74" i="3"/>
  <c r="P74" i="3"/>
  <c r="O74" i="3"/>
  <c r="Q73" i="3"/>
  <c r="P73" i="3"/>
  <c r="O73" i="3"/>
  <c r="Q72" i="3"/>
  <c r="P72" i="3"/>
  <c r="O72" i="3"/>
  <c r="Q71" i="3"/>
  <c r="P71" i="3"/>
  <c r="O71" i="3"/>
  <c r="Q70" i="3"/>
  <c r="P70" i="3"/>
  <c r="O70" i="3"/>
  <c r="Q69" i="3"/>
  <c r="P69" i="3"/>
  <c r="O69" i="3"/>
  <c r="Q68" i="3"/>
  <c r="P68" i="3"/>
  <c r="O68" i="3"/>
  <c r="Q67" i="3"/>
  <c r="P67" i="3"/>
  <c r="O67" i="3"/>
  <c r="Q66" i="3"/>
  <c r="P66" i="3"/>
  <c r="O66" i="3"/>
  <c r="Q65" i="3"/>
  <c r="P65" i="3"/>
  <c r="O65" i="3"/>
  <c r="Q64" i="3"/>
  <c r="P64" i="3"/>
  <c r="O64" i="3"/>
  <c r="Q63" i="3"/>
  <c r="P63" i="3"/>
  <c r="O63" i="3"/>
  <c r="Q62" i="3"/>
  <c r="P62" i="3"/>
  <c r="O62" i="3"/>
  <c r="Q61" i="3"/>
  <c r="P61" i="3"/>
  <c r="O61" i="3"/>
  <c r="Q60" i="3"/>
  <c r="P60" i="3"/>
  <c r="O60" i="3"/>
  <c r="Q59" i="3"/>
  <c r="P59" i="3"/>
  <c r="O59" i="3"/>
  <c r="Q58" i="3"/>
  <c r="P58" i="3"/>
  <c r="O58" i="3"/>
  <c r="Q57" i="3"/>
  <c r="P57" i="3"/>
  <c r="O57" i="3"/>
  <c r="Q56" i="3"/>
  <c r="P56" i="3"/>
  <c r="O56" i="3"/>
  <c r="Q55" i="3"/>
  <c r="P55" i="3"/>
  <c r="O55" i="3"/>
  <c r="Q54" i="3"/>
  <c r="P54" i="3"/>
  <c r="O54" i="3"/>
  <c r="Q53" i="3"/>
  <c r="P53" i="3"/>
  <c r="O53" i="3"/>
  <c r="Q52" i="3"/>
  <c r="P52" i="3"/>
  <c r="O52" i="3"/>
  <c r="Q51" i="3"/>
  <c r="P51" i="3"/>
  <c r="O51" i="3"/>
  <c r="Q50" i="3"/>
  <c r="P50" i="3"/>
  <c r="O50" i="3"/>
  <c r="Q49" i="3"/>
  <c r="P49" i="3"/>
  <c r="O49" i="3"/>
  <c r="Q48" i="3"/>
  <c r="P48" i="3"/>
  <c r="O48" i="3"/>
  <c r="Q47" i="3"/>
  <c r="P47" i="3"/>
  <c r="O47" i="3"/>
  <c r="Q46" i="3"/>
  <c r="P46" i="3"/>
  <c r="O46" i="3"/>
  <c r="Q45" i="3"/>
  <c r="P45" i="3"/>
  <c r="O45" i="3"/>
  <c r="Q44" i="3"/>
  <c r="P44" i="3"/>
  <c r="O44" i="3"/>
  <c r="Q43" i="3"/>
  <c r="P43" i="3"/>
  <c r="O43" i="3"/>
  <c r="Q42" i="3"/>
  <c r="P42" i="3"/>
  <c r="O42" i="3"/>
  <c r="Q41" i="3"/>
  <c r="P41" i="3"/>
  <c r="O41" i="3"/>
  <c r="Q40" i="3"/>
  <c r="P40" i="3"/>
  <c r="O40" i="3"/>
  <c r="Q39" i="3"/>
  <c r="P39" i="3"/>
  <c r="O39" i="3"/>
  <c r="Q38" i="3"/>
  <c r="P38" i="3"/>
  <c r="O38" i="3"/>
  <c r="Q37" i="3"/>
  <c r="P37" i="3"/>
  <c r="O37" i="3"/>
  <c r="Q36" i="3"/>
  <c r="P36" i="3"/>
  <c r="O36" i="3"/>
  <c r="Q35" i="3"/>
  <c r="P35" i="3"/>
  <c r="O35" i="3"/>
  <c r="Q34" i="3"/>
  <c r="P34" i="3"/>
  <c r="O34" i="3"/>
  <c r="Q33" i="3"/>
  <c r="P33" i="3"/>
  <c r="O33" i="3"/>
  <c r="Q32" i="3"/>
  <c r="P32" i="3"/>
  <c r="O32" i="3"/>
  <c r="Q31" i="3"/>
  <c r="P31" i="3"/>
  <c r="O31" i="3"/>
  <c r="Q30" i="3"/>
  <c r="P30" i="3"/>
  <c r="O30" i="3"/>
  <c r="Q29" i="3"/>
  <c r="P29" i="3"/>
  <c r="O29" i="3"/>
  <c r="Q28" i="3"/>
  <c r="P28" i="3"/>
  <c r="O28" i="3"/>
  <c r="Q27" i="3"/>
  <c r="P27" i="3"/>
  <c r="O27" i="3"/>
  <c r="Q26" i="3"/>
  <c r="P26" i="3"/>
  <c r="O26" i="3"/>
  <c r="Q25" i="3"/>
  <c r="P25" i="3"/>
  <c r="O25" i="3"/>
  <c r="Q24" i="3"/>
  <c r="P24" i="3"/>
  <c r="O24" i="3"/>
  <c r="Q23" i="3"/>
  <c r="P23" i="3"/>
  <c r="O23" i="3"/>
  <c r="Q22" i="3"/>
  <c r="P22" i="3"/>
  <c r="O22" i="3"/>
  <c r="Q21" i="3"/>
  <c r="P21" i="3"/>
  <c r="O21" i="3"/>
  <c r="Q20" i="3"/>
  <c r="P20" i="3"/>
  <c r="O20" i="3"/>
  <c r="Q19" i="3"/>
  <c r="P19" i="3"/>
  <c r="O19" i="3"/>
  <c r="Q18" i="3"/>
  <c r="P18" i="3"/>
  <c r="O18" i="3"/>
  <c r="Q17" i="3"/>
  <c r="P17" i="3"/>
  <c r="O17" i="3"/>
  <c r="Q16" i="3"/>
  <c r="P16" i="3"/>
  <c r="O16" i="3"/>
  <c r="Q15" i="3"/>
  <c r="P15" i="3"/>
  <c r="O15" i="3"/>
  <c r="Q14" i="3"/>
  <c r="P14" i="3"/>
  <c r="O14" i="3"/>
  <c r="Q13" i="3"/>
  <c r="P13" i="3"/>
  <c r="O13" i="3"/>
  <c r="Q12" i="3"/>
  <c r="P12" i="3"/>
  <c r="O12" i="3"/>
  <c r="Q11" i="3"/>
  <c r="P11" i="3"/>
  <c r="O11" i="3"/>
  <c r="Q10" i="3"/>
  <c r="P10" i="3"/>
  <c r="O10" i="3"/>
  <c r="Q9" i="3"/>
  <c r="P9" i="3"/>
  <c r="O9" i="3"/>
  <c r="Q8" i="3"/>
  <c r="P8" i="3"/>
  <c r="O8" i="3"/>
  <c r="Q7" i="3"/>
  <c r="P7" i="3"/>
  <c r="O7" i="3"/>
  <c r="O6" i="3"/>
  <c r="P6" i="3"/>
  <c r="Q6" i="3"/>
  <c r="M2" i="7" a="1"/>
  <c r="M2" i="7" s="1"/>
  <c r="M4" i="7"/>
  <c r="S14" i="1" s="1"/>
  <c r="J9" i="7"/>
  <c r="D14" i="7"/>
  <c r="D15" i="7"/>
  <c r="D16" i="7"/>
  <c r="D17" i="7"/>
  <c r="D18" i="7"/>
  <c r="D19" i="7"/>
  <c r="D20" i="7"/>
  <c r="D21" i="7"/>
  <c r="D22" i="7"/>
  <c r="D23" i="7"/>
  <c r="D24" i="7"/>
  <c r="D25" i="7"/>
  <c r="B6" i="5"/>
  <c r="A6" i="5" s="1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J13" i="5" s="1"/>
  <c r="C13" i="5"/>
  <c r="B14" i="5"/>
  <c r="C14" i="5"/>
  <c r="B15" i="5"/>
  <c r="C15" i="5"/>
  <c r="B16" i="5"/>
  <c r="C16" i="5"/>
  <c r="B17" i="5"/>
  <c r="J17" i="5" s="1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B29" i="5"/>
  <c r="B6" i="4"/>
  <c r="C6" i="4"/>
  <c r="A7" i="4"/>
  <c r="C659" i="3" a="1"/>
  <c r="C659" i="3"/>
  <c r="D659" i="3"/>
  <c r="M659" i="3"/>
  <c r="N659" i="3"/>
  <c r="C660" i="3" a="1"/>
  <c r="C660" i="3" s="1"/>
  <c r="D660" i="3"/>
  <c r="M660" i="3"/>
  <c r="N660" i="3"/>
  <c r="C661" i="3" a="1"/>
  <c r="C661" i="3"/>
  <c r="D661" i="3"/>
  <c r="M661" i="3"/>
  <c r="N661" i="3"/>
  <c r="C662" i="3" a="1"/>
  <c r="C662" i="3" s="1"/>
  <c r="D662" i="3"/>
  <c r="M662" i="3"/>
  <c r="N662" i="3"/>
  <c r="C663" i="3" a="1"/>
  <c r="C663" i="3" s="1"/>
  <c r="D663" i="3"/>
  <c r="M663" i="3"/>
  <c r="N663" i="3"/>
  <c r="C664" i="3" a="1"/>
  <c r="C664" i="3" s="1"/>
  <c r="D664" i="3"/>
  <c r="M664" i="3"/>
  <c r="N664" i="3"/>
  <c r="C665" i="3" a="1"/>
  <c r="C665" i="3" s="1"/>
  <c r="D665" i="3"/>
  <c r="M665" i="3"/>
  <c r="N665" i="3"/>
  <c r="C666" i="3" a="1"/>
  <c r="C666" i="3" s="1"/>
  <c r="D666" i="3"/>
  <c r="M666" i="3"/>
  <c r="N666" i="3"/>
  <c r="C667" i="3" a="1"/>
  <c r="C667" i="3"/>
  <c r="D667" i="3"/>
  <c r="M667" i="3"/>
  <c r="N667" i="3"/>
  <c r="C668" i="3" a="1"/>
  <c r="C668" i="3" s="1"/>
  <c r="D668" i="3"/>
  <c r="M668" i="3"/>
  <c r="N668" i="3"/>
  <c r="C669" i="3" a="1"/>
  <c r="C669" i="3"/>
  <c r="D669" i="3"/>
  <c r="M669" i="3"/>
  <c r="N669" i="3"/>
  <c r="C670" i="3" a="1"/>
  <c r="C670" i="3" s="1"/>
  <c r="D670" i="3"/>
  <c r="M670" i="3"/>
  <c r="N670" i="3"/>
  <c r="C671" i="3" a="1"/>
  <c r="C671" i="3"/>
  <c r="D671" i="3"/>
  <c r="M671" i="3"/>
  <c r="N671" i="3"/>
  <c r="C672" i="3" a="1"/>
  <c r="C672" i="3" s="1"/>
  <c r="D672" i="3"/>
  <c r="M672" i="3"/>
  <c r="N672" i="3"/>
  <c r="C673" i="3" a="1"/>
  <c r="C673" i="3"/>
  <c r="D673" i="3"/>
  <c r="M673" i="3"/>
  <c r="N673" i="3"/>
  <c r="C674" i="3" a="1"/>
  <c r="C674" i="3" s="1"/>
  <c r="D674" i="3"/>
  <c r="M674" i="3"/>
  <c r="N674" i="3"/>
  <c r="C675" i="3" a="1"/>
  <c r="C675" i="3" s="1"/>
  <c r="D675" i="3"/>
  <c r="M675" i="3"/>
  <c r="N675" i="3"/>
  <c r="C676" i="3" a="1"/>
  <c r="C676" i="3" s="1"/>
  <c r="D676" i="3"/>
  <c r="M676" i="3"/>
  <c r="N676" i="3"/>
  <c r="C677" i="3" a="1"/>
  <c r="C677" i="3"/>
  <c r="D677" i="3"/>
  <c r="M677" i="3"/>
  <c r="N677" i="3"/>
  <c r="C678" i="3" a="1"/>
  <c r="C678" i="3" s="1"/>
  <c r="D678" i="3"/>
  <c r="M678" i="3"/>
  <c r="N678" i="3"/>
  <c r="C679" i="3" a="1"/>
  <c r="C679" i="3"/>
  <c r="D679" i="3"/>
  <c r="M679" i="3"/>
  <c r="N679" i="3"/>
  <c r="C680" i="3" a="1"/>
  <c r="C680" i="3" s="1"/>
  <c r="D680" i="3"/>
  <c r="M680" i="3"/>
  <c r="N680" i="3"/>
  <c r="C681" i="3" a="1"/>
  <c r="C681" i="3"/>
  <c r="D681" i="3"/>
  <c r="M681" i="3"/>
  <c r="N681" i="3"/>
  <c r="C682" i="3" a="1"/>
  <c r="C682" i="3" s="1"/>
  <c r="D682" i="3"/>
  <c r="M682" i="3"/>
  <c r="N682" i="3"/>
  <c r="C683" i="3" a="1"/>
  <c r="C683" i="3" s="1"/>
  <c r="D683" i="3"/>
  <c r="M683" i="3"/>
  <c r="N683" i="3"/>
  <c r="C684" i="3" a="1"/>
  <c r="C684" i="3" s="1"/>
  <c r="D684" i="3"/>
  <c r="M684" i="3"/>
  <c r="N684" i="3"/>
  <c r="C685" i="3" a="1"/>
  <c r="C685" i="3" s="1"/>
  <c r="D685" i="3"/>
  <c r="M685" i="3"/>
  <c r="N685" i="3"/>
  <c r="C686" i="3" a="1"/>
  <c r="C686" i="3" s="1"/>
  <c r="D686" i="3"/>
  <c r="M686" i="3"/>
  <c r="N686" i="3"/>
  <c r="C687" i="3" a="1"/>
  <c r="C687" i="3" s="1"/>
  <c r="D687" i="3"/>
  <c r="M687" i="3"/>
  <c r="N687" i="3"/>
  <c r="C688" i="3" a="1"/>
  <c r="C688" i="3" s="1"/>
  <c r="D688" i="3"/>
  <c r="M688" i="3"/>
  <c r="N688" i="3"/>
  <c r="C689" i="3" a="1"/>
  <c r="C689" i="3"/>
  <c r="D689" i="3"/>
  <c r="M689" i="3"/>
  <c r="N689" i="3"/>
  <c r="C690" i="3" a="1"/>
  <c r="C690" i="3" s="1"/>
  <c r="D690" i="3"/>
  <c r="M690" i="3"/>
  <c r="N690" i="3"/>
  <c r="C691" i="3" a="1"/>
  <c r="C691" i="3"/>
  <c r="D691" i="3"/>
  <c r="M691" i="3"/>
  <c r="N691" i="3"/>
  <c r="C692" i="3" a="1"/>
  <c r="C692" i="3" s="1"/>
  <c r="D692" i="3"/>
  <c r="M692" i="3"/>
  <c r="N692" i="3"/>
  <c r="C693" i="3" a="1"/>
  <c r="C693" i="3" s="1"/>
  <c r="D693" i="3"/>
  <c r="M693" i="3"/>
  <c r="N693" i="3"/>
  <c r="C694" i="3" a="1"/>
  <c r="C694" i="3" s="1"/>
  <c r="D694" i="3"/>
  <c r="M694" i="3"/>
  <c r="N694" i="3"/>
  <c r="C695" i="3" a="1"/>
  <c r="C695" i="3"/>
  <c r="D695" i="3"/>
  <c r="M695" i="3"/>
  <c r="N695" i="3"/>
  <c r="C696" i="3" a="1"/>
  <c r="C696" i="3" s="1"/>
  <c r="D696" i="3"/>
  <c r="M696" i="3"/>
  <c r="N696" i="3"/>
  <c r="C697" i="3" a="1"/>
  <c r="C697" i="3"/>
  <c r="D697" i="3"/>
  <c r="M697" i="3"/>
  <c r="N697" i="3"/>
  <c r="C698" i="3" a="1"/>
  <c r="C698" i="3" s="1"/>
  <c r="D698" i="3"/>
  <c r="M698" i="3"/>
  <c r="N698" i="3"/>
  <c r="C699" i="3" a="1"/>
  <c r="C699" i="3" s="1"/>
  <c r="D699" i="3"/>
  <c r="M699" i="3"/>
  <c r="N699" i="3"/>
  <c r="C700" i="3" a="1"/>
  <c r="C700" i="3" s="1"/>
  <c r="D700" i="3"/>
  <c r="M700" i="3"/>
  <c r="N700" i="3"/>
  <c r="C701" i="3" a="1"/>
  <c r="C701" i="3"/>
  <c r="D701" i="3"/>
  <c r="M701" i="3"/>
  <c r="N701" i="3"/>
  <c r="C702" i="3" a="1"/>
  <c r="C702" i="3" s="1"/>
  <c r="D702" i="3"/>
  <c r="M702" i="3"/>
  <c r="N702" i="3"/>
  <c r="C703" i="3" a="1"/>
  <c r="C703" i="3" s="1"/>
  <c r="D703" i="3"/>
  <c r="M703" i="3"/>
  <c r="N703" i="3"/>
  <c r="C704" i="3" a="1"/>
  <c r="C704" i="3" s="1"/>
  <c r="D704" i="3"/>
  <c r="M704" i="3"/>
  <c r="N704" i="3"/>
  <c r="C705" i="3" a="1"/>
  <c r="C705" i="3"/>
  <c r="D705" i="3"/>
  <c r="M705" i="3"/>
  <c r="N705" i="3"/>
  <c r="C706" i="3" a="1"/>
  <c r="C706" i="3" s="1"/>
  <c r="D706" i="3"/>
  <c r="M706" i="3"/>
  <c r="N706" i="3"/>
  <c r="C707" i="3" a="1"/>
  <c r="C707" i="3" s="1"/>
  <c r="D707" i="3"/>
  <c r="M707" i="3"/>
  <c r="N707" i="3"/>
  <c r="C708" i="3" a="1"/>
  <c r="C708" i="3" s="1"/>
  <c r="D708" i="3"/>
  <c r="M708" i="3"/>
  <c r="N708" i="3"/>
  <c r="C709" i="3" a="1"/>
  <c r="C709" i="3"/>
  <c r="D709" i="3"/>
  <c r="M709" i="3"/>
  <c r="N709" i="3"/>
  <c r="C710" i="3" a="1"/>
  <c r="C710" i="3" s="1"/>
  <c r="D710" i="3"/>
  <c r="M710" i="3"/>
  <c r="N710" i="3"/>
  <c r="C711" i="3" a="1"/>
  <c r="C711" i="3"/>
  <c r="D711" i="3"/>
  <c r="M711" i="3"/>
  <c r="N711" i="3"/>
  <c r="C712" i="3" a="1"/>
  <c r="C712" i="3" s="1"/>
  <c r="D712" i="3"/>
  <c r="M712" i="3"/>
  <c r="N712" i="3"/>
  <c r="C713" i="3" a="1"/>
  <c r="C713" i="3"/>
  <c r="D713" i="3"/>
  <c r="M713" i="3"/>
  <c r="N713" i="3"/>
  <c r="C714" i="3" a="1"/>
  <c r="C714" i="3" s="1"/>
  <c r="D714" i="3"/>
  <c r="M714" i="3"/>
  <c r="N714" i="3"/>
  <c r="C715" i="3" a="1"/>
  <c r="C715" i="3" s="1"/>
  <c r="D715" i="3"/>
  <c r="M715" i="3"/>
  <c r="N715" i="3"/>
  <c r="C716" i="3" a="1"/>
  <c r="C716" i="3" s="1"/>
  <c r="D716" i="3"/>
  <c r="M716" i="3"/>
  <c r="N716" i="3"/>
  <c r="C717" i="3" a="1"/>
  <c r="C717" i="3"/>
  <c r="D717" i="3"/>
  <c r="M717" i="3"/>
  <c r="N717" i="3"/>
  <c r="C718" i="3" a="1"/>
  <c r="C718" i="3" s="1"/>
  <c r="D718" i="3"/>
  <c r="M718" i="3"/>
  <c r="N718" i="3"/>
  <c r="C719" i="3" a="1"/>
  <c r="C719" i="3" s="1"/>
  <c r="D719" i="3"/>
  <c r="M719" i="3"/>
  <c r="N719" i="3"/>
  <c r="C720" i="3" a="1"/>
  <c r="C720" i="3" s="1"/>
  <c r="D720" i="3"/>
  <c r="M720" i="3"/>
  <c r="N720" i="3"/>
  <c r="C721" i="3" a="1"/>
  <c r="C721" i="3"/>
  <c r="D721" i="3"/>
  <c r="M721" i="3"/>
  <c r="N721" i="3"/>
  <c r="C722" i="3" a="1"/>
  <c r="C722" i="3" s="1"/>
  <c r="D722" i="3"/>
  <c r="M722" i="3"/>
  <c r="N722" i="3"/>
  <c r="C723" i="3" a="1"/>
  <c r="C723" i="3"/>
  <c r="D723" i="3"/>
  <c r="M723" i="3"/>
  <c r="N723" i="3"/>
  <c r="C724" i="3" a="1"/>
  <c r="C724" i="3" s="1"/>
  <c r="D724" i="3"/>
  <c r="M724" i="3"/>
  <c r="N724" i="3"/>
  <c r="C725" i="3" a="1"/>
  <c r="C725" i="3"/>
  <c r="D725" i="3"/>
  <c r="M725" i="3"/>
  <c r="N725" i="3"/>
  <c r="C726" i="3" a="1"/>
  <c r="C726" i="3" s="1"/>
  <c r="D726" i="3"/>
  <c r="M726" i="3"/>
  <c r="N726" i="3"/>
  <c r="C727" i="3" a="1"/>
  <c r="C727" i="3" s="1"/>
  <c r="D727" i="3"/>
  <c r="M727" i="3"/>
  <c r="N727" i="3"/>
  <c r="C728" i="3" a="1"/>
  <c r="C728" i="3" s="1"/>
  <c r="D728" i="3"/>
  <c r="M728" i="3"/>
  <c r="N728" i="3"/>
  <c r="C729" i="3" a="1"/>
  <c r="C729" i="3"/>
  <c r="D729" i="3"/>
  <c r="M729" i="3"/>
  <c r="N729" i="3"/>
  <c r="C730" i="3" a="1"/>
  <c r="C730" i="3" s="1"/>
  <c r="D730" i="3"/>
  <c r="M730" i="3"/>
  <c r="N730" i="3"/>
  <c r="C731" i="3" a="1"/>
  <c r="C731" i="3" s="1"/>
  <c r="D731" i="3"/>
  <c r="M731" i="3"/>
  <c r="N731" i="3"/>
  <c r="C732" i="3" a="1"/>
  <c r="C732" i="3" s="1"/>
  <c r="D732" i="3"/>
  <c r="M732" i="3"/>
  <c r="N732" i="3"/>
  <c r="C733" i="3" a="1"/>
  <c r="C733" i="3" s="1"/>
  <c r="D733" i="3"/>
  <c r="M733" i="3"/>
  <c r="N733" i="3"/>
  <c r="C734" i="3" a="1"/>
  <c r="C734" i="3" s="1"/>
  <c r="D734" i="3"/>
  <c r="M734" i="3"/>
  <c r="N734" i="3"/>
  <c r="C735" i="3" a="1"/>
  <c r="C735" i="3"/>
  <c r="D735" i="3"/>
  <c r="M735" i="3"/>
  <c r="N735" i="3"/>
  <c r="C565" i="3" a="1"/>
  <c r="C565" i="3" s="1"/>
  <c r="D565" i="3"/>
  <c r="M565" i="3"/>
  <c r="N565" i="3"/>
  <c r="C566" i="3" a="1"/>
  <c r="C566" i="3"/>
  <c r="D566" i="3"/>
  <c r="M566" i="3"/>
  <c r="N566" i="3"/>
  <c r="C567" i="3" a="1"/>
  <c r="C567" i="3" s="1"/>
  <c r="D567" i="3"/>
  <c r="M567" i="3"/>
  <c r="N567" i="3"/>
  <c r="C568" i="3" a="1"/>
  <c r="C568" i="3" s="1"/>
  <c r="D568" i="3"/>
  <c r="M568" i="3"/>
  <c r="N568" i="3"/>
  <c r="C569" i="3" a="1"/>
  <c r="C569" i="3" s="1"/>
  <c r="D569" i="3"/>
  <c r="M569" i="3"/>
  <c r="N569" i="3"/>
  <c r="C570" i="3" a="1"/>
  <c r="C570" i="3"/>
  <c r="D570" i="3"/>
  <c r="M570" i="3"/>
  <c r="N570" i="3"/>
  <c r="C571" i="3" a="1"/>
  <c r="C571" i="3" s="1"/>
  <c r="D571" i="3"/>
  <c r="M571" i="3"/>
  <c r="N571" i="3"/>
  <c r="C572" i="3" a="1"/>
  <c r="C572" i="3" s="1"/>
  <c r="D572" i="3"/>
  <c r="M572" i="3"/>
  <c r="N572" i="3"/>
  <c r="C573" i="3" a="1"/>
  <c r="C573" i="3" s="1"/>
  <c r="D573" i="3"/>
  <c r="M573" i="3"/>
  <c r="N573" i="3"/>
  <c r="C574" i="3" a="1"/>
  <c r="C574" i="3" s="1"/>
  <c r="D574" i="3"/>
  <c r="M574" i="3"/>
  <c r="N574" i="3"/>
  <c r="C575" i="3" a="1"/>
  <c r="C575" i="3" s="1"/>
  <c r="D575" i="3"/>
  <c r="M575" i="3"/>
  <c r="N575" i="3"/>
  <c r="C576" i="3" a="1"/>
  <c r="C576" i="3"/>
  <c r="D576" i="3"/>
  <c r="M576" i="3"/>
  <c r="N576" i="3"/>
  <c r="C577" i="3" a="1"/>
  <c r="C577" i="3" s="1"/>
  <c r="D577" i="3"/>
  <c r="M577" i="3"/>
  <c r="N577" i="3"/>
  <c r="C578" i="3" a="1"/>
  <c r="C578" i="3"/>
  <c r="D578" i="3"/>
  <c r="M578" i="3"/>
  <c r="N578" i="3"/>
  <c r="C579" i="3" a="1"/>
  <c r="C579" i="3" s="1"/>
  <c r="D579" i="3"/>
  <c r="M579" i="3"/>
  <c r="N579" i="3"/>
  <c r="C580" i="3" a="1"/>
  <c r="C580" i="3" s="1"/>
  <c r="D580" i="3"/>
  <c r="M580" i="3"/>
  <c r="N580" i="3"/>
  <c r="C581" i="3" a="1"/>
  <c r="C581" i="3" s="1"/>
  <c r="D581" i="3"/>
  <c r="M581" i="3"/>
  <c r="N581" i="3"/>
  <c r="C582" i="3" a="1"/>
  <c r="C582" i="3"/>
  <c r="D582" i="3"/>
  <c r="M582" i="3"/>
  <c r="N582" i="3"/>
  <c r="C583" i="3" a="1"/>
  <c r="C583" i="3" s="1"/>
  <c r="D583" i="3"/>
  <c r="M583" i="3"/>
  <c r="N583" i="3"/>
  <c r="C584" i="3" a="1"/>
  <c r="C584" i="3" s="1"/>
  <c r="D584" i="3"/>
  <c r="M584" i="3"/>
  <c r="N584" i="3"/>
  <c r="C585" i="3" a="1"/>
  <c r="C585" i="3" s="1"/>
  <c r="D585" i="3"/>
  <c r="M585" i="3"/>
  <c r="N585" i="3"/>
  <c r="C586" i="3" a="1"/>
  <c r="C586" i="3"/>
  <c r="D586" i="3"/>
  <c r="M586" i="3"/>
  <c r="N586" i="3"/>
  <c r="C587" i="3" a="1"/>
  <c r="C587" i="3" s="1"/>
  <c r="D587" i="3"/>
  <c r="M587" i="3"/>
  <c r="N587" i="3"/>
  <c r="C588" i="3" a="1"/>
  <c r="C588" i="3"/>
  <c r="D588" i="3"/>
  <c r="M588" i="3"/>
  <c r="N588" i="3"/>
  <c r="C589" i="3" a="1"/>
  <c r="C589" i="3" s="1"/>
  <c r="D589" i="3"/>
  <c r="M589" i="3"/>
  <c r="N589" i="3"/>
  <c r="C590" i="3" a="1"/>
  <c r="C590" i="3"/>
  <c r="D590" i="3"/>
  <c r="M590" i="3"/>
  <c r="N590" i="3"/>
  <c r="C591" i="3" a="1"/>
  <c r="C591" i="3" s="1"/>
  <c r="D591" i="3"/>
  <c r="M591" i="3"/>
  <c r="N591" i="3"/>
  <c r="C592" i="3" a="1"/>
  <c r="C592" i="3" s="1"/>
  <c r="D592" i="3"/>
  <c r="M592" i="3"/>
  <c r="N592" i="3"/>
  <c r="C593" i="3" a="1"/>
  <c r="C593" i="3" s="1"/>
  <c r="D593" i="3"/>
  <c r="M593" i="3"/>
  <c r="N593" i="3"/>
  <c r="C594" i="3" a="1"/>
  <c r="C594" i="3"/>
  <c r="D594" i="3"/>
  <c r="M594" i="3"/>
  <c r="N594" i="3"/>
  <c r="C595" i="3" a="1"/>
  <c r="C595" i="3" s="1"/>
  <c r="D595" i="3"/>
  <c r="M595" i="3"/>
  <c r="N595" i="3"/>
  <c r="C596" i="3" a="1"/>
  <c r="C596" i="3" s="1"/>
  <c r="D596" i="3"/>
  <c r="M596" i="3"/>
  <c r="N596" i="3"/>
  <c r="C597" i="3" a="1"/>
  <c r="C597" i="3" s="1"/>
  <c r="D597" i="3"/>
  <c r="M597" i="3"/>
  <c r="N597" i="3"/>
  <c r="C598" i="3" a="1"/>
  <c r="C598" i="3"/>
  <c r="D598" i="3"/>
  <c r="M598" i="3"/>
  <c r="N598" i="3"/>
  <c r="C599" i="3" a="1"/>
  <c r="C599" i="3" s="1"/>
  <c r="D599" i="3"/>
  <c r="M599" i="3"/>
  <c r="N599" i="3"/>
  <c r="C600" i="3" a="1"/>
  <c r="C600" i="3"/>
  <c r="D600" i="3"/>
  <c r="M600" i="3"/>
  <c r="N600" i="3"/>
  <c r="C601" i="3" a="1"/>
  <c r="C601" i="3" s="1"/>
  <c r="D601" i="3"/>
  <c r="M601" i="3"/>
  <c r="N601" i="3"/>
  <c r="C602" i="3" a="1"/>
  <c r="C602" i="3"/>
  <c r="D602" i="3"/>
  <c r="M602" i="3"/>
  <c r="N602" i="3"/>
  <c r="C603" i="3" a="1"/>
  <c r="C603" i="3" s="1"/>
  <c r="D603" i="3"/>
  <c r="M603" i="3"/>
  <c r="N603" i="3"/>
  <c r="C604" i="3" a="1"/>
  <c r="C604" i="3" s="1"/>
  <c r="D604" i="3"/>
  <c r="M604" i="3"/>
  <c r="N604" i="3"/>
  <c r="C605" i="3" a="1"/>
  <c r="C605" i="3" s="1"/>
  <c r="D605" i="3"/>
  <c r="M605" i="3"/>
  <c r="N605" i="3"/>
  <c r="C606" i="3" a="1"/>
  <c r="C606" i="3"/>
  <c r="D606" i="3"/>
  <c r="M606" i="3"/>
  <c r="N606" i="3"/>
  <c r="C607" i="3" a="1"/>
  <c r="C607" i="3" s="1"/>
  <c r="D607" i="3"/>
  <c r="M607" i="3"/>
  <c r="N607" i="3"/>
  <c r="C608" i="3" a="1"/>
  <c r="C608" i="3" s="1"/>
  <c r="D608" i="3"/>
  <c r="M608" i="3"/>
  <c r="N608" i="3"/>
  <c r="C609" i="3" a="1"/>
  <c r="C609" i="3" s="1"/>
  <c r="D609" i="3"/>
  <c r="M609" i="3"/>
  <c r="N609" i="3"/>
  <c r="C610" i="3" a="1"/>
  <c r="C610" i="3"/>
  <c r="D610" i="3"/>
  <c r="M610" i="3"/>
  <c r="N610" i="3"/>
  <c r="C611" i="3" a="1"/>
  <c r="C611" i="3" s="1"/>
  <c r="D611" i="3"/>
  <c r="M611" i="3"/>
  <c r="N611" i="3"/>
  <c r="C612" i="3" a="1"/>
  <c r="C612" i="3"/>
  <c r="D612" i="3"/>
  <c r="M612" i="3"/>
  <c r="N612" i="3"/>
  <c r="C613" i="3" a="1"/>
  <c r="C613" i="3" s="1"/>
  <c r="D613" i="3"/>
  <c r="M613" i="3"/>
  <c r="N613" i="3"/>
  <c r="C614" i="3" a="1"/>
  <c r="C614" i="3"/>
  <c r="D614" i="3"/>
  <c r="M614" i="3"/>
  <c r="N614" i="3"/>
  <c r="C615" i="3" a="1"/>
  <c r="C615" i="3" s="1"/>
  <c r="D615" i="3"/>
  <c r="M615" i="3"/>
  <c r="N615" i="3"/>
  <c r="C616" i="3" a="1"/>
  <c r="C616" i="3" s="1"/>
  <c r="D616" i="3"/>
  <c r="M616" i="3"/>
  <c r="N616" i="3"/>
  <c r="C617" i="3" a="1"/>
  <c r="C617" i="3" s="1"/>
  <c r="D617" i="3"/>
  <c r="M617" i="3"/>
  <c r="N617" i="3"/>
  <c r="C618" i="3" a="1"/>
  <c r="C618" i="3"/>
  <c r="D618" i="3"/>
  <c r="M618" i="3"/>
  <c r="N618" i="3"/>
  <c r="C619" i="3" a="1"/>
  <c r="C619" i="3" s="1"/>
  <c r="D619" i="3"/>
  <c r="M619" i="3"/>
  <c r="N619" i="3"/>
  <c r="C620" i="3" a="1"/>
  <c r="C620" i="3" s="1"/>
  <c r="D620" i="3"/>
  <c r="M620" i="3"/>
  <c r="N620" i="3"/>
  <c r="C621" i="3" a="1"/>
  <c r="C621" i="3" s="1"/>
  <c r="D621" i="3"/>
  <c r="M621" i="3"/>
  <c r="N621" i="3"/>
  <c r="C622" i="3" a="1"/>
  <c r="C622" i="3" s="1"/>
  <c r="D622" i="3"/>
  <c r="M622" i="3"/>
  <c r="N622" i="3"/>
  <c r="C623" i="3" a="1"/>
  <c r="C623" i="3" s="1"/>
  <c r="D623" i="3"/>
  <c r="M623" i="3"/>
  <c r="N623" i="3"/>
  <c r="C624" i="3" a="1"/>
  <c r="C624" i="3"/>
  <c r="D624" i="3"/>
  <c r="M624" i="3"/>
  <c r="N624" i="3"/>
  <c r="C625" i="3" a="1"/>
  <c r="C625" i="3" s="1"/>
  <c r="D625" i="3"/>
  <c r="M625" i="3"/>
  <c r="N625" i="3"/>
  <c r="C626" i="3" a="1"/>
  <c r="C626" i="3"/>
  <c r="D626" i="3"/>
  <c r="M626" i="3"/>
  <c r="N626" i="3"/>
  <c r="C627" i="3" a="1"/>
  <c r="C627" i="3" s="1"/>
  <c r="D627" i="3"/>
  <c r="M627" i="3"/>
  <c r="N627" i="3"/>
  <c r="C628" i="3" a="1"/>
  <c r="C628" i="3" s="1"/>
  <c r="D628" i="3"/>
  <c r="M628" i="3"/>
  <c r="N628" i="3"/>
  <c r="C629" i="3" a="1"/>
  <c r="C629" i="3" s="1"/>
  <c r="D629" i="3"/>
  <c r="M629" i="3"/>
  <c r="N629" i="3"/>
  <c r="C630" i="3" a="1"/>
  <c r="C630" i="3"/>
  <c r="D630" i="3"/>
  <c r="M630" i="3"/>
  <c r="N630" i="3"/>
  <c r="C631" i="3" a="1"/>
  <c r="C631" i="3" s="1"/>
  <c r="D631" i="3"/>
  <c r="M631" i="3"/>
  <c r="N631" i="3"/>
  <c r="C632" i="3" a="1"/>
  <c r="C632" i="3" s="1"/>
  <c r="D632" i="3"/>
  <c r="M632" i="3"/>
  <c r="N632" i="3"/>
  <c r="C633" i="3" a="1"/>
  <c r="C633" i="3" s="1"/>
  <c r="D633" i="3"/>
  <c r="M633" i="3"/>
  <c r="N633" i="3"/>
  <c r="C634" i="3" a="1"/>
  <c r="C634" i="3"/>
  <c r="D634" i="3"/>
  <c r="M634" i="3"/>
  <c r="N634" i="3"/>
  <c r="C635" i="3" a="1"/>
  <c r="C635" i="3" s="1"/>
  <c r="D635" i="3"/>
  <c r="M635" i="3"/>
  <c r="N635" i="3"/>
  <c r="C636" i="3" a="1"/>
  <c r="C636" i="3"/>
  <c r="D636" i="3"/>
  <c r="M636" i="3"/>
  <c r="N636" i="3"/>
  <c r="C637" i="3" a="1"/>
  <c r="C637" i="3" s="1"/>
  <c r="D637" i="3"/>
  <c r="M637" i="3"/>
  <c r="N637" i="3"/>
  <c r="C638" i="3" a="1"/>
  <c r="C638" i="3"/>
  <c r="D638" i="3"/>
  <c r="M638" i="3"/>
  <c r="N638" i="3"/>
  <c r="C639" i="3" a="1"/>
  <c r="C639" i="3" s="1"/>
  <c r="D639" i="3"/>
  <c r="M639" i="3"/>
  <c r="N639" i="3"/>
  <c r="C640" i="3" a="1"/>
  <c r="C640" i="3" s="1"/>
  <c r="D640" i="3"/>
  <c r="M640" i="3"/>
  <c r="N640" i="3"/>
  <c r="C641" i="3" a="1"/>
  <c r="C641" i="3" s="1"/>
  <c r="D641" i="3"/>
  <c r="M641" i="3"/>
  <c r="N641" i="3"/>
  <c r="C642" i="3" a="1"/>
  <c r="C642" i="3"/>
  <c r="D642" i="3"/>
  <c r="M642" i="3"/>
  <c r="N642" i="3"/>
  <c r="C643" i="3" a="1"/>
  <c r="C643" i="3" s="1"/>
  <c r="D643" i="3"/>
  <c r="M643" i="3"/>
  <c r="N643" i="3"/>
  <c r="C644" i="3" a="1"/>
  <c r="C644" i="3" s="1"/>
  <c r="D644" i="3"/>
  <c r="M644" i="3"/>
  <c r="N644" i="3"/>
  <c r="C645" i="3" a="1"/>
  <c r="C645" i="3" s="1"/>
  <c r="D645" i="3"/>
  <c r="M645" i="3"/>
  <c r="N645" i="3"/>
  <c r="C646" i="3" a="1"/>
  <c r="C646" i="3"/>
  <c r="D646" i="3"/>
  <c r="M646" i="3"/>
  <c r="N646" i="3"/>
  <c r="C647" i="3" a="1"/>
  <c r="C647" i="3" s="1"/>
  <c r="D647" i="3"/>
  <c r="M647" i="3"/>
  <c r="N647" i="3"/>
  <c r="C648" i="3" a="1"/>
  <c r="C648" i="3"/>
  <c r="D648" i="3"/>
  <c r="M648" i="3"/>
  <c r="N648" i="3"/>
  <c r="C649" i="3" a="1"/>
  <c r="C649" i="3" s="1"/>
  <c r="D649" i="3"/>
  <c r="M649" i="3"/>
  <c r="N649" i="3"/>
  <c r="C650" i="3" a="1"/>
  <c r="C650" i="3"/>
  <c r="D650" i="3"/>
  <c r="M650" i="3"/>
  <c r="N650" i="3"/>
  <c r="C651" i="3" a="1"/>
  <c r="C651" i="3" s="1"/>
  <c r="D651" i="3"/>
  <c r="M651" i="3"/>
  <c r="N651" i="3"/>
  <c r="C652" i="3" a="1"/>
  <c r="C652" i="3" s="1"/>
  <c r="D652" i="3"/>
  <c r="M652" i="3"/>
  <c r="N652" i="3"/>
  <c r="C653" i="3" a="1"/>
  <c r="C653" i="3" s="1"/>
  <c r="D653" i="3"/>
  <c r="M653" i="3"/>
  <c r="N653" i="3"/>
  <c r="C654" i="3" a="1"/>
  <c r="C654" i="3"/>
  <c r="D654" i="3"/>
  <c r="M654" i="3"/>
  <c r="N654" i="3"/>
  <c r="C655" i="3" a="1"/>
  <c r="C655" i="3" s="1"/>
  <c r="D655" i="3"/>
  <c r="M655" i="3"/>
  <c r="N655" i="3"/>
  <c r="C656" i="3" a="1"/>
  <c r="C656" i="3" s="1"/>
  <c r="D656" i="3"/>
  <c r="M656" i="3"/>
  <c r="N656" i="3"/>
  <c r="C657" i="3" a="1"/>
  <c r="C657" i="3" s="1"/>
  <c r="D657" i="3"/>
  <c r="M657" i="3"/>
  <c r="N657" i="3"/>
  <c r="C658" i="3" a="1"/>
  <c r="C658" i="3" s="1"/>
  <c r="D658" i="3"/>
  <c r="M658" i="3"/>
  <c r="N658" i="3"/>
  <c r="C471" i="3" a="1"/>
  <c r="C471" i="3" s="1"/>
  <c r="D471" i="3"/>
  <c r="M471" i="3"/>
  <c r="N471" i="3"/>
  <c r="C472" i="3" a="1"/>
  <c r="C472" i="3"/>
  <c r="D472" i="3"/>
  <c r="M472" i="3"/>
  <c r="N472" i="3"/>
  <c r="C473" i="3" a="1"/>
  <c r="C473" i="3" s="1"/>
  <c r="D473" i="3"/>
  <c r="M473" i="3"/>
  <c r="N473" i="3"/>
  <c r="C474" i="3" a="1"/>
  <c r="C474" i="3"/>
  <c r="D474" i="3"/>
  <c r="M474" i="3"/>
  <c r="N474" i="3"/>
  <c r="C475" i="3" a="1"/>
  <c r="C475" i="3" s="1"/>
  <c r="D475" i="3"/>
  <c r="M475" i="3"/>
  <c r="N475" i="3"/>
  <c r="C476" i="3" a="1"/>
  <c r="C476" i="3" s="1"/>
  <c r="D476" i="3"/>
  <c r="M476" i="3"/>
  <c r="N476" i="3"/>
  <c r="C477" i="3" a="1"/>
  <c r="C477" i="3" s="1"/>
  <c r="D477" i="3"/>
  <c r="M477" i="3"/>
  <c r="N477" i="3"/>
  <c r="C478" i="3" a="1"/>
  <c r="C478" i="3"/>
  <c r="D478" i="3"/>
  <c r="M478" i="3"/>
  <c r="N478" i="3"/>
  <c r="C479" i="3" a="1"/>
  <c r="C479" i="3" s="1"/>
  <c r="D479" i="3"/>
  <c r="M479" i="3"/>
  <c r="N479" i="3"/>
  <c r="C480" i="3" a="1"/>
  <c r="C480" i="3" s="1"/>
  <c r="D480" i="3"/>
  <c r="M480" i="3"/>
  <c r="N480" i="3"/>
  <c r="C481" i="3" a="1"/>
  <c r="C481" i="3" s="1"/>
  <c r="D481" i="3"/>
  <c r="M481" i="3"/>
  <c r="N481" i="3"/>
  <c r="C482" i="3" a="1"/>
  <c r="C482" i="3"/>
  <c r="D482" i="3"/>
  <c r="M482" i="3"/>
  <c r="N482" i="3"/>
  <c r="C483" i="3" a="1"/>
  <c r="C483" i="3" s="1"/>
  <c r="D483" i="3"/>
  <c r="M483" i="3"/>
  <c r="N483" i="3"/>
  <c r="C484" i="3" a="1"/>
  <c r="C484" i="3"/>
  <c r="D484" i="3"/>
  <c r="M484" i="3"/>
  <c r="N484" i="3"/>
  <c r="C485" i="3" a="1"/>
  <c r="C485" i="3" s="1"/>
  <c r="D485" i="3"/>
  <c r="M485" i="3"/>
  <c r="N485" i="3"/>
  <c r="C486" i="3" a="1"/>
  <c r="C486" i="3"/>
  <c r="D486" i="3"/>
  <c r="M486" i="3"/>
  <c r="N486" i="3"/>
  <c r="C487" i="3" a="1"/>
  <c r="C487" i="3" s="1"/>
  <c r="D487" i="3"/>
  <c r="M487" i="3"/>
  <c r="N487" i="3"/>
  <c r="C488" i="3" a="1"/>
  <c r="C488" i="3" s="1"/>
  <c r="D488" i="3"/>
  <c r="M488" i="3"/>
  <c r="N488" i="3"/>
  <c r="C489" i="3" a="1"/>
  <c r="C489" i="3" s="1"/>
  <c r="D489" i="3"/>
  <c r="M489" i="3"/>
  <c r="N489" i="3"/>
  <c r="C490" i="3" a="1"/>
  <c r="C490" i="3"/>
  <c r="D490" i="3"/>
  <c r="M490" i="3"/>
  <c r="N490" i="3"/>
  <c r="C491" i="3" a="1"/>
  <c r="C491" i="3" s="1"/>
  <c r="D491" i="3"/>
  <c r="M491" i="3"/>
  <c r="N491" i="3"/>
  <c r="C492" i="3" a="1"/>
  <c r="C492" i="3"/>
  <c r="D492" i="3"/>
  <c r="M492" i="3"/>
  <c r="N492" i="3"/>
  <c r="C493" i="3" a="1"/>
  <c r="C493" i="3" s="1"/>
  <c r="D493" i="3"/>
  <c r="M493" i="3"/>
  <c r="N493" i="3"/>
  <c r="C494" i="3" a="1"/>
  <c r="C494" i="3"/>
  <c r="D494" i="3"/>
  <c r="M494" i="3"/>
  <c r="N494" i="3"/>
  <c r="C495" i="3" a="1"/>
  <c r="C495" i="3" s="1"/>
  <c r="D495" i="3"/>
  <c r="M495" i="3"/>
  <c r="N495" i="3"/>
  <c r="C496" i="3" a="1"/>
  <c r="C496" i="3" s="1"/>
  <c r="D496" i="3"/>
  <c r="M496" i="3"/>
  <c r="N496" i="3"/>
  <c r="C497" i="3" a="1"/>
  <c r="C497" i="3" s="1"/>
  <c r="D497" i="3"/>
  <c r="M497" i="3"/>
  <c r="N497" i="3"/>
  <c r="C498" i="3" a="1"/>
  <c r="C498" i="3"/>
  <c r="D498" i="3"/>
  <c r="M498" i="3"/>
  <c r="N498" i="3"/>
  <c r="C499" i="3" a="1"/>
  <c r="C499" i="3" s="1"/>
  <c r="D499" i="3"/>
  <c r="M499" i="3"/>
  <c r="N499" i="3"/>
  <c r="C500" i="3" a="1"/>
  <c r="C500" i="3"/>
  <c r="D500" i="3"/>
  <c r="M500" i="3"/>
  <c r="N500" i="3"/>
  <c r="C501" i="3" a="1"/>
  <c r="C501" i="3" s="1"/>
  <c r="D501" i="3"/>
  <c r="M501" i="3"/>
  <c r="N501" i="3"/>
  <c r="C502" i="3" a="1"/>
  <c r="C502" i="3"/>
  <c r="D502" i="3"/>
  <c r="M502" i="3"/>
  <c r="N502" i="3"/>
  <c r="C503" i="3" a="1"/>
  <c r="C503" i="3" s="1"/>
  <c r="D503" i="3"/>
  <c r="M503" i="3"/>
  <c r="N503" i="3"/>
  <c r="C504" i="3" a="1"/>
  <c r="C504" i="3" s="1"/>
  <c r="D504" i="3"/>
  <c r="M504" i="3"/>
  <c r="N504" i="3"/>
  <c r="C505" i="3" a="1"/>
  <c r="C505" i="3" s="1"/>
  <c r="D505" i="3"/>
  <c r="M505" i="3"/>
  <c r="N505" i="3"/>
  <c r="C506" i="3" a="1"/>
  <c r="C506" i="3"/>
  <c r="D506" i="3"/>
  <c r="M506" i="3"/>
  <c r="N506" i="3"/>
  <c r="C507" i="3" a="1"/>
  <c r="C507" i="3" s="1"/>
  <c r="D507" i="3"/>
  <c r="M507" i="3"/>
  <c r="N507" i="3"/>
  <c r="C508" i="3" a="1"/>
  <c r="C508" i="3"/>
  <c r="D508" i="3"/>
  <c r="M508" i="3"/>
  <c r="N508" i="3"/>
  <c r="C509" i="3" a="1"/>
  <c r="C509" i="3" s="1"/>
  <c r="D509" i="3"/>
  <c r="M509" i="3"/>
  <c r="N509" i="3"/>
  <c r="C510" i="3" a="1"/>
  <c r="C510" i="3"/>
  <c r="D510" i="3"/>
  <c r="M510" i="3"/>
  <c r="N510" i="3"/>
  <c r="C511" i="3" a="1"/>
  <c r="C511" i="3" s="1"/>
  <c r="D511" i="3"/>
  <c r="M511" i="3"/>
  <c r="N511" i="3"/>
  <c r="C512" i="3" a="1"/>
  <c r="C512" i="3" s="1"/>
  <c r="D512" i="3"/>
  <c r="M512" i="3"/>
  <c r="N512" i="3"/>
  <c r="C513" i="3" a="1"/>
  <c r="C513" i="3" s="1"/>
  <c r="D513" i="3"/>
  <c r="M513" i="3"/>
  <c r="N513" i="3"/>
  <c r="C514" i="3" a="1"/>
  <c r="C514" i="3"/>
  <c r="D514" i="3"/>
  <c r="M514" i="3"/>
  <c r="N514" i="3"/>
  <c r="C515" i="3" a="1"/>
  <c r="C515" i="3" s="1"/>
  <c r="D515" i="3"/>
  <c r="M515" i="3"/>
  <c r="N515" i="3"/>
  <c r="C516" i="3" a="1"/>
  <c r="C516" i="3"/>
  <c r="D516" i="3"/>
  <c r="M516" i="3"/>
  <c r="N516" i="3"/>
  <c r="C517" i="3" a="1"/>
  <c r="C517" i="3" s="1"/>
  <c r="D517" i="3"/>
  <c r="M517" i="3"/>
  <c r="N517" i="3"/>
  <c r="C518" i="3" a="1"/>
  <c r="C518" i="3"/>
  <c r="D518" i="3"/>
  <c r="M518" i="3"/>
  <c r="N518" i="3"/>
  <c r="C519" i="3" a="1"/>
  <c r="C519" i="3" s="1"/>
  <c r="D519" i="3"/>
  <c r="M519" i="3"/>
  <c r="N519" i="3"/>
  <c r="C520" i="3" a="1"/>
  <c r="C520" i="3" s="1"/>
  <c r="D520" i="3"/>
  <c r="M520" i="3"/>
  <c r="N520" i="3"/>
  <c r="C521" i="3" a="1"/>
  <c r="C521" i="3" s="1"/>
  <c r="D521" i="3"/>
  <c r="M521" i="3"/>
  <c r="N521" i="3"/>
  <c r="C522" i="3" a="1"/>
  <c r="C522" i="3"/>
  <c r="D522" i="3"/>
  <c r="M522" i="3"/>
  <c r="N522" i="3"/>
  <c r="C523" i="3" a="1"/>
  <c r="C523" i="3" s="1"/>
  <c r="D523" i="3"/>
  <c r="M523" i="3"/>
  <c r="N523" i="3"/>
  <c r="C524" i="3" a="1"/>
  <c r="C524" i="3"/>
  <c r="D524" i="3"/>
  <c r="M524" i="3"/>
  <c r="N524" i="3"/>
  <c r="C525" i="3" a="1"/>
  <c r="C525" i="3" s="1"/>
  <c r="D525" i="3"/>
  <c r="M525" i="3"/>
  <c r="N525" i="3"/>
  <c r="C526" i="3" a="1"/>
  <c r="C526" i="3"/>
  <c r="D526" i="3"/>
  <c r="M526" i="3"/>
  <c r="N526" i="3"/>
  <c r="C527" i="3" a="1"/>
  <c r="C527" i="3" s="1"/>
  <c r="D527" i="3"/>
  <c r="M527" i="3"/>
  <c r="N527" i="3"/>
  <c r="C528" i="3" a="1"/>
  <c r="C528" i="3" s="1"/>
  <c r="D528" i="3"/>
  <c r="M528" i="3"/>
  <c r="N528" i="3"/>
  <c r="C529" i="3" a="1"/>
  <c r="C529" i="3" s="1"/>
  <c r="D529" i="3"/>
  <c r="M529" i="3"/>
  <c r="N529" i="3"/>
  <c r="C530" i="3" a="1"/>
  <c r="C530" i="3"/>
  <c r="D530" i="3"/>
  <c r="M530" i="3"/>
  <c r="N530" i="3"/>
  <c r="C531" i="3" a="1"/>
  <c r="C531" i="3" s="1"/>
  <c r="D531" i="3"/>
  <c r="M531" i="3"/>
  <c r="N531" i="3"/>
  <c r="C532" i="3" a="1"/>
  <c r="C532" i="3"/>
  <c r="D532" i="3"/>
  <c r="M532" i="3"/>
  <c r="N532" i="3"/>
  <c r="C533" i="3" a="1"/>
  <c r="C533" i="3" s="1"/>
  <c r="D533" i="3"/>
  <c r="M533" i="3"/>
  <c r="N533" i="3"/>
  <c r="C534" i="3" a="1"/>
  <c r="C534" i="3"/>
  <c r="D534" i="3"/>
  <c r="M534" i="3"/>
  <c r="N534" i="3"/>
  <c r="C535" i="3" a="1"/>
  <c r="C535" i="3" s="1"/>
  <c r="D535" i="3"/>
  <c r="M535" i="3"/>
  <c r="N535" i="3"/>
  <c r="C536" i="3" a="1"/>
  <c r="C536" i="3" s="1"/>
  <c r="D536" i="3"/>
  <c r="M536" i="3"/>
  <c r="N536" i="3"/>
  <c r="C537" i="3" a="1"/>
  <c r="C537" i="3" s="1"/>
  <c r="D537" i="3"/>
  <c r="M537" i="3"/>
  <c r="N537" i="3"/>
  <c r="C538" i="3" a="1"/>
  <c r="C538" i="3"/>
  <c r="D538" i="3"/>
  <c r="M538" i="3"/>
  <c r="N538" i="3"/>
  <c r="C539" i="3" a="1"/>
  <c r="C539" i="3" s="1"/>
  <c r="D539" i="3"/>
  <c r="M539" i="3"/>
  <c r="N539" i="3"/>
  <c r="C540" i="3" a="1"/>
  <c r="C540" i="3"/>
  <c r="D540" i="3"/>
  <c r="M540" i="3"/>
  <c r="N540" i="3"/>
  <c r="C541" i="3" a="1"/>
  <c r="C541" i="3" s="1"/>
  <c r="D541" i="3"/>
  <c r="M541" i="3"/>
  <c r="N541" i="3"/>
  <c r="C542" i="3" a="1"/>
  <c r="C542" i="3"/>
  <c r="D542" i="3"/>
  <c r="M542" i="3"/>
  <c r="N542" i="3"/>
  <c r="C543" i="3" a="1"/>
  <c r="C543" i="3" s="1"/>
  <c r="D543" i="3"/>
  <c r="M543" i="3"/>
  <c r="N543" i="3"/>
  <c r="C544" i="3" a="1"/>
  <c r="C544" i="3" s="1"/>
  <c r="D544" i="3"/>
  <c r="M544" i="3"/>
  <c r="N544" i="3"/>
  <c r="C545" i="3" a="1"/>
  <c r="C545" i="3" s="1"/>
  <c r="D545" i="3"/>
  <c r="M545" i="3"/>
  <c r="N545" i="3"/>
  <c r="C546" i="3" a="1"/>
  <c r="C546" i="3"/>
  <c r="D546" i="3"/>
  <c r="M546" i="3"/>
  <c r="N546" i="3"/>
  <c r="C547" i="3" a="1"/>
  <c r="C547" i="3" s="1"/>
  <c r="D547" i="3"/>
  <c r="M547" i="3"/>
  <c r="N547" i="3"/>
  <c r="C548" i="3" a="1"/>
  <c r="C548" i="3"/>
  <c r="D548" i="3"/>
  <c r="M548" i="3"/>
  <c r="N548" i="3"/>
  <c r="C549" i="3" a="1"/>
  <c r="C549" i="3" s="1"/>
  <c r="D549" i="3"/>
  <c r="M549" i="3"/>
  <c r="N549" i="3"/>
  <c r="C550" i="3" a="1"/>
  <c r="C550" i="3"/>
  <c r="D550" i="3"/>
  <c r="M550" i="3"/>
  <c r="N550" i="3"/>
  <c r="C551" i="3" a="1"/>
  <c r="C551" i="3" s="1"/>
  <c r="D551" i="3"/>
  <c r="M551" i="3"/>
  <c r="N551" i="3"/>
  <c r="C552" i="3" a="1"/>
  <c r="C552" i="3" s="1"/>
  <c r="D552" i="3"/>
  <c r="M552" i="3"/>
  <c r="N552" i="3"/>
  <c r="C553" i="3" a="1"/>
  <c r="C553" i="3" s="1"/>
  <c r="D553" i="3"/>
  <c r="M553" i="3"/>
  <c r="N553" i="3"/>
  <c r="C554" i="3" a="1"/>
  <c r="C554" i="3"/>
  <c r="D554" i="3"/>
  <c r="M554" i="3"/>
  <c r="N554" i="3"/>
  <c r="C555" i="3" a="1"/>
  <c r="C555" i="3" s="1"/>
  <c r="D555" i="3"/>
  <c r="M555" i="3"/>
  <c r="N555" i="3"/>
  <c r="C556" i="3" a="1"/>
  <c r="C556" i="3"/>
  <c r="D556" i="3"/>
  <c r="M556" i="3"/>
  <c r="N556" i="3"/>
  <c r="C557" i="3" a="1"/>
  <c r="C557" i="3" s="1"/>
  <c r="D557" i="3"/>
  <c r="M557" i="3"/>
  <c r="N557" i="3"/>
  <c r="C558" i="3" a="1"/>
  <c r="C558" i="3"/>
  <c r="D558" i="3"/>
  <c r="M558" i="3"/>
  <c r="N558" i="3"/>
  <c r="C559" i="3" a="1"/>
  <c r="C559" i="3" s="1"/>
  <c r="D559" i="3"/>
  <c r="M559" i="3"/>
  <c r="N559" i="3"/>
  <c r="C560" i="3" a="1"/>
  <c r="C560" i="3" s="1"/>
  <c r="D560" i="3"/>
  <c r="M560" i="3"/>
  <c r="N560" i="3"/>
  <c r="C561" i="3" a="1"/>
  <c r="C561" i="3" s="1"/>
  <c r="D561" i="3"/>
  <c r="M561" i="3"/>
  <c r="N561" i="3"/>
  <c r="C562" i="3" a="1"/>
  <c r="C562" i="3"/>
  <c r="D562" i="3"/>
  <c r="M562" i="3"/>
  <c r="N562" i="3"/>
  <c r="C563" i="3" a="1"/>
  <c r="C563" i="3" s="1"/>
  <c r="D563" i="3"/>
  <c r="M563" i="3"/>
  <c r="N563" i="3"/>
  <c r="C564" i="3" a="1"/>
  <c r="C564" i="3"/>
  <c r="D564" i="3"/>
  <c r="M564" i="3"/>
  <c r="N564" i="3"/>
  <c r="C377" i="3" a="1"/>
  <c r="C377" i="3" s="1"/>
  <c r="D377" i="3"/>
  <c r="M377" i="3"/>
  <c r="N377" i="3"/>
  <c r="C378" i="3" a="1"/>
  <c r="C378" i="3"/>
  <c r="D378" i="3"/>
  <c r="M378" i="3"/>
  <c r="N378" i="3"/>
  <c r="C379" i="3" a="1"/>
  <c r="C379" i="3" s="1"/>
  <c r="D379" i="3"/>
  <c r="M379" i="3"/>
  <c r="N379" i="3"/>
  <c r="C380" i="3" a="1"/>
  <c r="C380" i="3" s="1"/>
  <c r="D380" i="3"/>
  <c r="M380" i="3"/>
  <c r="N380" i="3"/>
  <c r="C381" i="3" a="1"/>
  <c r="C381" i="3" s="1"/>
  <c r="D381" i="3"/>
  <c r="M381" i="3"/>
  <c r="N381" i="3"/>
  <c r="C382" i="3" a="1"/>
  <c r="C382" i="3"/>
  <c r="D382" i="3"/>
  <c r="M382" i="3"/>
  <c r="N382" i="3"/>
  <c r="C383" i="3" a="1"/>
  <c r="C383" i="3" s="1"/>
  <c r="D383" i="3"/>
  <c r="M383" i="3"/>
  <c r="N383" i="3"/>
  <c r="C384" i="3" a="1"/>
  <c r="C384" i="3"/>
  <c r="D384" i="3"/>
  <c r="M384" i="3"/>
  <c r="N384" i="3"/>
  <c r="C385" i="3" a="1"/>
  <c r="C385" i="3" s="1"/>
  <c r="D385" i="3"/>
  <c r="M385" i="3"/>
  <c r="N385" i="3"/>
  <c r="C386" i="3" a="1"/>
  <c r="C386" i="3"/>
  <c r="D386" i="3"/>
  <c r="M386" i="3"/>
  <c r="N386" i="3"/>
  <c r="C387" i="3" a="1"/>
  <c r="C387" i="3" s="1"/>
  <c r="D387" i="3"/>
  <c r="M387" i="3"/>
  <c r="N387" i="3"/>
  <c r="C388" i="3" a="1"/>
  <c r="C388" i="3" s="1"/>
  <c r="D388" i="3"/>
  <c r="M388" i="3"/>
  <c r="N388" i="3"/>
  <c r="C389" i="3" a="1"/>
  <c r="C389" i="3" s="1"/>
  <c r="D389" i="3"/>
  <c r="M389" i="3"/>
  <c r="N389" i="3"/>
  <c r="C390" i="3" a="1"/>
  <c r="C390" i="3"/>
  <c r="D390" i="3"/>
  <c r="M390" i="3"/>
  <c r="N390" i="3"/>
  <c r="C391" i="3" a="1"/>
  <c r="C391" i="3" s="1"/>
  <c r="D391" i="3"/>
  <c r="M391" i="3"/>
  <c r="N391" i="3"/>
  <c r="C392" i="3" a="1"/>
  <c r="C392" i="3"/>
  <c r="D392" i="3"/>
  <c r="M392" i="3"/>
  <c r="N392" i="3"/>
  <c r="C393" i="3" a="1"/>
  <c r="C393" i="3" s="1"/>
  <c r="D393" i="3"/>
  <c r="M393" i="3"/>
  <c r="N393" i="3"/>
  <c r="C394" i="3" a="1"/>
  <c r="C394" i="3"/>
  <c r="D394" i="3"/>
  <c r="M394" i="3"/>
  <c r="N394" i="3"/>
  <c r="C395" i="3" a="1"/>
  <c r="C395" i="3" s="1"/>
  <c r="D395" i="3"/>
  <c r="M395" i="3"/>
  <c r="N395" i="3"/>
  <c r="C396" i="3" a="1"/>
  <c r="C396" i="3" s="1"/>
  <c r="D396" i="3"/>
  <c r="M396" i="3"/>
  <c r="N396" i="3"/>
  <c r="C397" i="3" a="1"/>
  <c r="C397" i="3" s="1"/>
  <c r="D397" i="3"/>
  <c r="M397" i="3"/>
  <c r="N397" i="3"/>
  <c r="C398" i="3" a="1"/>
  <c r="C398" i="3"/>
  <c r="D398" i="3"/>
  <c r="M398" i="3"/>
  <c r="N398" i="3"/>
  <c r="C399" i="3" a="1"/>
  <c r="C399" i="3" s="1"/>
  <c r="D399" i="3"/>
  <c r="M399" i="3"/>
  <c r="N399" i="3"/>
  <c r="C400" i="3" a="1"/>
  <c r="C400" i="3"/>
  <c r="D400" i="3"/>
  <c r="M400" i="3"/>
  <c r="N400" i="3"/>
  <c r="C401" i="3" a="1"/>
  <c r="C401" i="3" s="1"/>
  <c r="D401" i="3"/>
  <c r="M401" i="3"/>
  <c r="N401" i="3"/>
  <c r="C402" i="3" a="1"/>
  <c r="C402" i="3"/>
  <c r="D402" i="3"/>
  <c r="M402" i="3"/>
  <c r="N402" i="3"/>
  <c r="C403" i="3" a="1"/>
  <c r="C403" i="3" s="1"/>
  <c r="D403" i="3"/>
  <c r="M403" i="3"/>
  <c r="N403" i="3"/>
  <c r="C404" i="3" a="1"/>
  <c r="C404" i="3" s="1"/>
  <c r="D404" i="3"/>
  <c r="M404" i="3"/>
  <c r="N404" i="3"/>
  <c r="C405" i="3" a="1"/>
  <c r="C405" i="3" s="1"/>
  <c r="D405" i="3"/>
  <c r="M405" i="3"/>
  <c r="N405" i="3"/>
  <c r="C406" i="3" a="1"/>
  <c r="C406" i="3"/>
  <c r="D406" i="3"/>
  <c r="M406" i="3"/>
  <c r="N406" i="3"/>
  <c r="C407" i="3" a="1"/>
  <c r="C407" i="3" s="1"/>
  <c r="D407" i="3"/>
  <c r="M407" i="3"/>
  <c r="N407" i="3"/>
  <c r="C408" i="3" a="1"/>
  <c r="C408" i="3"/>
  <c r="D408" i="3"/>
  <c r="M408" i="3"/>
  <c r="N408" i="3"/>
  <c r="C409" i="3" a="1"/>
  <c r="C409" i="3" s="1"/>
  <c r="D409" i="3"/>
  <c r="M409" i="3"/>
  <c r="N409" i="3"/>
  <c r="C410" i="3" a="1"/>
  <c r="C410" i="3"/>
  <c r="D410" i="3"/>
  <c r="M410" i="3"/>
  <c r="N410" i="3"/>
  <c r="C411" i="3" a="1"/>
  <c r="C411" i="3" s="1"/>
  <c r="D411" i="3"/>
  <c r="M411" i="3"/>
  <c r="N411" i="3"/>
  <c r="C412" i="3" a="1"/>
  <c r="C412" i="3" s="1"/>
  <c r="D412" i="3"/>
  <c r="M412" i="3"/>
  <c r="N412" i="3"/>
  <c r="C413" i="3" a="1"/>
  <c r="C413" i="3" s="1"/>
  <c r="D413" i="3"/>
  <c r="M413" i="3"/>
  <c r="N413" i="3"/>
  <c r="C414" i="3" a="1"/>
  <c r="C414" i="3"/>
  <c r="D414" i="3"/>
  <c r="M414" i="3"/>
  <c r="N414" i="3"/>
  <c r="C415" i="3" a="1"/>
  <c r="C415" i="3" s="1"/>
  <c r="D415" i="3"/>
  <c r="M415" i="3"/>
  <c r="N415" i="3"/>
  <c r="C416" i="3" a="1"/>
  <c r="C416" i="3"/>
  <c r="D416" i="3"/>
  <c r="M416" i="3"/>
  <c r="N416" i="3"/>
  <c r="C417" i="3" a="1"/>
  <c r="C417" i="3" s="1"/>
  <c r="D417" i="3"/>
  <c r="M417" i="3"/>
  <c r="N417" i="3"/>
  <c r="C418" i="3" a="1"/>
  <c r="C418" i="3"/>
  <c r="D418" i="3"/>
  <c r="M418" i="3"/>
  <c r="N418" i="3"/>
  <c r="C419" i="3" a="1"/>
  <c r="C419" i="3" s="1"/>
  <c r="D419" i="3"/>
  <c r="M419" i="3"/>
  <c r="N419" i="3"/>
  <c r="C420" i="3" a="1"/>
  <c r="C420" i="3" s="1"/>
  <c r="D420" i="3"/>
  <c r="M420" i="3"/>
  <c r="N420" i="3"/>
  <c r="C421" i="3" a="1"/>
  <c r="C421" i="3" s="1"/>
  <c r="D421" i="3"/>
  <c r="M421" i="3"/>
  <c r="N421" i="3"/>
  <c r="C422" i="3" a="1"/>
  <c r="C422" i="3"/>
  <c r="D422" i="3"/>
  <c r="M422" i="3"/>
  <c r="N422" i="3"/>
  <c r="C423" i="3" a="1"/>
  <c r="C423" i="3" s="1"/>
  <c r="D423" i="3"/>
  <c r="M423" i="3"/>
  <c r="N423" i="3"/>
  <c r="C424" i="3" a="1"/>
  <c r="C424" i="3"/>
  <c r="D424" i="3"/>
  <c r="M424" i="3"/>
  <c r="N424" i="3"/>
  <c r="C425" i="3" a="1"/>
  <c r="C425" i="3" s="1"/>
  <c r="D425" i="3"/>
  <c r="M425" i="3"/>
  <c r="N425" i="3"/>
  <c r="C426" i="3" a="1"/>
  <c r="C426" i="3" s="1"/>
  <c r="D426" i="3"/>
  <c r="M426" i="3"/>
  <c r="N426" i="3"/>
  <c r="C427" i="3" a="1"/>
  <c r="C427" i="3" s="1"/>
  <c r="D427" i="3"/>
  <c r="M427" i="3"/>
  <c r="N427" i="3"/>
  <c r="C428" i="3" a="1"/>
  <c r="C428" i="3" s="1"/>
  <c r="D428" i="3"/>
  <c r="M428" i="3"/>
  <c r="N428" i="3"/>
  <c r="C429" i="3" a="1"/>
  <c r="C429" i="3" s="1"/>
  <c r="D429" i="3"/>
  <c r="M429" i="3"/>
  <c r="N429" i="3"/>
  <c r="C430" i="3" a="1"/>
  <c r="C430" i="3"/>
  <c r="D430" i="3"/>
  <c r="M430" i="3"/>
  <c r="N430" i="3"/>
  <c r="C431" i="3" a="1"/>
  <c r="C431" i="3" s="1"/>
  <c r="D431" i="3"/>
  <c r="M431" i="3"/>
  <c r="N431" i="3"/>
  <c r="C432" i="3" a="1"/>
  <c r="C432" i="3"/>
  <c r="D432" i="3"/>
  <c r="M432" i="3"/>
  <c r="N432" i="3"/>
  <c r="C433" i="3" a="1"/>
  <c r="C433" i="3" s="1"/>
  <c r="D433" i="3"/>
  <c r="M433" i="3"/>
  <c r="N433" i="3"/>
  <c r="C434" i="3" a="1"/>
  <c r="C434" i="3" s="1"/>
  <c r="D434" i="3"/>
  <c r="M434" i="3"/>
  <c r="N434" i="3"/>
  <c r="C435" i="3" a="1"/>
  <c r="C435" i="3" s="1"/>
  <c r="D435" i="3"/>
  <c r="M435" i="3"/>
  <c r="N435" i="3"/>
  <c r="C436" i="3" a="1"/>
  <c r="C436" i="3" s="1"/>
  <c r="D436" i="3"/>
  <c r="M436" i="3"/>
  <c r="N436" i="3"/>
  <c r="C437" i="3" a="1"/>
  <c r="C437" i="3" s="1"/>
  <c r="D437" i="3"/>
  <c r="M437" i="3"/>
  <c r="N437" i="3"/>
  <c r="C438" i="3" a="1"/>
  <c r="C438" i="3"/>
  <c r="D438" i="3"/>
  <c r="M438" i="3"/>
  <c r="N438" i="3"/>
  <c r="C439" i="3" a="1"/>
  <c r="C439" i="3" s="1"/>
  <c r="D439" i="3"/>
  <c r="M439" i="3"/>
  <c r="N439" i="3"/>
  <c r="C440" i="3" a="1"/>
  <c r="C440" i="3"/>
  <c r="D440" i="3"/>
  <c r="M440" i="3"/>
  <c r="N440" i="3"/>
  <c r="C441" i="3" a="1"/>
  <c r="C441" i="3" s="1"/>
  <c r="D441" i="3"/>
  <c r="M441" i="3"/>
  <c r="N441" i="3"/>
  <c r="C442" i="3" a="1"/>
  <c r="C442" i="3" s="1"/>
  <c r="D442" i="3"/>
  <c r="M442" i="3"/>
  <c r="N442" i="3"/>
  <c r="C443" i="3" a="1"/>
  <c r="C443" i="3" s="1"/>
  <c r="D443" i="3"/>
  <c r="M443" i="3"/>
  <c r="N443" i="3"/>
  <c r="C444" i="3" a="1"/>
  <c r="C444" i="3" s="1"/>
  <c r="D444" i="3"/>
  <c r="M444" i="3"/>
  <c r="N444" i="3"/>
  <c r="C445" i="3" a="1"/>
  <c r="C445" i="3" s="1"/>
  <c r="D445" i="3"/>
  <c r="M445" i="3"/>
  <c r="N445" i="3"/>
  <c r="C446" i="3" a="1"/>
  <c r="C446" i="3"/>
  <c r="D446" i="3"/>
  <c r="M446" i="3"/>
  <c r="N446" i="3"/>
  <c r="C447" i="3" a="1"/>
  <c r="C447" i="3" s="1"/>
  <c r="D447" i="3"/>
  <c r="M447" i="3"/>
  <c r="N447" i="3"/>
  <c r="C448" i="3" a="1"/>
  <c r="C448" i="3"/>
  <c r="D448" i="3"/>
  <c r="M448" i="3"/>
  <c r="N448" i="3"/>
  <c r="C449" i="3" a="1"/>
  <c r="C449" i="3" s="1"/>
  <c r="D449" i="3"/>
  <c r="M449" i="3"/>
  <c r="N449" i="3"/>
  <c r="C450" i="3" a="1"/>
  <c r="C450" i="3" s="1"/>
  <c r="D450" i="3"/>
  <c r="M450" i="3"/>
  <c r="N450" i="3"/>
  <c r="C451" i="3" a="1"/>
  <c r="C451" i="3" s="1"/>
  <c r="D451" i="3"/>
  <c r="M451" i="3"/>
  <c r="N451" i="3"/>
  <c r="C452" i="3" a="1"/>
  <c r="C452" i="3" s="1"/>
  <c r="D452" i="3"/>
  <c r="M452" i="3"/>
  <c r="N452" i="3"/>
  <c r="C453" i="3" a="1"/>
  <c r="C453" i="3" s="1"/>
  <c r="D453" i="3"/>
  <c r="M453" i="3"/>
  <c r="N453" i="3"/>
  <c r="C454" i="3" a="1"/>
  <c r="C454" i="3"/>
  <c r="D454" i="3"/>
  <c r="M454" i="3"/>
  <c r="N454" i="3"/>
  <c r="C455" i="3" a="1"/>
  <c r="C455" i="3" s="1"/>
  <c r="D455" i="3"/>
  <c r="M455" i="3"/>
  <c r="N455" i="3"/>
  <c r="C456" i="3" a="1"/>
  <c r="C456" i="3"/>
  <c r="D456" i="3"/>
  <c r="M456" i="3"/>
  <c r="N456" i="3"/>
  <c r="C457" i="3" a="1"/>
  <c r="C457" i="3" s="1"/>
  <c r="D457" i="3"/>
  <c r="M457" i="3"/>
  <c r="N457" i="3"/>
  <c r="C458" i="3" a="1"/>
  <c r="C458" i="3" s="1"/>
  <c r="D458" i="3"/>
  <c r="M458" i="3"/>
  <c r="N458" i="3"/>
  <c r="C459" i="3" a="1"/>
  <c r="C459" i="3" s="1"/>
  <c r="D459" i="3"/>
  <c r="M459" i="3"/>
  <c r="N459" i="3"/>
  <c r="C460" i="3" a="1"/>
  <c r="C460" i="3" s="1"/>
  <c r="D460" i="3"/>
  <c r="M460" i="3"/>
  <c r="N460" i="3"/>
  <c r="C461" i="3" a="1"/>
  <c r="C461" i="3" s="1"/>
  <c r="D461" i="3"/>
  <c r="M461" i="3"/>
  <c r="N461" i="3"/>
  <c r="C462" i="3" a="1"/>
  <c r="C462" i="3"/>
  <c r="D462" i="3"/>
  <c r="M462" i="3"/>
  <c r="N462" i="3"/>
  <c r="C463" i="3" a="1"/>
  <c r="C463" i="3" s="1"/>
  <c r="D463" i="3"/>
  <c r="M463" i="3"/>
  <c r="N463" i="3"/>
  <c r="C464" i="3" a="1"/>
  <c r="C464" i="3"/>
  <c r="D464" i="3"/>
  <c r="M464" i="3"/>
  <c r="N464" i="3"/>
  <c r="C465" i="3" a="1"/>
  <c r="C465" i="3" s="1"/>
  <c r="D465" i="3"/>
  <c r="M465" i="3"/>
  <c r="N465" i="3"/>
  <c r="C466" i="3" a="1"/>
  <c r="C466" i="3" s="1"/>
  <c r="D466" i="3"/>
  <c r="M466" i="3"/>
  <c r="N466" i="3"/>
  <c r="C467" i="3" a="1"/>
  <c r="C467" i="3" s="1"/>
  <c r="D467" i="3"/>
  <c r="M467" i="3"/>
  <c r="N467" i="3"/>
  <c r="C468" i="3" a="1"/>
  <c r="C468" i="3" s="1"/>
  <c r="D468" i="3"/>
  <c r="M468" i="3"/>
  <c r="N468" i="3"/>
  <c r="C469" i="3" a="1"/>
  <c r="C469" i="3" s="1"/>
  <c r="D469" i="3"/>
  <c r="M469" i="3"/>
  <c r="N469" i="3"/>
  <c r="C470" i="3" a="1"/>
  <c r="C470" i="3"/>
  <c r="D470" i="3"/>
  <c r="M470" i="3"/>
  <c r="N470" i="3"/>
  <c r="C283" i="3" a="1"/>
  <c r="C283" i="3" s="1"/>
  <c r="D283" i="3"/>
  <c r="M283" i="3"/>
  <c r="N283" i="3"/>
  <c r="C284" i="3" a="1"/>
  <c r="C284" i="3"/>
  <c r="D284" i="3"/>
  <c r="M284" i="3"/>
  <c r="N284" i="3"/>
  <c r="C285" i="3" a="1"/>
  <c r="C285" i="3" s="1"/>
  <c r="D285" i="3"/>
  <c r="M285" i="3"/>
  <c r="N285" i="3"/>
  <c r="C286" i="3" a="1"/>
  <c r="C286" i="3" s="1"/>
  <c r="D286" i="3"/>
  <c r="M286" i="3"/>
  <c r="N286" i="3"/>
  <c r="C287" i="3" a="1"/>
  <c r="C287" i="3" s="1"/>
  <c r="D287" i="3"/>
  <c r="M287" i="3"/>
  <c r="N287" i="3"/>
  <c r="C288" i="3" a="1"/>
  <c r="C288" i="3" s="1"/>
  <c r="D288" i="3"/>
  <c r="M288" i="3"/>
  <c r="N288" i="3"/>
  <c r="C289" i="3" a="1"/>
  <c r="C289" i="3" s="1"/>
  <c r="D289" i="3"/>
  <c r="M289" i="3"/>
  <c r="N289" i="3"/>
  <c r="C290" i="3" a="1"/>
  <c r="C290" i="3"/>
  <c r="D290" i="3"/>
  <c r="M290" i="3"/>
  <c r="N290" i="3"/>
  <c r="C291" i="3" a="1"/>
  <c r="C291" i="3" s="1"/>
  <c r="D291" i="3"/>
  <c r="M291" i="3"/>
  <c r="N291" i="3"/>
  <c r="C292" i="3" a="1"/>
  <c r="C292" i="3"/>
  <c r="D292" i="3"/>
  <c r="M292" i="3"/>
  <c r="N292" i="3"/>
  <c r="C293" i="3" a="1"/>
  <c r="C293" i="3" s="1"/>
  <c r="D293" i="3"/>
  <c r="M293" i="3"/>
  <c r="N293" i="3"/>
  <c r="C294" i="3" a="1"/>
  <c r="C294" i="3" s="1"/>
  <c r="D294" i="3"/>
  <c r="M294" i="3"/>
  <c r="N294" i="3"/>
  <c r="C295" i="3" a="1"/>
  <c r="C295" i="3" s="1"/>
  <c r="D295" i="3"/>
  <c r="M295" i="3"/>
  <c r="N295" i="3"/>
  <c r="C296" i="3" a="1"/>
  <c r="C296" i="3" s="1"/>
  <c r="D296" i="3"/>
  <c r="M296" i="3"/>
  <c r="N296" i="3"/>
  <c r="C297" i="3" a="1"/>
  <c r="C297" i="3" s="1"/>
  <c r="D297" i="3"/>
  <c r="M297" i="3"/>
  <c r="N297" i="3"/>
  <c r="C298" i="3" a="1"/>
  <c r="C298" i="3"/>
  <c r="D298" i="3"/>
  <c r="M298" i="3"/>
  <c r="N298" i="3"/>
  <c r="C299" i="3" a="1"/>
  <c r="C299" i="3" s="1"/>
  <c r="D299" i="3"/>
  <c r="M299" i="3"/>
  <c r="N299" i="3"/>
  <c r="C300" i="3" a="1"/>
  <c r="C300" i="3"/>
  <c r="D300" i="3"/>
  <c r="M300" i="3"/>
  <c r="N300" i="3"/>
  <c r="C301" i="3" a="1"/>
  <c r="C301" i="3" s="1"/>
  <c r="D301" i="3"/>
  <c r="M301" i="3"/>
  <c r="N301" i="3"/>
  <c r="C302" i="3" a="1"/>
  <c r="C302" i="3" s="1"/>
  <c r="D302" i="3"/>
  <c r="M302" i="3"/>
  <c r="N302" i="3"/>
  <c r="C303" i="3" a="1"/>
  <c r="C303" i="3" s="1"/>
  <c r="D303" i="3"/>
  <c r="M303" i="3"/>
  <c r="N303" i="3"/>
  <c r="C304" i="3" a="1"/>
  <c r="C304" i="3" s="1"/>
  <c r="D304" i="3"/>
  <c r="M304" i="3"/>
  <c r="N304" i="3"/>
  <c r="C305" i="3" a="1"/>
  <c r="C305" i="3" s="1"/>
  <c r="D305" i="3"/>
  <c r="M305" i="3"/>
  <c r="N305" i="3"/>
  <c r="C306" i="3" a="1"/>
  <c r="C306" i="3"/>
  <c r="D306" i="3"/>
  <c r="M306" i="3"/>
  <c r="N306" i="3"/>
  <c r="C307" i="3" a="1"/>
  <c r="C307" i="3" s="1"/>
  <c r="D307" i="3"/>
  <c r="M307" i="3"/>
  <c r="N307" i="3"/>
  <c r="C308" i="3" a="1"/>
  <c r="C308" i="3"/>
  <c r="D308" i="3"/>
  <c r="M308" i="3"/>
  <c r="N308" i="3"/>
  <c r="C309" i="3" a="1"/>
  <c r="C309" i="3" s="1"/>
  <c r="D309" i="3"/>
  <c r="M309" i="3"/>
  <c r="N309" i="3"/>
  <c r="C310" i="3" a="1"/>
  <c r="C310" i="3" s="1"/>
  <c r="D310" i="3"/>
  <c r="M310" i="3"/>
  <c r="N310" i="3"/>
  <c r="C311" i="3" a="1"/>
  <c r="C311" i="3" s="1"/>
  <c r="D311" i="3"/>
  <c r="M311" i="3"/>
  <c r="N311" i="3"/>
  <c r="C312" i="3" a="1"/>
  <c r="C312" i="3" s="1"/>
  <c r="D312" i="3"/>
  <c r="M312" i="3"/>
  <c r="N312" i="3"/>
  <c r="C313" i="3" a="1"/>
  <c r="C313" i="3" s="1"/>
  <c r="D313" i="3"/>
  <c r="M313" i="3"/>
  <c r="N313" i="3"/>
  <c r="C314" i="3" a="1"/>
  <c r="C314" i="3"/>
  <c r="D314" i="3"/>
  <c r="M314" i="3"/>
  <c r="N314" i="3"/>
  <c r="C315" i="3" a="1"/>
  <c r="C315" i="3" s="1"/>
  <c r="D315" i="3"/>
  <c r="M315" i="3"/>
  <c r="N315" i="3"/>
  <c r="C316" i="3" a="1"/>
  <c r="C316" i="3"/>
  <c r="D316" i="3"/>
  <c r="M316" i="3"/>
  <c r="N316" i="3"/>
  <c r="C317" i="3" a="1"/>
  <c r="C317" i="3" s="1"/>
  <c r="D317" i="3"/>
  <c r="M317" i="3"/>
  <c r="N317" i="3"/>
  <c r="C318" i="3" a="1"/>
  <c r="C318" i="3" s="1"/>
  <c r="D318" i="3"/>
  <c r="M318" i="3"/>
  <c r="N318" i="3"/>
  <c r="C319" i="3" a="1"/>
  <c r="C319" i="3" s="1"/>
  <c r="D319" i="3"/>
  <c r="M319" i="3"/>
  <c r="N319" i="3"/>
  <c r="C320" i="3" a="1"/>
  <c r="C320" i="3" s="1"/>
  <c r="D320" i="3"/>
  <c r="M320" i="3"/>
  <c r="N320" i="3"/>
  <c r="C321" i="3" a="1"/>
  <c r="C321" i="3" s="1"/>
  <c r="D321" i="3"/>
  <c r="M321" i="3"/>
  <c r="N321" i="3"/>
  <c r="C322" i="3" a="1"/>
  <c r="C322" i="3"/>
  <c r="D322" i="3"/>
  <c r="M322" i="3"/>
  <c r="N322" i="3"/>
  <c r="C323" i="3" a="1"/>
  <c r="C323" i="3" s="1"/>
  <c r="D323" i="3"/>
  <c r="M323" i="3"/>
  <c r="N323" i="3"/>
  <c r="C324" i="3" a="1"/>
  <c r="C324" i="3"/>
  <c r="D324" i="3"/>
  <c r="M324" i="3"/>
  <c r="N324" i="3"/>
  <c r="C325" i="3" a="1"/>
  <c r="C325" i="3" s="1"/>
  <c r="D325" i="3"/>
  <c r="M325" i="3"/>
  <c r="N325" i="3"/>
  <c r="C326" i="3" a="1"/>
  <c r="C326" i="3" s="1"/>
  <c r="D326" i="3"/>
  <c r="M326" i="3"/>
  <c r="N326" i="3"/>
  <c r="C327" i="3" a="1"/>
  <c r="C327" i="3" s="1"/>
  <c r="D327" i="3"/>
  <c r="M327" i="3"/>
  <c r="N327" i="3"/>
  <c r="C328" i="3" a="1"/>
  <c r="C328" i="3" s="1"/>
  <c r="D328" i="3"/>
  <c r="M328" i="3"/>
  <c r="N328" i="3"/>
  <c r="C329" i="3" a="1"/>
  <c r="C329" i="3" s="1"/>
  <c r="D329" i="3"/>
  <c r="M329" i="3"/>
  <c r="N329" i="3"/>
  <c r="C330" i="3" a="1"/>
  <c r="C330" i="3"/>
  <c r="D330" i="3"/>
  <c r="M330" i="3"/>
  <c r="N330" i="3"/>
  <c r="C331" i="3" a="1"/>
  <c r="C331" i="3" s="1"/>
  <c r="D331" i="3"/>
  <c r="M331" i="3"/>
  <c r="N331" i="3"/>
  <c r="C332" i="3" a="1"/>
  <c r="C332" i="3"/>
  <c r="D332" i="3"/>
  <c r="M332" i="3"/>
  <c r="N332" i="3"/>
  <c r="C333" i="3" a="1"/>
  <c r="C333" i="3" s="1"/>
  <c r="D333" i="3"/>
  <c r="M333" i="3"/>
  <c r="N333" i="3"/>
  <c r="C334" i="3" a="1"/>
  <c r="C334" i="3" s="1"/>
  <c r="D334" i="3"/>
  <c r="M334" i="3"/>
  <c r="N334" i="3"/>
  <c r="C335" i="3" a="1"/>
  <c r="C335" i="3" s="1"/>
  <c r="D335" i="3"/>
  <c r="M335" i="3"/>
  <c r="N335" i="3"/>
  <c r="C336" i="3" a="1"/>
  <c r="C336" i="3" s="1"/>
  <c r="D336" i="3"/>
  <c r="M336" i="3"/>
  <c r="N336" i="3"/>
  <c r="C337" i="3" a="1"/>
  <c r="C337" i="3" s="1"/>
  <c r="D337" i="3"/>
  <c r="M337" i="3"/>
  <c r="N337" i="3"/>
  <c r="C338" i="3" a="1"/>
  <c r="C338" i="3"/>
  <c r="D338" i="3"/>
  <c r="M338" i="3"/>
  <c r="N338" i="3"/>
  <c r="C339" i="3" a="1"/>
  <c r="C339" i="3" s="1"/>
  <c r="D339" i="3"/>
  <c r="M339" i="3"/>
  <c r="N339" i="3"/>
  <c r="C340" i="3" a="1"/>
  <c r="C340" i="3"/>
  <c r="D340" i="3"/>
  <c r="M340" i="3"/>
  <c r="N340" i="3"/>
  <c r="C341" i="3" a="1"/>
  <c r="C341" i="3" s="1"/>
  <c r="D341" i="3"/>
  <c r="M341" i="3"/>
  <c r="N341" i="3"/>
  <c r="C342" i="3" a="1"/>
  <c r="C342" i="3" s="1"/>
  <c r="D342" i="3"/>
  <c r="M342" i="3"/>
  <c r="N342" i="3"/>
  <c r="C343" i="3" a="1"/>
  <c r="C343" i="3" s="1"/>
  <c r="D343" i="3"/>
  <c r="M343" i="3"/>
  <c r="N343" i="3"/>
  <c r="C344" i="3" a="1"/>
  <c r="C344" i="3" s="1"/>
  <c r="D344" i="3"/>
  <c r="M344" i="3"/>
  <c r="N344" i="3"/>
  <c r="C345" i="3" a="1"/>
  <c r="C345" i="3" s="1"/>
  <c r="D345" i="3"/>
  <c r="M345" i="3"/>
  <c r="N345" i="3"/>
  <c r="C346" i="3" a="1"/>
  <c r="C346" i="3"/>
  <c r="D346" i="3"/>
  <c r="M346" i="3"/>
  <c r="N346" i="3"/>
  <c r="C347" i="3" a="1"/>
  <c r="C347" i="3" s="1"/>
  <c r="D347" i="3"/>
  <c r="M347" i="3"/>
  <c r="N347" i="3"/>
  <c r="C348" i="3" a="1"/>
  <c r="C348" i="3"/>
  <c r="D348" i="3"/>
  <c r="M348" i="3"/>
  <c r="N348" i="3"/>
  <c r="C349" i="3" a="1"/>
  <c r="C349" i="3" s="1"/>
  <c r="D349" i="3"/>
  <c r="M349" i="3"/>
  <c r="N349" i="3"/>
  <c r="C350" i="3" a="1"/>
  <c r="C350" i="3" s="1"/>
  <c r="D350" i="3"/>
  <c r="M350" i="3"/>
  <c r="N350" i="3"/>
  <c r="C351" i="3" a="1"/>
  <c r="C351" i="3" s="1"/>
  <c r="D351" i="3"/>
  <c r="M351" i="3"/>
  <c r="N351" i="3"/>
  <c r="C352" i="3" a="1"/>
  <c r="C352" i="3" s="1"/>
  <c r="D352" i="3"/>
  <c r="M352" i="3"/>
  <c r="N352" i="3"/>
  <c r="C353" i="3" a="1"/>
  <c r="C353" i="3" s="1"/>
  <c r="D353" i="3"/>
  <c r="M353" i="3"/>
  <c r="N353" i="3"/>
  <c r="C354" i="3" a="1"/>
  <c r="C354" i="3"/>
  <c r="D354" i="3"/>
  <c r="M354" i="3"/>
  <c r="N354" i="3"/>
  <c r="C355" i="3" a="1"/>
  <c r="C355" i="3" s="1"/>
  <c r="D355" i="3"/>
  <c r="M355" i="3"/>
  <c r="N355" i="3"/>
  <c r="C356" i="3" a="1"/>
  <c r="C356" i="3"/>
  <c r="D356" i="3"/>
  <c r="M356" i="3"/>
  <c r="N356" i="3"/>
  <c r="C357" i="3" a="1"/>
  <c r="C357" i="3" s="1"/>
  <c r="D357" i="3"/>
  <c r="M357" i="3"/>
  <c r="N357" i="3"/>
  <c r="C358" i="3" a="1"/>
  <c r="C358" i="3" s="1"/>
  <c r="D358" i="3"/>
  <c r="M358" i="3"/>
  <c r="N358" i="3"/>
  <c r="C359" i="3" a="1"/>
  <c r="C359" i="3" s="1"/>
  <c r="D359" i="3"/>
  <c r="M359" i="3"/>
  <c r="N359" i="3"/>
  <c r="C360" i="3" a="1"/>
  <c r="C360" i="3" s="1"/>
  <c r="D360" i="3"/>
  <c r="M360" i="3"/>
  <c r="N360" i="3"/>
  <c r="C361" i="3" a="1"/>
  <c r="C361" i="3" s="1"/>
  <c r="D361" i="3"/>
  <c r="M361" i="3"/>
  <c r="N361" i="3"/>
  <c r="C362" i="3" a="1"/>
  <c r="C362" i="3"/>
  <c r="D362" i="3"/>
  <c r="M362" i="3"/>
  <c r="N362" i="3"/>
  <c r="C363" i="3" a="1"/>
  <c r="C363" i="3" s="1"/>
  <c r="D363" i="3"/>
  <c r="M363" i="3"/>
  <c r="N363" i="3"/>
  <c r="C364" i="3" a="1"/>
  <c r="C364" i="3"/>
  <c r="D364" i="3"/>
  <c r="M364" i="3"/>
  <c r="N364" i="3"/>
  <c r="C365" i="3" a="1"/>
  <c r="C365" i="3" s="1"/>
  <c r="D365" i="3"/>
  <c r="M365" i="3"/>
  <c r="N365" i="3"/>
  <c r="C366" i="3" a="1"/>
  <c r="C366" i="3" s="1"/>
  <c r="D366" i="3"/>
  <c r="M366" i="3"/>
  <c r="N366" i="3"/>
  <c r="C367" i="3" a="1"/>
  <c r="C367" i="3" s="1"/>
  <c r="D367" i="3"/>
  <c r="M367" i="3"/>
  <c r="N367" i="3"/>
  <c r="C368" i="3" a="1"/>
  <c r="C368" i="3" s="1"/>
  <c r="D368" i="3"/>
  <c r="M368" i="3"/>
  <c r="N368" i="3"/>
  <c r="C369" i="3" a="1"/>
  <c r="C369" i="3" s="1"/>
  <c r="D369" i="3"/>
  <c r="M369" i="3"/>
  <c r="N369" i="3"/>
  <c r="C370" i="3" a="1"/>
  <c r="C370" i="3"/>
  <c r="D370" i="3"/>
  <c r="M370" i="3"/>
  <c r="N370" i="3"/>
  <c r="C371" i="3" a="1"/>
  <c r="C371" i="3" s="1"/>
  <c r="D371" i="3"/>
  <c r="M371" i="3"/>
  <c r="N371" i="3"/>
  <c r="C372" i="3" a="1"/>
  <c r="C372" i="3"/>
  <c r="D372" i="3"/>
  <c r="M372" i="3"/>
  <c r="N372" i="3"/>
  <c r="C373" i="3" a="1"/>
  <c r="C373" i="3" s="1"/>
  <c r="D373" i="3"/>
  <c r="M373" i="3"/>
  <c r="N373" i="3"/>
  <c r="C374" i="3" a="1"/>
  <c r="C374" i="3" s="1"/>
  <c r="D374" i="3"/>
  <c r="M374" i="3"/>
  <c r="N374" i="3"/>
  <c r="C375" i="3" a="1"/>
  <c r="C375" i="3" s="1"/>
  <c r="D375" i="3"/>
  <c r="M375" i="3"/>
  <c r="N375" i="3"/>
  <c r="C376" i="3" a="1"/>
  <c r="C376" i="3" s="1"/>
  <c r="D376" i="3"/>
  <c r="M376" i="3"/>
  <c r="N376" i="3"/>
  <c r="C189" i="3" a="1"/>
  <c r="C189" i="3" s="1"/>
  <c r="D189" i="3"/>
  <c r="M189" i="3"/>
  <c r="N189" i="3"/>
  <c r="C190" i="3" a="1"/>
  <c r="C190" i="3"/>
  <c r="D190" i="3"/>
  <c r="M190" i="3"/>
  <c r="N190" i="3"/>
  <c r="C191" i="3" a="1"/>
  <c r="C191" i="3" s="1"/>
  <c r="D191" i="3"/>
  <c r="M191" i="3"/>
  <c r="N191" i="3"/>
  <c r="C192" i="3" a="1"/>
  <c r="C192" i="3"/>
  <c r="D192" i="3"/>
  <c r="M192" i="3"/>
  <c r="N192" i="3"/>
  <c r="C193" i="3" a="1"/>
  <c r="C193" i="3" s="1"/>
  <c r="D193" i="3"/>
  <c r="M193" i="3"/>
  <c r="N193" i="3"/>
  <c r="C194" i="3" a="1"/>
  <c r="C194" i="3" s="1"/>
  <c r="D194" i="3"/>
  <c r="M194" i="3"/>
  <c r="N194" i="3"/>
  <c r="C195" i="3" a="1"/>
  <c r="C195" i="3" s="1"/>
  <c r="D195" i="3"/>
  <c r="M195" i="3"/>
  <c r="N195" i="3"/>
  <c r="C196" i="3" a="1"/>
  <c r="C196" i="3"/>
  <c r="D196" i="3"/>
  <c r="M196" i="3"/>
  <c r="N196" i="3"/>
  <c r="C197" i="3" a="1"/>
  <c r="C197" i="3" s="1"/>
  <c r="D197" i="3"/>
  <c r="M197" i="3"/>
  <c r="N197" i="3"/>
  <c r="C198" i="3" a="1"/>
  <c r="C198" i="3"/>
  <c r="D198" i="3"/>
  <c r="M198" i="3"/>
  <c r="N198" i="3"/>
  <c r="C199" i="3" a="1"/>
  <c r="C199" i="3" s="1"/>
  <c r="D199" i="3"/>
  <c r="M199" i="3"/>
  <c r="N199" i="3"/>
  <c r="C200" i="3" a="1"/>
  <c r="C200" i="3"/>
  <c r="D200" i="3"/>
  <c r="M200" i="3"/>
  <c r="N200" i="3"/>
  <c r="C201" i="3" a="1"/>
  <c r="C201" i="3" s="1"/>
  <c r="D201" i="3"/>
  <c r="M201" i="3"/>
  <c r="N201" i="3"/>
  <c r="C202" i="3" a="1"/>
  <c r="C202" i="3" s="1"/>
  <c r="D202" i="3"/>
  <c r="M202" i="3"/>
  <c r="N202" i="3"/>
  <c r="C203" i="3" a="1"/>
  <c r="C203" i="3" s="1"/>
  <c r="D203" i="3"/>
  <c r="M203" i="3"/>
  <c r="N203" i="3"/>
  <c r="C204" i="3" a="1"/>
  <c r="C204" i="3"/>
  <c r="D204" i="3"/>
  <c r="M204" i="3"/>
  <c r="N204" i="3"/>
  <c r="C205" i="3" a="1"/>
  <c r="C205" i="3" s="1"/>
  <c r="D205" i="3"/>
  <c r="M205" i="3"/>
  <c r="N205" i="3"/>
  <c r="C206" i="3" a="1"/>
  <c r="C206" i="3"/>
  <c r="D206" i="3"/>
  <c r="M206" i="3"/>
  <c r="N206" i="3"/>
  <c r="C207" i="3" a="1"/>
  <c r="C207" i="3" s="1"/>
  <c r="D207" i="3"/>
  <c r="M207" i="3"/>
  <c r="N207" i="3"/>
  <c r="C208" i="3" a="1"/>
  <c r="C208" i="3"/>
  <c r="D208" i="3"/>
  <c r="M208" i="3"/>
  <c r="N208" i="3"/>
  <c r="C209" i="3" a="1"/>
  <c r="C209" i="3" s="1"/>
  <c r="D209" i="3"/>
  <c r="M209" i="3"/>
  <c r="N209" i="3"/>
  <c r="C210" i="3" a="1"/>
  <c r="C210" i="3" s="1"/>
  <c r="D210" i="3"/>
  <c r="M210" i="3"/>
  <c r="N210" i="3"/>
  <c r="C211" i="3" a="1"/>
  <c r="C211" i="3" s="1"/>
  <c r="D211" i="3"/>
  <c r="M211" i="3"/>
  <c r="N211" i="3"/>
  <c r="C212" i="3" a="1"/>
  <c r="C212" i="3"/>
  <c r="D212" i="3"/>
  <c r="M212" i="3"/>
  <c r="N212" i="3"/>
  <c r="C213" i="3" a="1"/>
  <c r="C213" i="3" s="1"/>
  <c r="D213" i="3"/>
  <c r="M213" i="3"/>
  <c r="N213" i="3"/>
  <c r="C214" i="3" a="1"/>
  <c r="C214" i="3"/>
  <c r="D214" i="3"/>
  <c r="M214" i="3"/>
  <c r="N214" i="3"/>
  <c r="C215" i="3" a="1"/>
  <c r="C215" i="3" s="1"/>
  <c r="D215" i="3"/>
  <c r="M215" i="3"/>
  <c r="N215" i="3"/>
  <c r="C216" i="3" a="1"/>
  <c r="C216" i="3"/>
  <c r="D216" i="3"/>
  <c r="M216" i="3"/>
  <c r="N216" i="3"/>
  <c r="C217" i="3" a="1"/>
  <c r="C217" i="3" s="1"/>
  <c r="D217" i="3"/>
  <c r="M217" i="3"/>
  <c r="N217" i="3"/>
  <c r="C218" i="3" a="1"/>
  <c r="C218" i="3" s="1"/>
  <c r="D218" i="3"/>
  <c r="M218" i="3"/>
  <c r="N218" i="3"/>
  <c r="C219" i="3" a="1"/>
  <c r="C219" i="3" s="1"/>
  <c r="D219" i="3"/>
  <c r="M219" i="3"/>
  <c r="N219" i="3"/>
  <c r="C220" i="3" a="1"/>
  <c r="C220" i="3"/>
  <c r="D220" i="3"/>
  <c r="M220" i="3"/>
  <c r="N220" i="3"/>
  <c r="C221" i="3" a="1"/>
  <c r="C221" i="3" s="1"/>
  <c r="D221" i="3"/>
  <c r="M221" i="3"/>
  <c r="N221" i="3"/>
  <c r="C222" i="3" a="1"/>
  <c r="C222" i="3"/>
  <c r="D222" i="3"/>
  <c r="M222" i="3"/>
  <c r="N222" i="3"/>
  <c r="C223" i="3" a="1"/>
  <c r="C223" i="3" s="1"/>
  <c r="D223" i="3"/>
  <c r="M223" i="3"/>
  <c r="N223" i="3"/>
  <c r="C224" i="3" a="1"/>
  <c r="C224" i="3"/>
  <c r="D224" i="3"/>
  <c r="M224" i="3"/>
  <c r="N224" i="3"/>
  <c r="C225" i="3" a="1"/>
  <c r="C225" i="3" s="1"/>
  <c r="D225" i="3"/>
  <c r="M225" i="3"/>
  <c r="N225" i="3"/>
  <c r="C226" i="3" a="1"/>
  <c r="C226" i="3" s="1"/>
  <c r="D226" i="3"/>
  <c r="M226" i="3"/>
  <c r="N226" i="3"/>
  <c r="C227" i="3" a="1"/>
  <c r="C227" i="3" s="1"/>
  <c r="D227" i="3"/>
  <c r="M227" i="3"/>
  <c r="N227" i="3"/>
  <c r="C228" i="3" a="1"/>
  <c r="C228" i="3"/>
  <c r="D228" i="3"/>
  <c r="M228" i="3"/>
  <c r="N228" i="3"/>
  <c r="C229" i="3" a="1"/>
  <c r="C229" i="3" s="1"/>
  <c r="D229" i="3"/>
  <c r="M229" i="3"/>
  <c r="N229" i="3"/>
  <c r="C230" i="3" a="1"/>
  <c r="C230" i="3"/>
  <c r="D230" i="3"/>
  <c r="M230" i="3"/>
  <c r="N230" i="3"/>
  <c r="C231" i="3" a="1"/>
  <c r="C231" i="3" s="1"/>
  <c r="D231" i="3"/>
  <c r="M231" i="3"/>
  <c r="N231" i="3"/>
  <c r="C232" i="3" a="1"/>
  <c r="C232" i="3"/>
  <c r="D232" i="3"/>
  <c r="M232" i="3"/>
  <c r="N232" i="3"/>
  <c r="C233" i="3" a="1"/>
  <c r="C233" i="3" s="1"/>
  <c r="D233" i="3"/>
  <c r="M233" i="3"/>
  <c r="N233" i="3"/>
  <c r="C234" i="3" a="1"/>
  <c r="C234" i="3" s="1"/>
  <c r="D234" i="3"/>
  <c r="M234" i="3"/>
  <c r="N234" i="3"/>
  <c r="C235" i="3" a="1"/>
  <c r="C235" i="3" s="1"/>
  <c r="D235" i="3"/>
  <c r="M235" i="3"/>
  <c r="N235" i="3"/>
  <c r="C236" i="3" a="1"/>
  <c r="C236" i="3"/>
  <c r="D236" i="3"/>
  <c r="M236" i="3"/>
  <c r="N236" i="3"/>
  <c r="C237" i="3" a="1"/>
  <c r="C237" i="3" s="1"/>
  <c r="D237" i="3"/>
  <c r="M237" i="3"/>
  <c r="N237" i="3"/>
  <c r="C238" i="3" a="1"/>
  <c r="C238" i="3"/>
  <c r="D238" i="3"/>
  <c r="M238" i="3"/>
  <c r="N238" i="3"/>
  <c r="C239" i="3" a="1"/>
  <c r="C239" i="3" s="1"/>
  <c r="D239" i="3"/>
  <c r="M239" i="3"/>
  <c r="N239" i="3"/>
  <c r="C240" i="3" a="1"/>
  <c r="C240" i="3"/>
  <c r="D240" i="3"/>
  <c r="M240" i="3"/>
  <c r="N240" i="3"/>
  <c r="C241" i="3" a="1"/>
  <c r="C241" i="3" s="1"/>
  <c r="D241" i="3"/>
  <c r="M241" i="3"/>
  <c r="N241" i="3"/>
  <c r="C242" i="3" a="1"/>
  <c r="C242" i="3" s="1"/>
  <c r="D242" i="3"/>
  <c r="M242" i="3"/>
  <c r="N242" i="3"/>
  <c r="C243" i="3" a="1"/>
  <c r="C243" i="3" s="1"/>
  <c r="D243" i="3"/>
  <c r="M243" i="3"/>
  <c r="N243" i="3"/>
  <c r="C244" i="3" a="1"/>
  <c r="C244" i="3" s="1"/>
  <c r="D244" i="3"/>
  <c r="M244" i="3"/>
  <c r="N244" i="3"/>
  <c r="C245" i="3" a="1"/>
  <c r="C245" i="3" s="1"/>
  <c r="D245" i="3"/>
  <c r="M245" i="3"/>
  <c r="N245" i="3"/>
  <c r="C246" i="3" a="1"/>
  <c r="C246" i="3" s="1"/>
  <c r="D246" i="3"/>
  <c r="M246" i="3"/>
  <c r="N246" i="3"/>
  <c r="C247" i="3" a="1"/>
  <c r="C247" i="3" s="1"/>
  <c r="D247" i="3"/>
  <c r="M247" i="3"/>
  <c r="N247" i="3"/>
  <c r="C248" i="3" a="1"/>
  <c r="C248" i="3"/>
  <c r="D248" i="3"/>
  <c r="M248" i="3"/>
  <c r="N248" i="3"/>
  <c r="C249" i="3" a="1"/>
  <c r="C249" i="3" s="1"/>
  <c r="D249" i="3"/>
  <c r="M249" i="3"/>
  <c r="N249" i="3"/>
  <c r="C250" i="3" a="1"/>
  <c r="C250" i="3"/>
  <c r="D250" i="3"/>
  <c r="M250" i="3"/>
  <c r="N250" i="3"/>
  <c r="C251" i="3" a="1"/>
  <c r="C251" i="3" s="1"/>
  <c r="D251" i="3"/>
  <c r="M251" i="3"/>
  <c r="N251" i="3"/>
  <c r="C252" i="3" a="1"/>
  <c r="C252" i="3"/>
  <c r="D252" i="3"/>
  <c r="M252" i="3"/>
  <c r="N252" i="3"/>
  <c r="C253" i="3" a="1"/>
  <c r="C253" i="3" s="1"/>
  <c r="D253" i="3"/>
  <c r="M253" i="3"/>
  <c r="N253" i="3"/>
  <c r="C254" i="3" a="1"/>
  <c r="C254" i="3" s="1"/>
  <c r="D254" i="3"/>
  <c r="M254" i="3"/>
  <c r="N254" i="3"/>
  <c r="C255" i="3" a="1"/>
  <c r="C255" i="3" s="1"/>
  <c r="D255" i="3"/>
  <c r="M255" i="3"/>
  <c r="N255" i="3"/>
  <c r="C256" i="3" a="1"/>
  <c r="C256" i="3"/>
  <c r="D256" i="3"/>
  <c r="M256" i="3"/>
  <c r="N256" i="3"/>
  <c r="C257" i="3" a="1"/>
  <c r="C257" i="3" s="1"/>
  <c r="D257" i="3"/>
  <c r="M257" i="3"/>
  <c r="N257" i="3"/>
  <c r="C258" i="3" a="1"/>
  <c r="C258" i="3" s="1"/>
  <c r="D258" i="3"/>
  <c r="M258" i="3"/>
  <c r="N258" i="3"/>
  <c r="C259" i="3" a="1"/>
  <c r="C259" i="3" s="1"/>
  <c r="D259" i="3"/>
  <c r="M259" i="3"/>
  <c r="N259" i="3"/>
  <c r="C260" i="3" a="1"/>
  <c r="C260" i="3"/>
  <c r="D260" i="3"/>
  <c r="M260" i="3"/>
  <c r="N260" i="3"/>
  <c r="C261" i="3" a="1"/>
  <c r="C261" i="3" s="1"/>
  <c r="D261" i="3"/>
  <c r="M261" i="3"/>
  <c r="N261" i="3"/>
  <c r="C262" i="3" a="1"/>
  <c r="C262" i="3"/>
  <c r="D262" i="3"/>
  <c r="M262" i="3"/>
  <c r="N262" i="3"/>
  <c r="C263" i="3" a="1"/>
  <c r="C263" i="3" s="1"/>
  <c r="D263" i="3"/>
  <c r="M263" i="3"/>
  <c r="N263" i="3"/>
  <c r="C264" i="3" a="1"/>
  <c r="C264" i="3"/>
  <c r="D264" i="3"/>
  <c r="M264" i="3"/>
  <c r="N264" i="3"/>
  <c r="C265" i="3" a="1"/>
  <c r="C265" i="3" s="1"/>
  <c r="D265" i="3"/>
  <c r="M265" i="3"/>
  <c r="N265" i="3"/>
  <c r="C266" i="3" a="1"/>
  <c r="C266" i="3" s="1"/>
  <c r="D266" i="3"/>
  <c r="M266" i="3"/>
  <c r="N266" i="3"/>
  <c r="C267" i="3" a="1"/>
  <c r="C267" i="3" s="1"/>
  <c r="D267" i="3"/>
  <c r="M267" i="3"/>
  <c r="N267" i="3"/>
  <c r="C268" i="3" a="1"/>
  <c r="C268" i="3"/>
  <c r="D268" i="3"/>
  <c r="M268" i="3"/>
  <c r="N268" i="3"/>
  <c r="C269" i="3" a="1"/>
  <c r="C269" i="3" s="1"/>
  <c r="D269" i="3"/>
  <c r="M269" i="3"/>
  <c r="N269" i="3"/>
  <c r="C270" i="3" a="1"/>
  <c r="C270" i="3" s="1"/>
  <c r="D270" i="3"/>
  <c r="M270" i="3"/>
  <c r="N270" i="3"/>
  <c r="C271" i="3" a="1"/>
  <c r="C271" i="3" s="1"/>
  <c r="D271" i="3"/>
  <c r="M271" i="3"/>
  <c r="N271" i="3"/>
  <c r="C272" i="3" a="1"/>
  <c r="C272" i="3"/>
  <c r="D272" i="3"/>
  <c r="M272" i="3"/>
  <c r="N272" i="3"/>
  <c r="C273" i="3" a="1"/>
  <c r="C273" i="3" s="1"/>
  <c r="D273" i="3"/>
  <c r="M273" i="3"/>
  <c r="N273" i="3"/>
  <c r="C274" i="3" a="1"/>
  <c r="C274" i="3"/>
  <c r="D274" i="3"/>
  <c r="M274" i="3"/>
  <c r="N274" i="3"/>
  <c r="C275" i="3" a="1"/>
  <c r="C275" i="3" s="1"/>
  <c r="D275" i="3"/>
  <c r="M275" i="3"/>
  <c r="N275" i="3"/>
  <c r="C276" i="3" a="1"/>
  <c r="C276" i="3"/>
  <c r="D276" i="3"/>
  <c r="M276" i="3"/>
  <c r="N276" i="3"/>
  <c r="C277" i="3" a="1"/>
  <c r="C277" i="3" s="1"/>
  <c r="D277" i="3"/>
  <c r="M277" i="3"/>
  <c r="N277" i="3"/>
  <c r="C278" i="3" a="1"/>
  <c r="C278" i="3" s="1"/>
  <c r="D278" i="3"/>
  <c r="M278" i="3"/>
  <c r="N278" i="3"/>
  <c r="C279" i="3" a="1"/>
  <c r="C279" i="3" s="1"/>
  <c r="D279" i="3"/>
  <c r="M279" i="3"/>
  <c r="N279" i="3"/>
  <c r="C280" i="3" a="1"/>
  <c r="C280" i="3"/>
  <c r="D280" i="3"/>
  <c r="M280" i="3"/>
  <c r="N280" i="3"/>
  <c r="C281" i="3" a="1"/>
  <c r="C281" i="3" s="1"/>
  <c r="D281" i="3"/>
  <c r="M281" i="3"/>
  <c r="N281" i="3"/>
  <c r="C282" i="3" a="1"/>
  <c r="C282" i="3" s="1"/>
  <c r="D282" i="3"/>
  <c r="M282" i="3"/>
  <c r="N282" i="3"/>
  <c r="C95" i="3" a="1"/>
  <c r="C95" i="3" s="1"/>
  <c r="D95" i="3"/>
  <c r="M95" i="3"/>
  <c r="N95" i="3"/>
  <c r="C96" i="3" a="1"/>
  <c r="C96" i="3"/>
  <c r="D96" i="3"/>
  <c r="M96" i="3"/>
  <c r="N96" i="3"/>
  <c r="C97" i="3" a="1"/>
  <c r="C97" i="3" s="1"/>
  <c r="D97" i="3"/>
  <c r="M97" i="3"/>
  <c r="N97" i="3"/>
  <c r="C98" i="3" a="1"/>
  <c r="C98" i="3"/>
  <c r="D98" i="3"/>
  <c r="M98" i="3"/>
  <c r="N98" i="3"/>
  <c r="C99" i="3" a="1"/>
  <c r="C99" i="3" s="1"/>
  <c r="D99" i="3"/>
  <c r="M99" i="3"/>
  <c r="N99" i="3"/>
  <c r="C100" i="3" a="1"/>
  <c r="C100" i="3"/>
  <c r="D100" i="3"/>
  <c r="M100" i="3"/>
  <c r="N100" i="3"/>
  <c r="C101" i="3" a="1"/>
  <c r="C101" i="3" s="1"/>
  <c r="D101" i="3"/>
  <c r="M101" i="3"/>
  <c r="N101" i="3"/>
  <c r="C102" i="3" a="1"/>
  <c r="C102" i="3" s="1"/>
  <c r="D102" i="3"/>
  <c r="M102" i="3"/>
  <c r="N102" i="3"/>
  <c r="C103" i="3" a="1"/>
  <c r="C103" i="3" s="1"/>
  <c r="D103" i="3"/>
  <c r="M103" i="3"/>
  <c r="N103" i="3"/>
  <c r="C104" i="3" a="1"/>
  <c r="C104" i="3"/>
  <c r="D104" i="3"/>
  <c r="M104" i="3"/>
  <c r="N104" i="3"/>
  <c r="C105" i="3" a="1"/>
  <c r="C105" i="3" s="1"/>
  <c r="D105" i="3"/>
  <c r="M105" i="3"/>
  <c r="N105" i="3"/>
  <c r="C106" i="3" a="1"/>
  <c r="C106" i="3" s="1"/>
  <c r="D106" i="3"/>
  <c r="M106" i="3"/>
  <c r="N106" i="3"/>
  <c r="C107" i="3" a="1"/>
  <c r="C107" i="3" s="1"/>
  <c r="D107" i="3"/>
  <c r="M107" i="3"/>
  <c r="N107" i="3"/>
  <c r="C108" i="3" a="1"/>
  <c r="C108" i="3"/>
  <c r="D108" i="3"/>
  <c r="M108" i="3"/>
  <c r="N108" i="3"/>
  <c r="C109" i="3" a="1"/>
  <c r="C109" i="3" s="1"/>
  <c r="D109" i="3"/>
  <c r="M109" i="3"/>
  <c r="N109" i="3"/>
  <c r="C110" i="3" a="1"/>
  <c r="C110" i="3"/>
  <c r="D110" i="3"/>
  <c r="M110" i="3"/>
  <c r="N110" i="3"/>
  <c r="C111" i="3" a="1"/>
  <c r="C111" i="3" s="1"/>
  <c r="D111" i="3"/>
  <c r="M111" i="3"/>
  <c r="N111" i="3"/>
  <c r="C112" i="3" a="1"/>
  <c r="C112" i="3"/>
  <c r="D112" i="3"/>
  <c r="M112" i="3"/>
  <c r="N112" i="3"/>
  <c r="C113" i="3" a="1"/>
  <c r="C113" i="3" s="1"/>
  <c r="D113" i="3"/>
  <c r="M113" i="3"/>
  <c r="N113" i="3"/>
  <c r="C114" i="3" a="1"/>
  <c r="C114" i="3" s="1"/>
  <c r="D114" i="3"/>
  <c r="M114" i="3"/>
  <c r="N114" i="3"/>
  <c r="C115" i="3" a="1"/>
  <c r="C115" i="3" s="1"/>
  <c r="D115" i="3"/>
  <c r="M115" i="3"/>
  <c r="N115" i="3"/>
  <c r="C116" i="3" a="1"/>
  <c r="C116" i="3"/>
  <c r="D116" i="3"/>
  <c r="M116" i="3"/>
  <c r="N116" i="3"/>
  <c r="C117" i="3" a="1"/>
  <c r="C117" i="3" s="1"/>
  <c r="D117" i="3"/>
  <c r="M117" i="3"/>
  <c r="N117" i="3"/>
  <c r="C118" i="3" a="1"/>
  <c r="C118" i="3" s="1"/>
  <c r="D118" i="3"/>
  <c r="M118" i="3"/>
  <c r="N118" i="3"/>
  <c r="C119" i="3" a="1"/>
  <c r="C119" i="3" s="1"/>
  <c r="D119" i="3"/>
  <c r="M119" i="3"/>
  <c r="N119" i="3"/>
  <c r="C120" i="3" a="1"/>
  <c r="C120" i="3"/>
  <c r="D120" i="3"/>
  <c r="M120" i="3"/>
  <c r="N120" i="3"/>
  <c r="C121" i="3" a="1"/>
  <c r="C121" i="3" s="1"/>
  <c r="D121" i="3"/>
  <c r="M121" i="3"/>
  <c r="N121" i="3"/>
  <c r="C122" i="3" a="1"/>
  <c r="C122" i="3"/>
  <c r="D122" i="3"/>
  <c r="M122" i="3"/>
  <c r="N122" i="3"/>
  <c r="C123" i="3" a="1"/>
  <c r="C123" i="3" s="1"/>
  <c r="D123" i="3"/>
  <c r="M123" i="3"/>
  <c r="N123" i="3"/>
  <c r="C124" i="3" a="1"/>
  <c r="C124" i="3"/>
  <c r="D124" i="3"/>
  <c r="M124" i="3"/>
  <c r="N124" i="3"/>
  <c r="C125" i="3" a="1"/>
  <c r="C125" i="3" s="1"/>
  <c r="D125" i="3"/>
  <c r="M125" i="3"/>
  <c r="N125" i="3"/>
  <c r="C126" i="3" a="1"/>
  <c r="C126" i="3" s="1"/>
  <c r="D126" i="3"/>
  <c r="M126" i="3"/>
  <c r="N126" i="3"/>
  <c r="C127" i="3" a="1"/>
  <c r="C127" i="3" s="1"/>
  <c r="D127" i="3"/>
  <c r="M127" i="3"/>
  <c r="N127" i="3"/>
  <c r="C128" i="3" a="1"/>
  <c r="C128" i="3"/>
  <c r="D128" i="3"/>
  <c r="M128" i="3"/>
  <c r="N128" i="3"/>
  <c r="C129" i="3" a="1"/>
  <c r="C129" i="3" s="1"/>
  <c r="D129" i="3"/>
  <c r="M129" i="3"/>
  <c r="N129" i="3"/>
  <c r="C130" i="3" a="1"/>
  <c r="C130" i="3" s="1"/>
  <c r="D130" i="3"/>
  <c r="M130" i="3"/>
  <c r="N130" i="3"/>
  <c r="C131" i="3" a="1"/>
  <c r="C131" i="3" s="1"/>
  <c r="D131" i="3"/>
  <c r="M131" i="3"/>
  <c r="N131" i="3"/>
  <c r="C132" i="3" a="1"/>
  <c r="C132" i="3"/>
  <c r="D132" i="3"/>
  <c r="M132" i="3"/>
  <c r="N132" i="3"/>
  <c r="C133" i="3" a="1"/>
  <c r="C133" i="3" s="1"/>
  <c r="D133" i="3"/>
  <c r="M133" i="3"/>
  <c r="N133" i="3"/>
  <c r="C134" i="3" a="1"/>
  <c r="C134" i="3"/>
  <c r="D134" i="3"/>
  <c r="M134" i="3"/>
  <c r="N134" i="3"/>
  <c r="C135" i="3" a="1"/>
  <c r="C135" i="3" s="1"/>
  <c r="D135" i="3"/>
  <c r="M135" i="3"/>
  <c r="N135" i="3"/>
  <c r="C136" i="3" a="1"/>
  <c r="C136" i="3"/>
  <c r="D136" i="3"/>
  <c r="M136" i="3"/>
  <c r="N136" i="3"/>
  <c r="C137" i="3" a="1"/>
  <c r="C137" i="3" s="1"/>
  <c r="D137" i="3"/>
  <c r="M137" i="3"/>
  <c r="N137" i="3"/>
  <c r="C138" i="3" a="1"/>
  <c r="C138" i="3" s="1"/>
  <c r="D138" i="3"/>
  <c r="M138" i="3"/>
  <c r="N138" i="3"/>
  <c r="C139" i="3" a="1"/>
  <c r="C139" i="3" s="1"/>
  <c r="D139" i="3"/>
  <c r="M139" i="3"/>
  <c r="N139" i="3"/>
  <c r="C140" i="3" a="1"/>
  <c r="C140" i="3"/>
  <c r="D140" i="3"/>
  <c r="M140" i="3"/>
  <c r="N140" i="3"/>
  <c r="C141" i="3" a="1"/>
  <c r="C141" i="3" s="1"/>
  <c r="D141" i="3"/>
  <c r="M141" i="3"/>
  <c r="N141" i="3"/>
  <c r="C142" i="3" a="1"/>
  <c r="C142" i="3" s="1"/>
  <c r="D142" i="3"/>
  <c r="M142" i="3"/>
  <c r="N142" i="3"/>
  <c r="C143" i="3" a="1"/>
  <c r="C143" i="3" s="1"/>
  <c r="D143" i="3"/>
  <c r="M143" i="3"/>
  <c r="N143" i="3"/>
  <c r="C144" i="3" a="1"/>
  <c r="C144" i="3"/>
  <c r="D144" i="3"/>
  <c r="M144" i="3"/>
  <c r="N144" i="3"/>
  <c r="C145" i="3" a="1"/>
  <c r="C145" i="3" s="1"/>
  <c r="D145" i="3"/>
  <c r="M145" i="3"/>
  <c r="N145" i="3"/>
  <c r="C146" i="3" a="1"/>
  <c r="C146" i="3"/>
  <c r="D146" i="3"/>
  <c r="M146" i="3"/>
  <c r="N146" i="3"/>
  <c r="C147" i="3" a="1"/>
  <c r="C147" i="3" s="1"/>
  <c r="D147" i="3"/>
  <c r="M147" i="3"/>
  <c r="N147" i="3"/>
  <c r="C148" i="3" a="1"/>
  <c r="C148" i="3"/>
  <c r="D148" i="3"/>
  <c r="M148" i="3"/>
  <c r="N148" i="3"/>
  <c r="C149" i="3" a="1"/>
  <c r="C149" i="3" s="1"/>
  <c r="D149" i="3"/>
  <c r="M149" i="3"/>
  <c r="N149" i="3"/>
  <c r="C150" i="3" a="1"/>
  <c r="C150" i="3" s="1"/>
  <c r="D150" i="3"/>
  <c r="M150" i="3"/>
  <c r="N150" i="3"/>
  <c r="C151" i="3" a="1"/>
  <c r="C151" i="3" s="1"/>
  <c r="D151" i="3"/>
  <c r="M151" i="3"/>
  <c r="N151" i="3"/>
  <c r="C152" i="3" a="1"/>
  <c r="C152" i="3"/>
  <c r="D152" i="3"/>
  <c r="M152" i="3"/>
  <c r="N152" i="3"/>
  <c r="C153" i="3" a="1"/>
  <c r="C153" i="3" s="1"/>
  <c r="D153" i="3"/>
  <c r="M153" i="3"/>
  <c r="N153" i="3"/>
  <c r="C154" i="3" a="1"/>
  <c r="C154" i="3" s="1"/>
  <c r="D154" i="3"/>
  <c r="M154" i="3"/>
  <c r="N154" i="3"/>
  <c r="C155" i="3" a="1"/>
  <c r="C155" i="3" s="1"/>
  <c r="D155" i="3"/>
  <c r="M155" i="3"/>
  <c r="N155" i="3"/>
  <c r="C156" i="3" a="1"/>
  <c r="C156" i="3"/>
  <c r="D156" i="3"/>
  <c r="M156" i="3"/>
  <c r="N156" i="3"/>
  <c r="C157" i="3" a="1"/>
  <c r="C157" i="3" s="1"/>
  <c r="D157" i="3"/>
  <c r="M157" i="3"/>
  <c r="N157" i="3"/>
  <c r="C158" i="3" a="1"/>
  <c r="C158" i="3"/>
  <c r="D158" i="3"/>
  <c r="M158" i="3"/>
  <c r="N158" i="3"/>
  <c r="C159" i="3" a="1"/>
  <c r="C159" i="3" s="1"/>
  <c r="D159" i="3"/>
  <c r="M159" i="3"/>
  <c r="N159" i="3"/>
  <c r="C160" i="3" a="1"/>
  <c r="C160" i="3"/>
  <c r="D160" i="3"/>
  <c r="M160" i="3"/>
  <c r="N160" i="3"/>
  <c r="C161" i="3" a="1"/>
  <c r="C161" i="3" s="1"/>
  <c r="D161" i="3"/>
  <c r="M161" i="3"/>
  <c r="N161" i="3"/>
  <c r="C162" i="3" a="1"/>
  <c r="C162" i="3" s="1"/>
  <c r="D162" i="3"/>
  <c r="M162" i="3"/>
  <c r="N162" i="3"/>
  <c r="C163" i="3" a="1"/>
  <c r="C163" i="3" s="1"/>
  <c r="D163" i="3"/>
  <c r="M163" i="3"/>
  <c r="N163" i="3"/>
  <c r="C164" i="3" a="1"/>
  <c r="C164" i="3"/>
  <c r="D164" i="3"/>
  <c r="M164" i="3"/>
  <c r="N164" i="3"/>
  <c r="C165" i="3" a="1"/>
  <c r="C165" i="3" s="1"/>
  <c r="D165" i="3"/>
  <c r="M165" i="3"/>
  <c r="N165" i="3"/>
  <c r="C166" i="3" a="1"/>
  <c r="C166" i="3" s="1"/>
  <c r="D166" i="3"/>
  <c r="M166" i="3"/>
  <c r="N166" i="3"/>
  <c r="C167" i="3" a="1"/>
  <c r="C167" i="3" s="1"/>
  <c r="D167" i="3"/>
  <c r="M167" i="3"/>
  <c r="N167" i="3"/>
  <c r="C168" i="3" a="1"/>
  <c r="C168" i="3"/>
  <c r="D168" i="3"/>
  <c r="M168" i="3"/>
  <c r="N168" i="3"/>
  <c r="C169" i="3" a="1"/>
  <c r="C169" i="3" s="1"/>
  <c r="D169" i="3"/>
  <c r="M169" i="3"/>
  <c r="N169" i="3"/>
  <c r="C170" i="3" a="1"/>
  <c r="C170" i="3"/>
  <c r="D170" i="3"/>
  <c r="M170" i="3"/>
  <c r="N170" i="3"/>
  <c r="C171" i="3" a="1"/>
  <c r="C171" i="3" s="1"/>
  <c r="D171" i="3"/>
  <c r="M171" i="3"/>
  <c r="N171" i="3"/>
  <c r="C172" i="3" a="1"/>
  <c r="C172" i="3"/>
  <c r="D172" i="3"/>
  <c r="M172" i="3"/>
  <c r="N172" i="3"/>
  <c r="C173" i="3" a="1"/>
  <c r="C173" i="3" s="1"/>
  <c r="D173" i="3"/>
  <c r="M173" i="3"/>
  <c r="N173" i="3"/>
  <c r="C174" i="3" a="1"/>
  <c r="C174" i="3" s="1"/>
  <c r="D174" i="3"/>
  <c r="M174" i="3"/>
  <c r="N174" i="3"/>
  <c r="C175" i="3" a="1"/>
  <c r="C175" i="3" s="1"/>
  <c r="D175" i="3"/>
  <c r="M175" i="3"/>
  <c r="N175" i="3"/>
  <c r="C176" i="3" a="1"/>
  <c r="C176" i="3"/>
  <c r="D176" i="3"/>
  <c r="M176" i="3"/>
  <c r="N176" i="3"/>
  <c r="C177" i="3" a="1"/>
  <c r="C177" i="3" s="1"/>
  <c r="D177" i="3"/>
  <c r="M177" i="3"/>
  <c r="N177" i="3"/>
  <c r="C178" i="3" a="1"/>
  <c r="C178" i="3" s="1"/>
  <c r="D178" i="3"/>
  <c r="M178" i="3"/>
  <c r="N178" i="3"/>
  <c r="C179" i="3" a="1"/>
  <c r="C179" i="3" s="1"/>
  <c r="D179" i="3"/>
  <c r="M179" i="3"/>
  <c r="N179" i="3"/>
  <c r="C180" i="3" a="1"/>
  <c r="C180" i="3"/>
  <c r="D180" i="3"/>
  <c r="M180" i="3"/>
  <c r="N180" i="3"/>
  <c r="C181" i="3" a="1"/>
  <c r="C181" i="3" s="1"/>
  <c r="D181" i="3"/>
  <c r="M181" i="3"/>
  <c r="N181" i="3"/>
  <c r="C182" i="3" a="1"/>
  <c r="C182" i="3"/>
  <c r="D182" i="3"/>
  <c r="M182" i="3"/>
  <c r="N182" i="3"/>
  <c r="C183" i="3" a="1"/>
  <c r="C183" i="3" s="1"/>
  <c r="D183" i="3"/>
  <c r="M183" i="3"/>
  <c r="N183" i="3"/>
  <c r="C184" i="3" a="1"/>
  <c r="C184" i="3"/>
  <c r="D184" i="3"/>
  <c r="M184" i="3"/>
  <c r="N184" i="3"/>
  <c r="C185" i="3" a="1"/>
  <c r="C185" i="3" s="1"/>
  <c r="D185" i="3"/>
  <c r="M185" i="3"/>
  <c r="N185" i="3"/>
  <c r="C186" i="3" a="1"/>
  <c r="C186" i="3" s="1"/>
  <c r="D186" i="3"/>
  <c r="M186" i="3"/>
  <c r="N186" i="3"/>
  <c r="C187" i="3" a="1"/>
  <c r="C187" i="3" s="1"/>
  <c r="D187" i="3"/>
  <c r="M187" i="3"/>
  <c r="N187" i="3"/>
  <c r="C188" i="3" a="1"/>
  <c r="C188" i="3"/>
  <c r="D188" i="3"/>
  <c r="M188" i="3"/>
  <c r="N188" i="3"/>
  <c r="P2" i="3" a="1"/>
  <c r="P2" i="3" s="1"/>
  <c r="A6" i="3"/>
  <c r="C6" i="3"/>
  <c r="D6" i="3"/>
  <c r="M6" i="3"/>
  <c r="N6" i="3"/>
  <c r="A7" i="3"/>
  <c r="C7" i="3" a="1"/>
  <c r="C7" i="3"/>
  <c r="D7" i="3"/>
  <c r="M7" i="3"/>
  <c r="N7" i="3"/>
  <c r="C8" i="3" a="1"/>
  <c r="C8" i="3" s="1"/>
  <c r="D8" i="3"/>
  <c r="M8" i="3"/>
  <c r="N8" i="3"/>
  <c r="C9" i="3" a="1"/>
  <c r="C9" i="3" s="1"/>
  <c r="D9" i="3"/>
  <c r="M9" i="3"/>
  <c r="N9" i="3"/>
  <c r="C10" i="3" a="1"/>
  <c r="C10" i="3" s="1"/>
  <c r="D10" i="3"/>
  <c r="M10" i="3"/>
  <c r="N10" i="3"/>
  <c r="C11" i="3" a="1"/>
  <c r="C11" i="3"/>
  <c r="D11" i="3"/>
  <c r="M11" i="3"/>
  <c r="N11" i="3"/>
  <c r="C12" i="3" a="1"/>
  <c r="C12" i="3" s="1"/>
  <c r="D12" i="3"/>
  <c r="M12" i="3"/>
  <c r="N12" i="3"/>
  <c r="C13" i="3" a="1"/>
  <c r="C13" i="3"/>
  <c r="D13" i="3"/>
  <c r="M13" i="3"/>
  <c r="N13" i="3"/>
  <c r="C14" i="3" a="1"/>
  <c r="C14" i="3" s="1"/>
  <c r="D14" i="3"/>
  <c r="M14" i="3"/>
  <c r="N14" i="3"/>
  <c r="C15" i="3" a="1"/>
  <c r="C15" i="3"/>
  <c r="D15" i="3"/>
  <c r="M15" i="3"/>
  <c r="N15" i="3"/>
  <c r="C16" i="3" a="1"/>
  <c r="C16" i="3" s="1"/>
  <c r="D16" i="3"/>
  <c r="M16" i="3"/>
  <c r="N16" i="3"/>
  <c r="C17" i="3" a="1"/>
  <c r="C17" i="3" s="1"/>
  <c r="D17" i="3"/>
  <c r="M17" i="3"/>
  <c r="N17" i="3"/>
  <c r="C18" i="3" a="1"/>
  <c r="C18" i="3" s="1"/>
  <c r="D18" i="3"/>
  <c r="M18" i="3"/>
  <c r="N18" i="3"/>
  <c r="C19" i="3" a="1"/>
  <c r="C19" i="3"/>
  <c r="D19" i="3"/>
  <c r="M19" i="3"/>
  <c r="N19" i="3"/>
  <c r="C20" i="3" a="1"/>
  <c r="C20" i="3" s="1"/>
  <c r="D20" i="3"/>
  <c r="M20" i="3"/>
  <c r="N20" i="3"/>
  <c r="C21" i="3" a="1"/>
  <c r="C21" i="3" s="1"/>
  <c r="D21" i="3"/>
  <c r="M21" i="3"/>
  <c r="N21" i="3"/>
  <c r="C22" i="3" a="1"/>
  <c r="C22" i="3" s="1"/>
  <c r="D22" i="3"/>
  <c r="M22" i="3"/>
  <c r="N22" i="3"/>
  <c r="C23" i="3" a="1"/>
  <c r="C23" i="3"/>
  <c r="D23" i="3"/>
  <c r="M23" i="3"/>
  <c r="N23" i="3"/>
  <c r="C24" i="3" a="1"/>
  <c r="C24" i="3" s="1"/>
  <c r="D24" i="3"/>
  <c r="M24" i="3"/>
  <c r="N24" i="3"/>
  <c r="C25" i="3" a="1"/>
  <c r="C25" i="3"/>
  <c r="D25" i="3"/>
  <c r="M25" i="3"/>
  <c r="N25" i="3"/>
  <c r="C26" i="3" a="1"/>
  <c r="C26" i="3" s="1"/>
  <c r="D26" i="3"/>
  <c r="M26" i="3"/>
  <c r="N26" i="3"/>
  <c r="C27" i="3" a="1"/>
  <c r="C27" i="3"/>
  <c r="D27" i="3"/>
  <c r="M27" i="3"/>
  <c r="N27" i="3"/>
  <c r="C28" i="3" a="1"/>
  <c r="C28" i="3" s="1"/>
  <c r="D28" i="3"/>
  <c r="M28" i="3"/>
  <c r="N28" i="3"/>
  <c r="C29" i="3" a="1"/>
  <c r="C29" i="3" s="1"/>
  <c r="D29" i="3"/>
  <c r="M29" i="3"/>
  <c r="N29" i="3"/>
  <c r="C30" i="3" a="1"/>
  <c r="C30" i="3" s="1"/>
  <c r="D30" i="3"/>
  <c r="M30" i="3"/>
  <c r="N30" i="3"/>
  <c r="C31" i="3" a="1"/>
  <c r="C31" i="3"/>
  <c r="D31" i="3"/>
  <c r="M31" i="3"/>
  <c r="N31" i="3"/>
  <c r="C32" i="3" a="1"/>
  <c r="C32" i="3" s="1"/>
  <c r="D32" i="3"/>
  <c r="M32" i="3"/>
  <c r="N32" i="3"/>
  <c r="C33" i="3" a="1"/>
  <c r="C33" i="3" s="1"/>
  <c r="D33" i="3"/>
  <c r="M33" i="3"/>
  <c r="N33" i="3"/>
  <c r="C34" i="3" a="1"/>
  <c r="C34" i="3" s="1"/>
  <c r="D34" i="3"/>
  <c r="M34" i="3"/>
  <c r="N34" i="3"/>
  <c r="C35" i="3" a="1"/>
  <c r="C35" i="3"/>
  <c r="D35" i="3"/>
  <c r="M35" i="3"/>
  <c r="N35" i="3"/>
  <c r="C36" i="3" a="1"/>
  <c r="C36" i="3" s="1"/>
  <c r="D36" i="3"/>
  <c r="M36" i="3"/>
  <c r="N36" i="3"/>
  <c r="C37" i="3" a="1"/>
  <c r="C37" i="3"/>
  <c r="D37" i="3"/>
  <c r="M37" i="3"/>
  <c r="N37" i="3"/>
  <c r="C38" i="3" a="1"/>
  <c r="C38" i="3" s="1"/>
  <c r="D38" i="3"/>
  <c r="M38" i="3"/>
  <c r="N38" i="3"/>
  <c r="C39" i="3" a="1"/>
  <c r="C39" i="3"/>
  <c r="D39" i="3"/>
  <c r="M39" i="3"/>
  <c r="N39" i="3"/>
  <c r="C40" i="3" a="1"/>
  <c r="C40" i="3" s="1"/>
  <c r="D40" i="3"/>
  <c r="M40" i="3"/>
  <c r="N40" i="3"/>
  <c r="C41" i="3" a="1"/>
  <c r="C41" i="3" s="1"/>
  <c r="D41" i="3"/>
  <c r="M41" i="3"/>
  <c r="N41" i="3"/>
  <c r="C42" i="3" a="1"/>
  <c r="C42" i="3" s="1"/>
  <c r="D42" i="3"/>
  <c r="M42" i="3"/>
  <c r="N42" i="3"/>
  <c r="C43" i="3" a="1"/>
  <c r="C43" i="3"/>
  <c r="D43" i="3"/>
  <c r="M43" i="3"/>
  <c r="N43" i="3"/>
  <c r="C44" i="3" a="1"/>
  <c r="C44" i="3" s="1"/>
  <c r="D44" i="3"/>
  <c r="M44" i="3"/>
  <c r="N44" i="3"/>
  <c r="C45" i="3" a="1"/>
  <c r="C45" i="3" s="1"/>
  <c r="D45" i="3"/>
  <c r="M45" i="3"/>
  <c r="N45" i="3"/>
  <c r="C46" i="3" a="1"/>
  <c r="C46" i="3" s="1"/>
  <c r="D46" i="3"/>
  <c r="M46" i="3"/>
  <c r="N46" i="3"/>
  <c r="C47" i="3" a="1"/>
  <c r="C47" i="3"/>
  <c r="D47" i="3"/>
  <c r="M47" i="3"/>
  <c r="N47" i="3"/>
  <c r="C48" i="3" a="1"/>
  <c r="C48" i="3" s="1"/>
  <c r="D48" i="3"/>
  <c r="M48" i="3"/>
  <c r="N48" i="3"/>
  <c r="C49" i="3" a="1"/>
  <c r="C49" i="3"/>
  <c r="D49" i="3"/>
  <c r="M49" i="3"/>
  <c r="N49" i="3"/>
  <c r="C50" i="3" a="1"/>
  <c r="C50" i="3" s="1"/>
  <c r="D50" i="3"/>
  <c r="M50" i="3"/>
  <c r="N50" i="3"/>
  <c r="C51" i="3" a="1"/>
  <c r="C51" i="3"/>
  <c r="D51" i="3"/>
  <c r="M51" i="3"/>
  <c r="N51" i="3"/>
  <c r="C52" i="3" a="1"/>
  <c r="C52" i="3" s="1"/>
  <c r="D52" i="3"/>
  <c r="M52" i="3"/>
  <c r="N52" i="3"/>
  <c r="C53" i="3" a="1"/>
  <c r="C53" i="3" s="1"/>
  <c r="D53" i="3"/>
  <c r="M53" i="3"/>
  <c r="N53" i="3"/>
  <c r="C54" i="3" a="1"/>
  <c r="C54" i="3" s="1"/>
  <c r="D54" i="3"/>
  <c r="M54" i="3"/>
  <c r="N54" i="3"/>
  <c r="C55" i="3" a="1"/>
  <c r="C55" i="3"/>
  <c r="D55" i="3"/>
  <c r="M55" i="3"/>
  <c r="N55" i="3"/>
  <c r="C56" i="3" a="1"/>
  <c r="C56" i="3" s="1"/>
  <c r="D56" i="3"/>
  <c r="M56" i="3"/>
  <c r="N56" i="3"/>
  <c r="C57" i="3" a="1"/>
  <c r="C57" i="3" s="1"/>
  <c r="D57" i="3"/>
  <c r="M57" i="3"/>
  <c r="N57" i="3"/>
  <c r="C58" i="3" a="1"/>
  <c r="C58" i="3" s="1"/>
  <c r="D58" i="3"/>
  <c r="M58" i="3"/>
  <c r="N58" i="3"/>
  <c r="C59" i="3" a="1"/>
  <c r="C59" i="3"/>
  <c r="D59" i="3"/>
  <c r="M59" i="3"/>
  <c r="N59" i="3"/>
  <c r="C60" i="3" a="1"/>
  <c r="C60" i="3" s="1"/>
  <c r="D60" i="3"/>
  <c r="M60" i="3"/>
  <c r="N60" i="3"/>
  <c r="C61" i="3" a="1"/>
  <c r="C61" i="3"/>
  <c r="D61" i="3"/>
  <c r="M61" i="3"/>
  <c r="N61" i="3"/>
  <c r="C62" i="3" a="1"/>
  <c r="C62" i="3" s="1"/>
  <c r="D62" i="3"/>
  <c r="M62" i="3"/>
  <c r="N62" i="3"/>
  <c r="C63" i="3" a="1"/>
  <c r="C63" i="3"/>
  <c r="D63" i="3"/>
  <c r="M63" i="3"/>
  <c r="N63" i="3"/>
  <c r="C64" i="3" a="1"/>
  <c r="C64" i="3" s="1"/>
  <c r="D64" i="3"/>
  <c r="M64" i="3"/>
  <c r="N64" i="3"/>
  <c r="C65" i="3" a="1"/>
  <c r="C65" i="3" s="1"/>
  <c r="D65" i="3"/>
  <c r="M65" i="3"/>
  <c r="N65" i="3"/>
  <c r="C66" i="3" a="1"/>
  <c r="C66" i="3" s="1"/>
  <c r="D66" i="3"/>
  <c r="M66" i="3"/>
  <c r="N66" i="3"/>
  <c r="C67" i="3" a="1"/>
  <c r="C67" i="3"/>
  <c r="D67" i="3"/>
  <c r="M67" i="3"/>
  <c r="N67" i="3"/>
  <c r="C68" i="3" a="1"/>
  <c r="C68" i="3" s="1"/>
  <c r="D68" i="3"/>
  <c r="M68" i="3"/>
  <c r="N68" i="3"/>
  <c r="C69" i="3" a="1"/>
  <c r="C69" i="3" s="1"/>
  <c r="D69" i="3"/>
  <c r="M69" i="3"/>
  <c r="N69" i="3"/>
  <c r="C70" i="3" a="1"/>
  <c r="C70" i="3" s="1"/>
  <c r="D70" i="3"/>
  <c r="M70" i="3"/>
  <c r="N70" i="3"/>
  <c r="C71" i="3" a="1"/>
  <c r="C71" i="3"/>
  <c r="D71" i="3"/>
  <c r="M71" i="3"/>
  <c r="N71" i="3"/>
  <c r="C72" i="3" a="1"/>
  <c r="C72" i="3" s="1"/>
  <c r="D72" i="3"/>
  <c r="M72" i="3"/>
  <c r="N72" i="3"/>
  <c r="C73" i="3" a="1"/>
  <c r="C73" i="3"/>
  <c r="D73" i="3"/>
  <c r="M73" i="3"/>
  <c r="N73" i="3"/>
  <c r="C74" i="3" a="1"/>
  <c r="C74" i="3" s="1"/>
  <c r="D74" i="3"/>
  <c r="M74" i="3"/>
  <c r="N74" i="3"/>
  <c r="C75" i="3" a="1"/>
  <c r="C75" i="3"/>
  <c r="D75" i="3"/>
  <c r="M75" i="3"/>
  <c r="N75" i="3"/>
  <c r="C76" i="3" a="1"/>
  <c r="C76" i="3" s="1"/>
  <c r="D76" i="3"/>
  <c r="M76" i="3"/>
  <c r="N76" i="3"/>
  <c r="C77" i="3" a="1"/>
  <c r="C77" i="3" s="1"/>
  <c r="D77" i="3"/>
  <c r="M77" i="3"/>
  <c r="N77" i="3"/>
  <c r="C78" i="3" a="1"/>
  <c r="C78" i="3" s="1"/>
  <c r="D78" i="3"/>
  <c r="M78" i="3"/>
  <c r="N78" i="3"/>
  <c r="C79" i="3" a="1"/>
  <c r="C79" i="3"/>
  <c r="D79" i="3"/>
  <c r="M79" i="3"/>
  <c r="N79" i="3"/>
  <c r="C80" i="3" a="1"/>
  <c r="C80" i="3" s="1"/>
  <c r="D80" i="3"/>
  <c r="M80" i="3"/>
  <c r="N80" i="3"/>
  <c r="C81" i="3" a="1"/>
  <c r="C81" i="3" s="1"/>
  <c r="D81" i="3"/>
  <c r="M81" i="3"/>
  <c r="N81" i="3"/>
  <c r="C82" i="3" a="1"/>
  <c r="C82" i="3" s="1"/>
  <c r="D82" i="3"/>
  <c r="M82" i="3"/>
  <c r="N82" i="3"/>
  <c r="C83" i="3" a="1"/>
  <c r="C83" i="3"/>
  <c r="D83" i="3"/>
  <c r="M83" i="3"/>
  <c r="N83" i="3"/>
  <c r="C84" i="3" a="1"/>
  <c r="C84" i="3" s="1"/>
  <c r="D84" i="3"/>
  <c r="M84" i="3"/>
  <c r="N84" i="3"/>
  <c r="C85" i="3" a="1"/>
  <c r="C85" i="3"/>
  <c r="D85" i="3"/>
  <c r="M85" i="3"/>
  <c r="N85" i="3"/>
  <c r="C86" i="3" a="1"/>
  <c r="C86" i="3" s="1"/>
  <c r="D86" i="3"/>
  <c r="M86" i="3"/>
  <c r="N86" i="3"/>
  <c r="C87" i="3" a="1"/>
  <c r="C87" i="3"/>
  <c r="D87" i="3"/>
  <c r="M87" i="3"/>
  <c r="N87" i="3"/>
  <c r="C88" i="3" a="1"/>
  <c r="C88" i="3" s="1"/>
  <c r="D88" i="3"/>
  <c r="M88" i="3"/>
  <c r="N88" i="3"/>
  <c r="C89" i="3" a="1"/>
  <c r="C89" i="3" s="1"/>
  <c r="D89" i="3"/>
  <c r="M89" i="3"/>
  <c r="N89" i="3"/>
  <c r="C90" i="3" a="1"/>
  <c r="C90" i="3" s="1"/>
  <c r="D90" i="3"/>
  <c r="M90" i="3"/>
  <c r="N90" i="3"/>
  <c r="C91" i="3" a="1"/>
  <c r="C91" i="3"/>
  <c r="D91" i="3"/>
  <c r="M91" i="3"/>
  <c r="N91" i="3"/>
  <c r="C92" i="3" a="1"/>
  <c r="C92" i="3" s="1"/>
  <c r="D92" i="3"/>
  <c r="M92" i="3"/>
  <c r="N92" i="3"/>
  <c r="C93" i="3" a="1"/>
  <c r="C93" i="3" s="1"/>
  <c r="D93" i="3"/>
  <c r="M93" i="3"/>
  <c r="N93" i="3"/>
  <c r="C94" i="3" a="1"/>
  <c r="C94" i="3" s="1"/>
  <c r="D94" i="3"/>
  <c r="M94" i="3"/>
  <c r="N94" i="3"/>
  <c r="B12" i="2"/>
  <c r="B18" i="2" a="1"/>
  <c r="B18" i="2" s="1"/>
  <c r="B19" i="2"/>
  <c r="B22" i="2"/>
  <c r="S3" i="1"/>
  <c r="S4" i="1" a="1"/>
  <c r="S4" i="1" s="1"/>
  <c r="I5" i="1"/>
  <c r="S5" i="1"/>
  <c r="S8" i="1" a="1"/>
  <c r="S8" i="1" s="1"/>
  <c r="A22" i="1"/>
  <c r="K111" i="6"/>
  <c r="J111" i="6"/>
  <c r="I111" i="6"/>
  <c r="H111" i="6"/>
  <c r="G111" i="6"/>
  <c r="K110" i="6"/>
  <c r="J110" i="6"/>
  <c r="I110" i="6"/>
  <c r="H110" i="6"/>
  <c r="G110" i="6"/>
  <c r="K109" i="6"/>
  <c r="J109" i="6"/>
  <c r="I109" i="6"/>
  <c r="H109" i="6"/>
  <c r="G109" i="6"/>
  <c r="K108" i="6"/>
  <c r="J108" i="6"/>
  <c r="I108" i="6"/>
  <c r="H108" i="6"/>
  <c r="G108" i="6"/>
  <c r="K107" i="6"/>
  <c r="J107" i="6"/>
  <c r="I107" i="6"/>
  <c r="H107" i="6"/>
  <c r="G107" i="6"/>
  <c r="K106" i="6"/>
  <c r="J106" i="6"/>
  <c r="I106" i="6"/>
  <c r="H106" i="6"/>
  <c r="G106" i="6"/>
  <c r="K105" i="6"/>
  <c r="J105" i="6"/>
  <c r="I105" i="6"/>
  <c r="H105" i="6"/>
  <c r="G105" i="6"/>
  <c r="K104" i="6"/>
  <c r="J104" i="6"/>
  <c r="I104" i="6"/>
  <c r="H104" i="6"/>
  <c r="G104" i="6"/>
  <c r="K103" i="6"/>
  <c r="J103" i="6"/>
  <c r="I103" i="6"/>
  <c r="H103" i="6"/>
  <c r="G103" i="6"/>
  <c r="K102" i="6"/>
  <c r="J102" i="6"/>
  <c r="I102" i="6"/>
  <c r="H102" i="6"/>
  <c r="G102" i="6"/>
  <c r="K101" i="6"/>
  <c r="J101" i="6"/>
  <c r="I101" i="6"/>
  <c r="H101" i="6"/>
  <c r="G101" i="6"/>
  <c r="K100" i="6"/>
  <c r="J100" i="6"/>
  <c r="I100" i="6"/>
  <c r="H100" i="6"/>
  <c r="G100" i="6"/>
  <c r="K99" i="6"/>
  <c r="J99" i="6"/>
  <c r="I99" i="6"/>
  <c r="H99" i="6"/>
  <c r="G99" i="6"/>
  <c r="K98" i="6"/>
  <c r="J98" i="6"/>
  <c r="I98" i="6"/>
  <c r="H98" i="6"/>
  <c r="G98" i="6"/>
  <c r="K97" i="6"/>
  <c r="J97" i="6"/>
  <c r="I97" i="6"/>
  <c r="H97" i="6"/>
  <c r="G97" i="6"/>
  <c r="K96" i="6"/>
  <c r="J96" i="6"/>
  <c r="I96" i="6"/>
  <c r="H96" i="6"/>
  <c r="G96" i="6"/>
  <c r="K95" i="6"/>
  <c r="J95" i="6"/>
  <c r="I95" i="6"/>
  <c r="H95" i="6"/>
  <c r="G95" i="6"/>
  <c r="K94" i="6"/>
  <c r="J94" i="6"/>
  <c r="I94" i="6"/>
  <c r="H94" i="6"/>
  <c r="G94" i="6"/>
  <c r="K93" i="6"/>
  <c r="J93" i="6"/>
  <c r="I93" i="6"/>
  <c r="H93" i="6"/>
  <c r="G93" i="6"/>
  <c r="K92" i="6"/>
  <c r="J92" i="6"/>
  <c r="I92" i="6"/>
  <c r="H92" i="6"/>
  <c r="G92" i="6"/>
  <c r="K91" i="6"/>
  <c r="J91" i="6"/>
  <c r="I91" i="6"/>
  <c r="H91" i="6"/>
  <c r="G91" i="6"/>
  <c r="K90" i="6"/>
  <c r="J90" i="6"/>
  <c r="I90" i="6"/>
  <c r="H90" i="6"/>
  <c r="G90" i="6"/>
  <c r="K89" i="6"/>
  <c r="J89" i="6"/>
  <c r="I89" i="6"/>
  <c r="H89" i="6"/>
  <c r="G89" i="6"/>
  <c r="K88" i="6"/>
  <c r="J88" i="6"/>
  <c r="I88" i="6"/>
  <c r="H88" i="6"/>
  <c r="G88" i="6"/>
  <c r="K87" i="6"/>
  <c r="J87" i="6"/>
  <c r="I87" i="6"/>
  <c r="H87" i="6"/>
  <c r="G87" i="6"/>
  <c r="K86" i="6"/>
  <c r="J86" i="6"/>
  <c r="I86" i="6"/>
  <c r="H86" i="6"/>
  <c r="G86" i="6"/>
  <c r="K85" i="6"/>
  <c r="J85" i="6"/>
  <c r="I85" i="6"/>
  <c r="H85" i="6"/>
  <c r="G85" i="6"/>
  <c r="K84" i="6"/>
  <c r="J84" i="6"/>
  <c r="I84" i="6"/>
  <c r="H84" i="6"/>
  <c r="G84" i="6"/>
  <c r="K83" i="6"/>
  <c r="J83" i="6"/>
  <c r="I83" i="6"/>
  <c r="H83" i="6"/>
  <c r="G83" i="6"/>
  <c r="K82" i="6"/>
  <c r="J82" i="6"/>
  <c r="I82" i="6"/>
  <c r="H82" i="6"/>
  <c r="G82" i="6"/>
  <c r="K81" i="6"/>
  <c r="J81" i="6"/>
  <c r="I81" i="6"/>
  <c r="H81" i="6"/>
  <c r="G81" i="6"/>
  <c r="K80" i="6"/>
  <c r="J80" i="6"/>
  <c r="I80" i="6"/>
  <c r="H80" i="6"/>
  <c r="G80" i="6"/>
  <c r="K79" i="6"/>
  <c r="J79" i="6"/>
  <c r="I79" i="6"/>
  <c r="H79" i="6"/>
  <c r="G79" i="6"/>
  <c r="K78" i="6"/>
  <c r="J78" i="6"/>
  <c r="I78" i="6"/>
  <c r="H78" i="6"/>
  <c r="G78" i="6"/>
  <c r="K77" i="6"/>
  <c r="J77" i="6"/>
  <c r="I77" i="6"/>
  <c r="H77" i="6"/>
  <c r="G77" i="6"/>
  <c r="K76" i="6"/>
  <c r="J76" i="6"/>
  <c r="I76" i="6"/>
  <c r="H76" i="6"/>
  <c r="G76" i="6"/>
  <c r="K75" i="6"/>
  <c r="J75" i="6"/>
  <c r="I75" i="6"/>
  <c r="H75" i="6"/>
  <c r="G75" i="6"/>
  <c r="K74" i="6"/>
  <c r="J74" i="6"/>
  <c r="I74" i="6"/>
  <c r="H74" i="6"/>
  <c r="G74" i="6"/>
  <c r="K73" i="6"/>
  <c r="J73" i="6"/>
  <c r="I73" i="6"/>
  <c r="H73" i="6"/>
  <c r="G73" i="6"/>
  <c r="K72" i="6"/>
  <c r="J72" i="6"/>
  <c r="I72" i="6"/>
  <c r="H72" i="6"/>
  <c r="G72" i="6"/>
  <c r="K71" i="6"/>
  <c r="J71" i="6"/>
  <c r="I71" i="6"/>
  <c r="H71" i="6"/>
  <c r="G71" i="6"/>
  <c r="K70" i="6"/>
  <c r="J70" i="6"/>
  <c r="I70" i="6"/>
  <c r="H70" i="6"/>
  <c r="G70" i="6"/>
  <c r="K69" i="6"/>
  <c r="J69" i="6"/>
  <c r="I69" i="6"/>
  <c r="H69" i="6"/>
  <c r="G69" i="6"/>
  <c r="K68" i="6"/>
  <c r="J68" i="6"/>
  <c r="I68" i="6"/>
  <c r="H68" i="6"/>
  <c r="G68" i="6"/>
  <c r="K67" i="6"/>
  <c r="J67" i="6"/>
  <c r="I67" i="6"/>
  <c r="H67" i="6"/>
  <c r="G67" i="6"/>
  <c r="K66" i="6"/>
  <c r="J66" i="6"/>
  <c r="I66" i="6"/>
  <c r="H66" i="6"/>
  <c r="G66" i="6"/>
  <c r="K65" i="6"/>
  <c r="J65" i="6"/>
  <c r="I65" i="6"/>
  <c r="H65" i="6"/>
  <c r="G65" i="6"/>
  <c r="K64" i="6"/>
  <c r="J64" i="6"/>
  <c r="I64" i="6"/>
  <c r="H64" i="6"/>
  <c r="G64" i="6"/>
  <c r="K63" i="6"/>
  <c r="J63" i="6"/>
  <c r="I63" i="6"/>
  <c r="H63" i="6"/>
  <c r="G63" i="6"/>
  <c r="K62" i="6"/>
  <c r="J62" i="6"/>
  <c r="I62" i="6"/>
  <c r="H62" i="6"/>
  <c r="G62" i="6"/>
  <c r="K61" i="6"/>
  <c r="J61" i="6"/>
  <c r="I61" i="6"/>
  <c r="H61" i="6"/>
  <c r="G61" i="6"/>
  <c r="K60" i="6"/>
  <c r="J60" i="6"/>
  <c r="I60" i="6"/>
  <c r="H60" i="6"/>
  <c r="G60" i="6"/>
  <c r="K59" i="6"/>
  <c r="J59" i="6"/>
  <c r="I59" i="6"/>
  <c r="H59" i="6"/>
  <c r="G59" i="6"/>
  <c r="K58" i="6"/>
  <c r="J58" i="6"/>
  <c r="I58" i="6"/>
  <c r="H58" i="6"/>
  <c r="G58" i="6"/>
  <c r="K57" i="6"/>
  <c r="J57" i="6"/>
  <c r="I57" i="6"/>
  <c r="H57" i="6"/>
  <c r="G57" i="6"/>
  <c r="K56" i="6"/>
  <c r="J56" i="6"/>
  <c r="I56" i="6"/>
  <c r="H56" i="6"/>
  <c r="G56" i="6"/>
  <c r="K55" i="6"/>
  <c r="J55" i="6"/>
  <c r="I55" i="6"/>
  <c r="H55" i="6"/>
  <c r="G55" i="6"/>
  <c r="K54" i="6"/>
  <c r="J54" i="6"/>
  <c r="I54" i="6"/>
  <c r="H54" i="6"/>
  <c r="G54" i="6"/>
  <c r="K53" i="6"/>
  <c r="J53" i="6"/>
  <c r="I53" i="6"/>
  <c r="H53" i="6"/>
  <c r="G53" i="6"/>
  <c r="K52" i="6"/>
  <c r="J52" i="6"/>
  <c r="I52" i="6"/>
  <c r="H52" i="6"/>
  <c r="G52" i="6"/>
  <c r="K51" i="6"/>
  <c r="J51" i="6"/>
  <c r="I51" i="6"/>
  <c r="H51" i="6"/>
  <c r="G51" i="6"/>
  <c r="K50" i="6"/>
  <c r="J50" i="6"/>
  <c r="I50" i="6"/>
  <c r="H50" i="6"/>
  <c r="G50" i="6"/>
  <c r="K49" i="6"/>
  <c r="J49" i="6"/>
  <c r="I49" i="6"/>
  <c r="H49" i="6"/>
  <c r="G49" i="6"/>
  <c r="K48" i="6"/>
  <c r="J48" i="6"/>
  <c r="I48" i="6"/>
  <c r="H48" i="6"/>
  <c r="G48" i="6"/>
  <c r="K47" i="6"/>
  <c r="J47" i="6"/>
  <c r="I47" i="6"/>
  <c r="H47" i="6"/>
  <c r="G47" i="6"/>
  <c r="K46" i="6"/>
  <c r="J46" i="6"/>
  <c r="I46" i="6"/>
  <c r="H46" i="6"/>
  <c r="G46" i="6"/>
  <c r="K45" i="6"/>
  <c r="J45" i="6"/>
  <c r="I45" i="6"/>
  <c r="H45" i="6"/>
  <c r="G45" i="6"/>
  <c r="K44" i="6"/>
  <c r="J44" i="6"/>
  <c r="I44" i="6"/>
  <c r="H44" i="6"/>
  <c r="G44" i="6"/>
  <c r="K43" i="6"/>
  <c r="J43" i="6"/>
  <c r="I43" i="6"/>
  <c r="H43" i="6"/>
  <c r="G43" i="6"/>
  <c r="K42" i="6"/>
  <c r="J42" i="6"/>
  <c r="I42" i="6"/>
  <c r="H42" i="6"/>
  <c r="G42" i="6"/>
  <c r="K41" i="6"/>
  <c r="J41" i="6"/>
  <c r="I41" i="6"/>
  <c r="H41" i="6"/>
  <c r="G41" i="6"/>
  <c r="K40" i="6"/>
  <c r="J40" i="6"/>
  <c r="I40" i="6"/>
  <c r="H40" i="6"/>
  <c r="G40" i="6"/>
  <c r="K39" i="6"/>
  <c r="J39" i="6"/>
  <c r="I39" i="6"/>
  <c r="H39" i="6"/>
  <c r="G39" i="6"/>
  <c r="K38" i="6"/>
  <c r="J38" i="6"/>
  <c r="I38" i="6"/>
  <c r="H38" i="6"/>
  <c r="G38" i="6"/>
  <c r="K37" i="6"/>
  <c r="J37" i="6"/>
  <c r="I37" i="6"/>
  <c r="H37" i="6"/>
  <c r="G37" i="6"/>
  <c r="K36" i="6"/>
  <c r="J36" i="6"/>
  <c r="I36" i="6"/>
  <c r="H36" i="6"/>
  <c r="G36" i="6"/>
  <c r="K35" i="6"/>
  <c r="J35" i="6"/>
  <c r="I35" i="6"/>
  <c r="H35" i="6"/>
  <c r="G35" i="6"/>
  <c r="K34" i="6"/>
  <c r="J34" i="6"/>
  <c r="I34" i="6"/>
  <c r="H34" i="6"/>
  <c r="G34" i="6"/>
  <c r="K33" i="6"/>
  <c r="J33" i="6"/>
  <c r="I33" i="6"/>
  <c r="H33" i="6"/>
  <c r="G33" i="6"/>
  <c r="K32" i="6"/>
  <c r="J32" i="6"/>
  <c r="I32" i="6"/>
  <c r="H32" i="6"/>
  <c r="G32" i="6"/>
  <c r="K31" i="6"/>
  <c r="J31" i="6"/>
  <c r="I31" i="6"/>
  <c r="H31" i="6"/>
  <c r="G31" i="6"/>
  <c r="K30" i="6"/>
  <c r="J30" i="6"/>
  <c r="I30" i="6"/>
  <c r="H30" i="6"/>
  <c r="G30" i="6"/>
  <c r="K29" i="6"/>
  <c r="J29" i="6"/>
  <c r="I29" i="6"/>
  <c r="H29" i="6"/>
  <c r="G29" i="6"/>
  <c r="K28" i="6"/>
  <c r="J28" i="6"/>
  <c r="I28" i="6"/>
  <c r="H28" i="6"/>
  <c r="G28" i="6"/>
  <c r="K27" i="6"/>
  <c r="J27" i="6"/>
  <c r="I27" i="6"/>
  <c r="H27" i="6"/>
  <c r="G27" i="6"/>
  <c r="K26" i="6"/>
  <c r="J26" i="6"/>
  <c r="I26" i="6"/>
  <c r="H26" i="6"/>
  <c r="G26" i="6"/>
  <c r="K25" i="6"/>
  <c r="J25" i="6"/>
  <c r="I25" i="6"/>
  <c r="H25" i="6"/>
  <c r="G25" i="6"/>
  <c r="K24" i="6"/>
  <c r="J24" i="6"/>
  <c r="I24" i="6"/>
  <c r="H24" i="6"/>
  <c r="G24" i="6"/>
  <c r="K23" i="6"/>
  <c r="J23" i="6"/>
  <c r="I23" i="6"/>
  <c r="H23" i="6"/>
  <c r="G23" i="6"/>
  <c r="K22" i="6"/>
  <c r="J22" i="6"/>
  <c r="I22" i="6"/>
  <c r="H22" i="6"/>
  <c r="G22" i="6"/>
  <c r="K21" i="6"/>
  <c r="J21" i="6"/>
  <c r="I21" i="6"/>
  <c r="H21" i="6"/>
  <c r="G21" i="6"/>
  <c r="K20" i="6"/>
  <c r="J20" i="6"/>
  <c r="I20" i="6"/>
  <c r="H20" i="6"/>
  <c r="G20" i="6"/>
  <c r="K19" i="6"/>
  <c r="J19" i="6"/>
  <c r="I19" i="6"/>
  <c r="H19" i="6"/>
  <c r="G19" i="6"/>
  <c r="K18" i="6"/>
  <c r="J18" i="6"/>
  <c r="I18" i="6"/>
  <c r="H18" i="6"/>
  <c r="G18" i="6"/>
  <c r="K17" i="6"/>
  <c r="J17" i="6"/>
  <c r="I17" i="6"/>
  <c r="H17" i="6"/>
  <c r="G17" i="6"/>
  <c r="K16" i="6"/>
  <c r="J16" i="6"/>
  <c r="I16" i="6"/>
  <c r="H16" i="6"/>
  <c r="G16" i="6"/>
  <c r="K15" i="6"/>
  <c r="J15" i="6"/>
  <c r="I15" i="6"/>
  <c r="H15" i="6"/>
  <c r="G15" i="6"/>
  <c r="K14" i="6"/>
  <c r="J14" i="6"/>
  <c r="I14" i="6"/>
  <c r="H14" i="6"/>
  <c r="G14" i="6"/>
  <c r="K13" i="6"/>
  <c r="J13" i="6"/>
  <c r="I13" i="6"/>
  <c r="H13" i="6"/>
  <c r="G13" i="6"/>
  <c r="K12" i="6"/>
  <c r="J12" i="6"/>
  <c r="I12" i="6"/>
  <c r="H12" i="6"/>
  <c r="G12" i="6"/>
  <c r="K11" i="6"/>
  <c r="J11" i="6"/>
  <c r="I11" i="6"/>
  <c r="H11" i="6"/>
  <c r="G11" i="6"/>
  <c r="K10" i="6"/>
  <c r="J10" i="6"/>
  <c r="I10" i="6"/>
  <c r="H10" i="6"/>
  <c r="G10" i="6"/>
  <c r="K9" i="6"/>
  <c r="J9" i="6"/>
  <c r="I9" i="6"/>
  <c r="H9" i="6"/>
  <c r="G9" i="6"/>
  <c r="K8" i="6"/>
  <c r="J8" i="6"/>
  <c r="I8" i="6"/>
  <c r="H8" i="6"/>
  <c r="G8" i="6"/>
  <c r="K7" i="6"/>
  <c r="J7" i="6"/>
  <c r="I7" i="6"/>
  <c r="H7" i="6"/>
  <c r="G7" i="6"/>
  <c r="K6" i="6"/>
  <c r="J6" i="6"/>
  <c r="I6" i="6"/>
  <c r="H6" i="6"/>
  <c r="G6" i="6"/>
  <c r="M31" i="1" l="1"/>
  <c r="G11" i="10"/>
  <c r="G15" i="10"/>
  <c r="G9" i="10"/>
  <c r="G17" i="10"/>
  <c r="G7" i="10"/>
  <c r="F9" i="10"/>
  <c r="G13" i="10"/>
  <c r="F17" i="10"/>
  <c r="F15" i="10"/>
  <c r="F11" i="10"/>
  <c r="F8" i="10"/>
  <c r="F10" i="10"/>
  <c r="F12" i="10"/>
  <c r="F14" i="10"/>
  <c r="F16" i="10"/>
  <c r="F7" i="10"/>
  <c r="S9" i="1"/>
  <c r="A13" i="1" s="1"/>
  <c r="A2" i="1"/>
  <c r="B20" i="2"/>
  <c r="B21" i="2" s="1"/>
  <c r="B23" i="2"/>
  <c r="E5" i="1"/>
  <c r="S7" i="1"/>
  <c r="A9" i="1" s="1"/>
  <c r="S12" i="1"/>
  <c r="A5" i="1"/>
  <c r="S6" i="1"/>
  <c r="D17" i="5" a="1"/>
  <c r="D17" i="5" s="1"/>
  <c r="E17" i="5" a="1"/>
  <c r="E17" i="5" s="1"/>
  <c r="A7" i="8"/>
  <c r="A8" i="3"/>
  <c r="A5" i="7"/>
  <c r="C14" i="7"/>
  <c r="C18" i="7"/>
  <c r="C22" i="7"/>
  <c r="G5" i="7"/>
  <c r="J5" i="7"/>
  <c r="C17" i="7"/>
  <c r="C23" i="7"/>
  <c r="A9" i="7"/>
  <c r="C19" i="7"/>
  <c r="C24" i="7"/>
  <c r="C25" i="7"/>
  <c r="C15" i="7"/>
  <c r="C21" i="7"/>
  <c r="C20" i="7"/>
  <c r="C16" i="7"/>
  <c r="A6" i="8"/>
  <c r="M3" i="7" a="1"/>
  <c r="M3" i="7" s="1"/>
  <c r="D13" i="5" a="1"/>
  <c r="D13" i="5" s="1"/>
  <c r="E13" i="5" a="1"/>
  <c r="E13" i="5" s="1"/>
  <c r="B7" i="4"/>
  <c r="A8" i="4"/>
  <c r="N6" i="4"/>
  <c r="J25" i="5"/>
  <c r="J24" i="5"/>
  <c r="J19" i="5"/>
  <c r="J23" i="5"/>
  <c r="D5" i="7"/>
  <c r="M5" i="7"/>
  <c r="J18" i="5"/>
  <c r="J20" i="5"/>
  <c r="J6" i="5"/>
  <c r="J7" i="5"/>
  <c r="J12" i="5"/>
  <c r="J14" i="5"/>
  <c r="J26" i="5"/>
  <c r="J11" i="5"/>
  <c r="J8" i="5"/>
  <c r="J27" i="5"/>
  <c r="J21" i="5"/>
  <c r="J15" i="5"/>
  <c r="J9" i="5"/>
  <c r="J22" i="5"/>
  <c r="J16" i="5"/>
  <c r="J10" i="5"/>
  <c r="C29" i="5"/>
  <c r="J29" i="5" s="1"/>
  <c r="C28" i="5"/>
  <c r="J28" i="5" s="1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D28" i="5" l="1" a="1"/>
  <c r="D28" i="5" s="1"/>
  <c r="F28" i="5" s="1"/>
  <c r="E28" i="5" a="1"/>
  <c r="E28" i="5" s="1"/>
  <c r="E29" i="5" a="1"/>
  <c r="E29" i="5" s="1"/>
  <c r="D29" i="5" a="1"/>
  <c r="D29" i="5" s="1"/>
  <c r="F29" i="5" s="1"/>
  <c r="D11" i="5" a="1"/>
  <c r="D11" i="5" s="1"/>
  <c r="E11" i="5" a="1"/>
  <c r="E11" i="5" s="1"/>
  <c r="A17" i="1"/>
  <c r="B24" i="2"/>
  <c r="B14" i="7"/>
  <c r="B18" i="7"/>
  <c r="B22" i="7"/>
  <c r="B15" i="7"/>
  <c r="B19" i="7"/>
  <c r="B23" i="7"/>
  <c r="B17" i="7"/>
  <c r="B24" i="7"/>
  <c r="B21" i="7"/>
  <c r="B16" i="7"/>
  <c r="B25" i="7"/>
  <c r="B20" i="7"/>
  <c r="D7" i="5" a="1"/>
  <c r="D7" i="5" s="1"/>
  <c r="E7" i="5" a="1"/>
  <c r="E7" i="5" s="1"/>
  <c r="D22" i="5" a="1"/>
  <c r="D22" i="5" s="1"/>
  <c r="F22" i="5" s="1"/>
  <c r="E22" i="5" a="1"/>
  <c r="E22" i="5" s="1"/>
  <c r="D6" i="5" a="1"/>
  <c r="D6" i="5" s="1"/>
  <c r="M6" i="4"/>
  <c r="E8" i="5" a="1"/>
  <c r="E8" i="5" s="1"/>
  <c r="D8" i="5" a="1"/>
  <c r="D8" i="5" s="1"/>
  <c r="F8" i="5" s="1"/>
  <c r="F13" i="5"/>
  <c r="D26" i="5" a="1"/>
  <c r="D26" i="5" s="1"/>
  <c r="E26" i="5" a="1"/>
  <c r="E26" i="5" s="1"/>
  <c r="M9" i="1"/>
  <c r="M17" i="1"/>
  <c r="D16" i="5" a="1"/>
  <c r="D16" i="5" s="1"/>
  <c r="E16" i="5" a="1"/>
  <c r="E16" i="5" s="1"/>
  <c r="D19" i="5" a="1"/>
  <c r="D19" i="5" s="1"/>
  <c r="E19" i="5" a="1"/>
  <c r="E19" i="5" s="1"/>
  <c r="E24" i="5" a="1"/>
  <c r="E24" i="5" s="1"/>
  <c r="D24" i="5" a="1"/>
  <c r="D24" i="5" s="1"/>
  <c r="F24" i="5" s="1"/>
  <c r="E25" i="5" a="1"/>
  <c r="E25" i="5" s="1"/>
  <c r="D25" i="5" a="1"/>
  <c r="D25" i="5" s="1"/>
  <c r="F25" i="5" s="1"/>
  <c r="E12" i="5" a="1"/>
  <c r="E12" i="5" s="1"/>
  <c r="D12" i="5" a="1"/>
  <c r="D12" i="5" s="1"/>
  <c r="F12" i="5" s="1"/>
  <c r="E20" i="5" a="1"/>
  <c r="E20" i="5" s="1"/>
  <c r="D20" i="5" a="1"/>
  <c r="D20" i="5" s="1"/>
  <c r="D9" i="5" a="1"/>
  <c r="D9" i="5" s="1"/>
  <c r="E9" i="5" a="1"/>
  <c r="E9" i="5" s="1"/>
  <c r="E18" i="5" a="1"/>
  <c r="E18" i="5" s="1"/>
  <c r="D18" i="5" a="1"/>
  <c r="D18" i="5" s="1"/>
  <c r="F18" i="5" s="1"/>
  <c r="A8" i="8"/>
  <c r="A9" i="3"/>
  <c r="S10" i="1"/>
  <c r="E9" i="1" s="1"/>
  <c r="M5" i="1"/>
  <c r="S11" i="1"/>
  <c r="I9" i="1" s="1"/>
  <c r="S13" i="1"/>
  <c r="E13" i="1" s="1"/>
  <c r="D14" i="5" a="1"/>
  <c r="D14" i="5" s="1"/>
  <c r="E14" i="5" a="1"/>
  <c r="E14" i="5" s="1"/>
  <c r="F6" i="8"/>
  <c r="G6" i="8"/>
  <c r="B6" i="8"/>
  <c r="C6" i="8"/>
  <c r="D15" i="5" a="1"/>
  <c r="D15" i="5" s="1"/>
  <c r="F15" i="5" s="1"/>
  <c r="E15" i="5" a="1"/>
  <c r="E15" i="5" s="1"/>
  <c r="G7" i="8"/>
  <c r="E7" i="8"/>
  <c r="F7" i="8"/>
  <c r="G9" i="7"/>
  <c r="M6" i="7"/>
  <c r="S15" i="1"/>
  <c r="A23" i="1" s="1"/>
  <c r="D10" i="5" a="1"/>
  <c r="D10" i="5" s="1"/>
  <c r="E10" i="5" a="1"/>
  <c r="E10" i="5" s="1"/>
  <c r="D21" i="5" a="1"/>
  <c r="D21" i="5" s="1"/>
  <c r="F21" i="5" s="1"/>
  <c r="E21" i="5" a="1"/>
  <c r="E21" i="5" s="1"/>
  <c r="A9" i="4"/>
  <c r="B8" i="4"/>
  <c r="D27" i="5" a="1"/>
  <c r="D27" i="5" s="1"/>
  <c r="E27" i="5" a="1"/>
  <c r="E27" i="5" s="1"/>
  <c r="D23" i="5" a="1"/>
  <c r="D23" i="5" s="1"/>
  <c r="E23" i="5" a="1"/>
  <c r="E23" i="5" s="1"/>
  <c r="C7" i="4"/>
  <c r="F17" i="5"/>
  <c r="G12" i="5" l="1"/>
  <c r="H12" i="5"/>
  <c r="I12" i="5" s="1"/>
  <c r="F10" i="5"/>
  <c r="G24" i="5"/>
  <c r="H24" i="5"/>
  <c r="I24" i="5" s="1"/>
  <c r="G25" i="5"/>
  <c r="H25" i="5"/>
  <c r="I25" i="5" s="1"/>
  <c r="G13" i="5"/>
  <c r="H13" i="5"/>
  <c r="I13" i="5" s="1"/>
  <c r="G18" i="5"/>
  <c r="H18" i="5"/>
  <c r="I18" i="5" s="1"/>
  <c r="E17" i="1"/>
  <c r="B11" i="2"/>
  <c r="I17" i="1" s="1"/>
  <c r="F11" i="5"/>
  <c r="I6" i="8"/>
  <c r="G8" i="5"/>
  <c r="H8" i="5"/>
  <c r="I8" i="5" s="1"/>
  <c r="D9" i="7"/>
  <c r="S16" i="1"/>
  <c r="I13" i="1" s="1"/>
  <c r="A9" i="8"/>
  <c r="A10" i="3"/>
  <c r="F23" i="5"/>
  <c r="B8" i="8"/>
  <c r="C8" i="8"/>
  <c r="E8" i="8"/>
  <c r="F8" i="8"/>
  <c r="G8" i="8"/>
  <c r="D8" i="8"/>
  <c r="F26" i="5"/>
  <c r="F7" i="5"/>
  <c r="F27" i="5"/>
  <c r="F19" i="5"/>
  <c r="H17" i="5"/>
  <c r="I17" i="5" s="1"/>
  <c r="G17" i="5"/>
  <c r="C8" i="4"/>
  <c r="H7" i="8"/>
  <c r="F9" i="5"/>
  <c r="F16" i="5"/>
  <c r="N7" i="4"/>
  <c r="F14" i="5"/>
  <c r="F20" i="5"/>
  <c r="G29" i="5"/>
  <c r="H29" i="5"/>
  <c r="I29" i="5" s="1"/>
  <c r="B9" i="4"/>
  <c r="A10" i="4"/>
  <c r="G21" i="5"/>
  <c r="H21" i="5"/>
  <c r="I21" i="5" s="1"/>
  <c r="G15" i="5"/>
  <c r="H15" i="5"/>
  <c r="I15" i="5" s="1"/>
  <c r="G22" i="5"/>
  <c r="H22" i="5"/>
  <c r="I22" i="5" s="1"/>
  <c r="G28" i="5"/>
  <c r="H28" i="5"/>
  <c r="I28" i="5" s="1"/>
  <c r="H8" i="8" l="1"/>
  <c r="I8" i="8"/>
  <c r="G14" i="5"/>
  <c r="H14" i="5"/>
  <c r="I14" i="5" s="1"/>
  <c r="H23" i="5"/>
  <c r="I23" i="5" s="1"/>
  <c r="G23" i="5"/>
  <c r="G16" i="5"/>
  <c r="H16" i="5"/>
  <c r="I16" i="5" s="1"/>
  <c r="G9" i="5"/>
  <c r="H9" i="5"/>
  <c r="I9" i="5" s="1"/>
  <c r="G27" i="5"/>
  <c r="H27" i="5"/>
  <c r="I27" i="5" s="1"/>
  <c r="H11" i="5"/>
  <c r="I11" i="5" s="1"/>
  <c r="G11" i="5"/>
  <c r="G10" i="5"/>
  <c r="H10" i="5"/>
  <c r="I10" i="5" s="1"/>
  <c r="I7" i="8"/>
  <c r="G7" i="5"/>
  <c r="H7" i="5"/>
  <c r="I7" i="5" s="1"/>
  <c r="B25" i="2"/>
  <c r="B26" i="2" s="1"/>
  <c r="B9" i="8"/>
  <c r="C9" i="8"/>
  <c r="D9" i="8"/>
  <c r="E9" i="8"/>
  <c r="F9" i="8"/>
  <c r="G9" i="8"/>
  <c r="G20" i="5"/>
  <c r="H20" i="5"/>
  <c r="I20" i="5" s="1"/>
  <c r="M7" i="4"/>
  <c r="D7" i="4"/>
  <c r="L7" i="4"/>
  <c r="G19" i="5"/>
  <c r="H19" i="5"/>
  <c r="I19" i="5" s="1"/>
  <c r="N8" i="4"/>
  <c r="G26" i="5"/>
  <c r="H26" i="5"/>
  <c r="I26" i="5" s="1"/>
  <c r="A11" i="4"/>
  <c r="B10" i="4"/>
  <c r="C9" i="4"/>
  <c r="N9" i="4" s="1"/>
  <c r="A10" i="8"/>
  <c r="A11" i="3"/>
  <c r="M9" i="4" l="1"/>
  <c r="D9" i="4"/>
  <c r="L9" i="4"/>
  <c r="A11" i="8"/>
  <c r="A12" i="3"/>
  <c r="D8" i="4"/>
  <c r="E8" i="4" s="1"/>
  <c r="F8" i="4" s="1"/>
  <c r="M8" i="4"/>
  <c r="L8" i="4"/>
  <c r="E10" i="8"/>
  <c r="F10" i="8"/>
  <c r="G10" i="8"/>
  <c r="D10" i="8"/>
  <c r="B10" i="8"/>
  <c r="C10" i="8"/>
  <c r="B11" i="4"/>
  <c r="A12" i="4"/>
  <c r="H9" i="8"/>
  <c r="I9" i="8"/>
  <c r="C10" i="4"/>
  <c r="N10" i="4"/>
  <c r="A13" i="4" l="1"/>
  <c r="B12" i="4"/>
  <c r="H10" i="8"/>
  <c r="I10" i="8"/>
  <c r="C11" i="4"/>
  <c r="E9" i="4"/>
  <c r="F9" i="4" s="1"/>
  <c r="L10" i="4"/>
  <c r="M10" i="4"/>
  <c r="D10" i="4"/>
  <c r="E10" i="4" s="1"/>
  <c r="F10" i="4" s="1"/>
  <c r="G11" i="8"/>
  <c r="B11" i="8"/>
  <c r="C11" i="8"/>
  <c r="D11" i="8"/>
  <c r="F11" i="8"/>
  <c r="E11" i="8"/>
  <c r="A12" i="8"/>
  <c r="A13" i="3"/>
  <c r="C12" i="4" l="1"/>
  <c r="N11" i="4"/>
  <c r="A13" i="8"/>
  <c r="A14" i="3"/>
  <c r="B12" i="8"/>
  <c r="G12" i="8"/>
  <c r="C12" i="8"/>
  <c r="D12" i="8"/>
  <c r="E12" i="8"/>
  <c r="F12" i="8"/>
  <c r="A14" i="4"/>
  <c r="B13" i="4"/>
  <c r="H11" i="8"/>
  <c r="I11" i="8"/>
  <c r="C13" i="4" l="1"/>
  <c r="N13" i="4"/>
  <c r="H12" i="8"/>
  <c r="I12" i="8"/>
  <c r="A15" i="4"/>
  <c r="B14" i="4"/>
  <c r="A14" i="8"/>
  <c r="A15" i="3"/>
  <c r="M11" i="4"/>
  <c r="D11" i="4"/>
  <c r="E11" i="4" s="1"/>
  <c r="F11" i="4" s="1"/>
  <c r="L11" i="4"/>
  <c r="N12" i="4"/>
  <c r="B13" i="8"/>
  <c r="C13" i="8"/>
  <c r="D13" i="8"/>
  <c r="E13" i="8"/>
  <c r="F13" i="8"/>
  <c r="G13" i="8"/>
  <c r="D13" i="4" l="1"/>
  <c r="L13" i="4"/>
  <c r="M13" i="4"/>
  <c r="B15" i="4"/>
  <c r="A16" i="4"/>
  <c r="M12" i="4"/>
  <c r="L12" i="4"/>
  <c r="D12" i="4"/>
  <c r="E12" i="4" s="1"/>
  <c r="F12" i="4" s="1"/>
  <c r="A15" i="8"/>
  <c r="A16" i="3"/>
  <c r="D14" i="8"/>
  <c r="E14" i="8"/>
  <c r="F14" i="8"/>
  <c r="G14" i="8"/>
  <c r="B14" i="8"/>
  <c r="C14" i="8"/>
  <c r="H13" i="8"/>
  <c r="I13" i="8"/>
  <c r="C14" i="4"/>
  <c r="N14" i="4"/>
  <c r="H14" i="8" l="1"/>
  <c r="I14" i="8"/>
  <c r="D14" i="4"/>
  <c r="E14" i="4" s="1"/>
  <c r="F14" i="4" s="1"/>
  <c r="M14" i="4"/>
  <c r="L14" i="4"/>
  <c r="A17" i="4"/>
  <c r="B16" i="4"/>
  <c r="C15" i="4"/>
  <c r="N15" i="4" s="1"/>
  <c r="F15" i="8"/>
  <c r="G15" i="8"/>
  <c r="B15" i="8"/>
  <c r="C15" i="8"/>
  <c r="D15" i="8"/>
  <c r="E15" i="8"/>
  <c r="E13" i="4"/>
  <c r="F13" i="4" s="1"/>
  <c r="A16" i="8"/>
  <c r="A17" i="3"/>
  <c r="M15" i="4" l="1"/>
  <c r="L15" i="4"/>
  <c r="D15" i="4"/>
  <c r="E15" i="4" s="1"/>
  <c r="F15" i="4" s="1"/>
  <c r="C16" i="4"/>
  <c r="A18" i="4"/>
  <c r="B17" i="4"/>
  <c r="C16" i="8"/>
  <c r="G16" i="8"/>
  <c r="B16" i="8"/>
  <c r="D16" i="8"/>
  <c r="E16" i="8"/>
  <c r="F16" i="8"/>
  <c r="A17" i="8"/>
  <c r="A18" i="3"/>
  <c r="H15" i="8"/>
  <c r="I15" i="8"/>
  <c r="A19" i="4" l="1"/>
  <c r="B18" i="4"/>
  <c r="C17" i="4"/>
  <c r="N17" i="4" s="1"/>
  <c r="A18" i="8"/>
  <c r="A19" i="3"/>
  <c r="N16" i="4"/>
  <c r="I16" i="8"/>
  <c r="H16" i="8"/>
  <c r="B17" i="8"/>
  <c r="C17" i="8"/>
  <c r="D17" i="8"/>
  <c r="E17" i="8"/>
  <c r="F17" i="8"/>
  <c r="G17" i="8"/>
  <c r="M17" i="4" l="1"/>
  <c r="D17" i="4"/>
  <c r="L17" i="4"/>
  <c r="L16" i="4"/>
  <c r="M16" i="4"/>
  <c r="D16" i="4"/>
  <c r="E16" i="4" s="1"/>
  <c r="F16" i="4" s="1"/>
  <c r="C18" i="8"/>
  <c r="D18" i="8"/>
  <c r="E18" i="8"/>
  <c r="F18" i="8"/>
  <c r="G18" i="8"/>
  <c r="B18" i="8"/>
  <c r="H17" i="8"/>
  <c r="I17" i="8"/>
  <c r="C18" i="4"/>
  <c r="A20" i="4"/>
  <c r="B19" i="4"/>
  <c r="A19" i="8"/>
  <c r="A20" i="3"/>
  <c r="N18" i="4" l="1"/>
  <c r="H18" i="8"/>
  <c r="I18" i="8"/>
  <c r="A20" i="8"/>
  <c r="A21" i="3"/>
  <c r="E17" i="4"/>
  <c r="F17" i="4" s="1"/>
  <c r="C19" i="4"/>
  <c r="N19" i="4"/>
  <c r="A21" i="4"/>
  <c r="B20" i="4"/>
  <c r="D19" i="8"/>
  <c r="E19" i="8"/>
  <c r="F19" i="8"/>
  <c r="G19" i="8"/>
  <c r="B19" i="8"/>
  <c r="C19" i="8"/>
  <c r="C20" i="4" l="1"/>
  <c r="N20" i="4"/>
  <c r="A21" i="8"/>
  <c r="A22" i="3"/>
  <c r="B21" i="4"/>
  <c r="A22" i="4"/>
  <c r="G20" i="8"/>
  <c r="B20" i="8"/>
  <c r="F20" i="8"/>
  <c r="C20" i="8"/>
  <c r="D20" i="8"/>
  <c r="E20" i="8"/>
  <c r="M18" i="4"/>
  <c r="L18" i="4"/>
  <c r="D18" i="4"/>
  <c r="E18" i="4" s="1"/>
  <c r="F18" i="4" s="1"/>
  <c r="D19" i="4"/>
  <c r="E19" i="4" s="1"/>
  <c r="F19" i="4" s="1"/>
  <c r="L19" i="4"/>
  <c r="M19" i="4"/>
  <c r="H19" i="8"/>
  <c r="I19" i="8"/>
  <c r="A22" i="8" l="1"/>
  <c r="A23" i="3"/>
  <c r="C21" i="4"/>
  <c r="N21" i="4" s="1"/>
  <c r="H20" i="8"/>
  <c r="I20" i="8"/>
  <c r="D20" i="4"/>
  <c r="E20" i="4" s="1"/>
  <c r="F20" i="4" s="1"/>
  <c r="L20" i="4"/>
  <c r="M20" i="4"/>
  <c r="A23" i="4"/>
  <c r="B22" i="4"/>
  <c r="B21" i="8"/>
  <c r="F21" i="8"/>
  <c r="G21" i="8"/>
  <c r="C21" i="8"/>
  <c r="D21" i="8"/>
  <c r="E21" i="8"/>
  <c r="M21" i="4" l="1"/>
  <c r="L21" i="4"/>
  <c r="D21" i="4"/>
  <c r="E21" i="4" s="1"/>
  <c r="F21" i="4" s="1"/>
  <c r="A24" i="4"/>
  <c r="B23" i="4"/>
  <c r="B22" i="8"/>
  <c r="C22" i="8"/>
  <c r="D22" i="8"/>
  <c r="E22" i="8"/>
  <c r="F22" i="8"/>
  <c r="G22" i="8"/>
  <c r="H21" i="8"/>
  <c r="I21" i="8"/>
  <c r="C22" i="4"/>
  <c r="A23" i="8"/>
  <c r="A24" i="3"/>
  <c r="H22" i="8" l="1"/>
  <c r="I22" i="8"/>
  <c r="C23" i="8"/>
  <c r="D23" i="8"/>
  <c r="E23" i="8"/>
  <c r="F23" i="8"/>
  <c r="G23" i="8"/>
  <c r="B23" i="8"/>
  <c r="C23" i="4"/>
  <c r="N23" i="4"/>
  <c r="N22" i="4"/>
  <c r="A25" i="4"/>
  <c r="B24" i="4"/>
  <c r="A24" i="8"/>
  <c r="A25" i="3"/>
  <c r="C24" i="4" l="1"/>
  <c r="F24" i="8"/>
  <c r="G24" i="8"/>
  <c r="B24" i="8"/>
  <c r="C24" i="8"/>
  <c r="D24" i="8"/>
  <c r="E24" i="8"/>
  <c r="M23" i="4"/>
  <c r="L23" i="4"/>
  <c r="D23" i="4"/>
  <c r="B25" i="4"/>
  <c r="A26" i="4"/>
  <c r="L22" i="4"/>
  <c r="M22" i="4"/>
  <c r="D22" i="4"/>
  <c r="E22" i="4" s="1"/>
  <c r="F22" i="4" s="1"/>
  <c r="A25" i="8"/>
  <c r="A26" i="3"/>
  <c r="I23" i="8"/>
  <c r="H23" i="8"/>
  <c r="H24" i="8" l="1"/>
  <c r="I24" i="8"/>
  <c r="A27" i="4"/>
  <c r="B26" i="4"/>
  <c r="N24" i="4"/>
  <c r="C25" i="4"/>
  <c r="E23" i="4"/>
  <c r="F23" i="4" s="1"/>
  <c r="A26" i="8"/>
  <c r="A27" i="3"/>
  <c r="B25" i="8"/>
  <c r="C25" i="8"/>
  <c r="D25" i="8"/>
  <c r="E25" i="8"/>
  <c r="G25" i="8"/>
  <c r="F25" i="8"/>
  <c r="B27" i="4" l="1"/>
  <c r="A28" i="4"/>
  <c r="M24" i="4"/>
  <c r="D24" i="4"/>
  <c r="E24" i="4" s="1"/>
  <c r="F24" i="4" s="1"/>
  <c r="L24" i="4"/>
  <c r="C26" i="4"/>
  <c r="I25" i="8"/>
  <c r="H25" i="8"/>
  <c r="N25" i="4"/>
  <c r="A27" i="8"/>
  <c r="A28" i="3"/>
  <c r="B26" i="8"/>
  <c r="C26" i="8"/>
  <c r="D26" i="8"/>
  <c r="E26" i="8"/>
  <c r="F26" i="8"/>
  <c r="G26" i="8"/>
  <c r="N26" i="4" l="1"/>
  <c r="C27" i="4"/>
  <c r="N27" i="4" s="1"/>
  <c r="D25" i="4"/>
  <c r="E25" i="4" s="1"/>
  <c r="F25" i="4" s="1"/>
  <c r="L25" i="4"/>
  <c r="M25" i="4"/>
  <c r="H26" i="8"/>
  <c r="I26" i="8"/>
  <c r="A29" i="4"/>
  <c r="B28" i="4"/>
  <c r="A28" i="8"/>
  <c r="A29" i="3"/>
  <c r="C27" i="8"/>
  <c r="D27" i="8"/>
  <c r="E27" i="8"/>
  <c r="F27" i="8"/>
  <c r="G27" i="8"/>
  <c r="B27" i="8"/>
  <c r="M27" i="4" l="1"/>
  <c r="D27" i="4"/>
  <c r="L27" i="4"/>
  <c r="F28" i="8"/>
  <c r="G28" i="8"/>
  <c r="C28" i="8"/>
  <c r="D28" i="8"/>
  <c r="E28" i="8"/>
  <c r="B28" i="8"/>
  <c r="A30" i="4"/>
  <c r="B29" i="4"/>
  <c r="I27" i="8"/>
  <c r="H27" i="8"/>
  <c r="D26" i="4"/>
  <c r="E26" i="4" s="1"/>
  <c r="F26" i="4" s="1"/>
  <c r="M26" i="4"/>
  <c r="L26" i="4"/>
  <c r="C28" i="4"/>
  <c r="N28" i="4"/>
  <c r="A29" i="8"/>
  <c r="A30" i="3"/>
  <c r="B29" i="8" l="1"/>
  <c r="C29" i="8"/>
  <c r="D29" i="8"/>
  <c r="E29" i="8"/>
  <c r="F29" i="8"/>
  <c r="G29" i="8"/>
  <c r="H28" i="8"/>
  <c r="I28" i="8"/>
  <c r="C29" i="4"/>
  <c r="E27" i="4"/>
  <c r="F27" i="4" s="1"/>
  <c r="L28" i="4"/>
  <c r="M28" i="4"/>
  <c r="D28" i="4"/>
  <c r="E28" i="4" s="1"/>
  <c r="F28" i="4" s="1"/>
  <c r="A30" i="8"/>
  <c r="A31" i="3"/>
  <c r="B30" i="4"/>
  <c r="A31" i="4"/>
  <c r="A31" i="8" l="1"/>
  <c r="A32" i="3"/>
  <c r="B30" i="8"/>
  <c r="C30" i="8"/>
  <c r="D30" i="8"/>
  <c r="G30" i="8"/>
  <c r="E30" i="8"/>
  <c r="F30" i="8"/>
  <c r="A32" i="4"/>
  <c r="B31" i="4"/>
  <c r="C30" i="4"/>
  <c r="N30" i="4"/>
  <c r="N29" i="4"/>
  <c r="I29" i="8"/>
  <c r="H29" i="8"/>
  <c r="A32" i="8" l="1"/>
  <c r="A33" i="3"/>
  <c r="M30" i="4"/>
  <c r="D30" i="4"/>
  <c r="L30" i="4"/>
  <c r="C31" i="8"/>
  <c r="D31" i="8"/>
  <c r="E31" i="8"/>
  <c r="F31" i="8"/>
  <c r="G31" i="8"/>
  <c r="B31" i="8"/>
  <c r="A33" i="4"/>
  <c r="B32" i="4"/>
  <c r="M29" i="4"/>
  <c r="L29" i="4"/>
  <c r="D29" i="4"/>
  <c r="E29" i="4" s="1"/>
  <c r="F29" i="4" s="1"/>
  <c r="H30" i="8"/>
  <c r="I30" i="8"/>
  <c r="C31" i="4"/>
  <c r="N31" i="4"/>
  <c r="B33" i="4" l="1"/>
  <c r="A34" i="4"/>
  <c r="A33" i="8"/>
  <c r="A34" i="3"/>
  <c r="H31" i="8"/>
  <c r="I31" i="8"/>
  <c r="F32" i="8"/>
  <c r="G32" i="8"/>
  <c r="C32" i="8"/>
  <c r="D32" i="8"/>
  <c r="E32" i="8"/>
  <c r="B32" i="8"/>
  <c r="E30" i="4"/>
  <c r="F30" i="4" s="1"/>
  <c r="C32" i="4"/>
  <c r="N32" i="4"/>
  <c r="D31" i="4"/>
  <c r="E31" i="4" s="1"/>
  <c r="F31" i="4" s="1"/>
  <c r="L31" i="4"/>
  <c r="M31" i="4"/>
  <c r="B33" i="8" l="1"/>
  <c r="C33" i="8"/>
  <c r="D33" i="8"/>
  <c r="E33" i="8"/>
  <c r="F33" i="8"/>
  <c r="G33" i="8"/>
  <c r="D32" i="4"/>
  <c r="E32" i="4" s="1"/>
  <c r="F32" i="4" s="1"/>
  <c r="M32" i="4"/>
  <c r="L32" i="4"/>
  <c r="A35" i="4"/>
  <c r="B34" i="4"/>
  <c r="H32" i="8"/>
  <c r="I32" i="8"/>
  <c r="A34" i="8"/>
  <c r="A35" i="3"/>
  <c r="C33" i="4"/>
  <c r="N33" i="4" s="1"/>
  <c r="M33" i="4" l="1"/>
  <c r="D33" i="4"/>
  <c r="E33" i="4" s="1"/>
  <c r="F33" i="4" s="1"/>
  <c r="L33" i="4"/>
  <c r="A35" i="8"/>
  <c r="A36" i="3"/>
  <c r="B34" i="8"/>
  <c r="C34" i="8"/>
  <c r="D34" i="8"/>
  <c r="E34" i="8"/>
  <c r="G34" i="8"/>
  <c r="F34" i="8"/>
  <c r="A36" i="4"/>
  <c r="B35" i="4"/>
  <c r="I33" i="8"/>
  <c r="H33" i="8"/>
  <c r="C34" i="4"/>
  <c r="B36" i="4" l="1"/>
  <c r="A37" i="4"/>
  <c r="A36" i="8"/>
  <c r="A37" i="3"/>
  <c r="C35" i="8"/>
  <c r="D35" i="8"/>
  <c r="E35" i="8"/>
  <c r="F35" i="8"/>
  <c r="G35" i="8"/>
  <c r="B35" i="8"/>
  <c r="C35" i="4"/>
  <c r="N34" i="4"/>
  <c r="H34" i="8"/>
  <c r="I34" i="8"/>
  <c r="N35" i="4" l="1"/>
  <c r="A37" i="8"/>
  <c r="A38" i="3"/>
  <c r="F36" i="8"/>
  <c r="G36" i="8"/>
  <c r="D36" i="8"/>
  <c r="E36" i="8"/>
  <c r="B36" i="8"/>
  <c r="C36" i="8"/>
  <c r="H35" i="8"/>
  <c r="I35" i="8"/>
  <c r="B37" i="4"/>
  <c r="A38" i="4"/>
  <c r="C36" i="4"/>
  <c r="L34" i="4"/>
  <c r="M34" i="4"/>
  <c r="D34" i="4"/>
  <c r="E34" i="4" s="1"/>
  <c r="F34" i="4" s="1"/>
  <c r="A38" i="8" l="1"/>
  <c r="A39" i="3"/>
  <c r="E37" i="8"/>
  <c r="F37" i="8"/>
  <c r="G37" i="8"/>
  <c r="B37" i="8"/>
  <c r="C37" i="8"/>
  <c r="D37" i="8"/>
  <c r="C37" i="4"/>
  <c r="N37" i="4"/>
  <c r="N36" i="4"/>
  <c r="M35" i="4"/>
  <c r="L35" i="4"/>
  <c r="D35" i="4"/>
  <c r="E35" i="4" s="1"/>
  <c r="F35" i="4" s="1"/>
  <c r="H36" i="8"/>
  <c r="I36" i="8"/>
  <c r="A39" i="4"/>
  <c r="B38" i="4"/>
  <c r="M36" i="4" l="1"/>
  <c r="D36" i="4"/>
  <c r="E36" i="4" s="1"/>
  <c r="F36" i="4" s="1"/>
  <c r="L36" i="4"/>
  <c r="C38" i="4"/>
  <c r="N38" i="4"/>
  <c r="I37" i="8"/>
  <c r="H37" i="8"/>
  <c r="D37" i="4"/>
  <c r="E37" i="4" s="1"/>
  <c r="F37" i="4" s="1"/>
  <c r="L37" i="4"/>
  <c r="M37" i="4"/>
  <c r="B39" i="4"/>
  <c r="A40" i="4"/>
  <c r="A39" i="8"/>
  <c r="A40" i="3"/>
  <c r="B38" i="8"/>
  <c r="C38" i="8"/>
  <c r="D38" i="8"/>
  <c r="E38" i="8"/>
  <c r="F38" i="8"/>
  <c r="G38" i="8"/>
  <c r="D38" i="4" l="1"/>
  <c r="E38" i="4" s="1"/>
  <c r="F38" i="4" s="1"/>
  <c r="L38" i="4"/>
  <c r="M38" i="4"/>
  <c r="A41" i="4"/>
  <c r="B40" i="4"/>
  <c r="I38" i="8"/>
  <c r="H38" i="8"/>
  <c r="A40" i="8"/>
  <c r="A41" i="3"/>
  <c r="C39" i="8"/>
  <c r="D39" i="8"/>
  <c r="E39" i="8"/>
  <c r="F39" i="8"/>
  <c r="G39" i="8"/>
  <c r="B39" i="8"/>
  <c r="N39" i="4"/>
  <c r="C39" i="4"/>
  <c r="C40" i="4" l="1"/>
  <c r="N40" i="4"/>
  <c r="B41" i="4"/>
  <c r="A42" i="4"/>
  <c r="F40" i="8"/>
  <c r="G40" i="8"/>
  <c r="B40" i="8"/>
  <c r="C40" i="8"/>
  <c r="D40" i="8"/>
  <c r="E40" i="8"/>
  <c r="M39" i="4"/>
  <c r="L39" i="4"/>
  <c r="D39" i="4"/>
  <c r="E39" i="4" s="1"/>
  <c r="F39" i="4" s="1"/>
  <c r="A41" i="8"/>
  <c r="A42" i="3"/>
  <c r="I39" i="8"/>
  <c r="H39" i="8"/>
  <c r="H40" i="8" l="1"/>
  <c r="I40" i="8"/>
  <c r="A42" i="8"/>
  <c r="A43" i="3"/>
  <c r="B41" i="8"/>
  <c r="C41" i="8"/>
  <c r="D41" i="8"/>
  <c r="F41" i="8"/>
  <c r="G41" i="8"/>
  <c r="E41" i="8"/>
  <c r="A43" i="4"/>
  <c r="B42" i="4"/>
  <c r="L40" i="4"/>
  <c r="M40" i="4"/>
  <c r="D40" i="4"/>
  <c r="E40" i="4" s="1"/>
  <c r="F40" i="4" s="1"/>
  <c r="C41" i="4"/>
  <c r="N41" i="4"/>
  <c r="C42" i="4" l="1"/>
  <c r="M41" i="4"/>
  <c r="D41" i="4"/>
  <c r="E41" i="4" s="1"/>
  <c r="F41" i="4" s="1"/>
  <c r="L41" i="4"/>
  <c r="A44" i="4"/>
  <c r="B43" i="4"/>
  <c r="A43" i="8"/>
  <c r="A44" i="3"/>
  <c r="B42" i="8"/>
  <c r="C42" i="8"/>
  <c r="D42" i="8"/>
  <c r="E42" i="8"/>
  <c r="F42" i="8"/>
  <c r="G42" i="8"/>
  <c r="I41" i="8"/>
  <c r="H41" i="8"/>
  <c r="A45" i="4" l="1"/>
  <c r="B44" i="4"/>
  <c r="A44" i="8"/>
  <c r="A45" i="3"/>
  <c r="N42" i="4"/>
  <c r="C43" i="8"/>
  <c r="D43" i="8"/>
  <c r="E43" i="8"/>
  <c r="F43" i="8"/>
  <c r="G43" i="8"/>
  <c r="B43" i="8"/>
  <c r="H42" i="8"/>
  <c r="I42" i="8"/>
  <c r="C43" i="4"/>
  <c r="H43" i="8" l="1"/>
  <c r="I43" i="8"/>
  <c r="A45" i="8"/>
  <c r="A46" i="3"/>
  <c r="N43" i="4"/>
  <c r="F44" i="8"/>
  <c r="G44" i="8"/>
  <c r="C44" i="8"/>
  <c r="D44" i="8"/>
  <c r="E44" i="8"/>
  <c r="B44" i="8"/>
  <c r="C44" i="4"/>
  <c r="N44" i="4"/>
  <c r="B45" i="4"/>
  <c r="A46" i="4"/>
  <c r="L42" i="4"/>
  <c r="M42" i="4"/>
  <c r="D42" i="4"/>
  <c r="E42" i="4" s="1"/>
  <c r="F42" i="4" s="1"/>
  <c r="A46" i="8" l="1"/>
  <c r="A47" i="3"/>
  <c r="L43" i="4"/>
  <c r="M43" i="4"/>
  <c r="D43" i="4"/>
  <c r="E43" i="4" s="1"/>
  <c r="F43" i="4" s="1"/>
  <c r="D44" i="4"/>
  <c r="E44" i="4" s="1"/>
  <c r="F44" i="4" s="1"/>
  <c r="M44" i="4"/>
  <c r="L44" i="4"/>
  <c r="H44" i="8"/>
  <c r="I44" i="8"/>
  <c r="B45" i="8"/>
  <c r="C45" i="8"/>
  <c r="D45" i="8"/>
  <c r="E45" i="8"/>
  <c r="F45" i="8"/>
  <c r="G45" i="8"/>
  <c r="A47" i="4"/>
  <c r="B46" i="4"/>
  <c r="N45" i="4"/>
  <c r="C45" i="4"/>
  <c r="I45" i="8" l="1"/>
  <c r="H45" i="8"/>
  <c r="C46" i="4"/>
  <c r="N46" i="4"/>
  <c r="A48" i="4"/>
  <c r="B47" i="4"/>
  <c r="A47" i="8"/>
  <c r="A48" i="3"/>
  <c r="B46" i="8"/>
  <c r="C46" i="8"/>
  <c r="D46" i="8"/>
  <c r="G46" i="8"/>
  <c r="F46" i="8"/>
  <c r="E46" i="8"/>
  <c r="M45" i="4"/>
  <c r="D45" i="4"/>
  <c r="E45" i="4" s="1"/>
  <c r="F45" i="4" s="1"/>
  <c r="L45" i="4"/>
  <c r="C47" i="8" l="1"/>
  <c r="D47" i="8"/>
  <c r="E47" i="8"/>
  <c r="F47" i="8"/>
  <c r="G47" i="8"/>
  <c r="B47" i="8"/>
  <c r="N47" i="4"/>
  <c r="C47" i="4"/>
  <c r="A49" i="4"/>
  <c r="B48" i="4"/>
  <c r="L46" i="4"/>
  <c r="M46" i="4"/>
  <c r="D46" i="4"/>
  <c r="E46" i="4" s="1"/>
  <c r="F46" i="4" s="1"/>
  <c r="H46" i="8"/>
  <c r="I46" i="8"/>
  <c r="A48" i="8"/>
  <c r="A49" i="3"/>
  <c r="F48" i="8" l="1"/>
  <c r="G48" i="8"/>
  <c r="B48" i="8"/>
  <c r="C48" i="8"/>
  <c r="D48" i="8"/>
  <c r="E48" i="8"/>
  <c r="H47" i="8"/>
  <c r="I47" i="8"/>
  <c r="N48" i="4"/>
  <c r="C48" i="4"/>
  <c r="A50" i="4"/>
  <c r="B49" i="4"/>
  <c r="M47" i="4"/>
  <c r="L47" i="4"/>
  <c r="D47" i="4"/>
  <c r="E47" i="4" s="1"/>
  <c r="F47" i="4" s="1"/>
  <c r="A49" i="8"/>
  <c r="A50" i="3"/>
  <c r="C49" i="4" l="1"/>
  <c r="A51" i="4"/>
  <c r="B50" i="4"/>
  <c r="H48" i="8"/>
  <c r="I48" i="8"/>
  <c r="A50" i="8"/>
  <c r="A51" i="3"/>
  <c r="M48" i="4"/>
  <c r="L48" i="4"/>
  <c r="D48" i="4"/>
  <c r="E48" i="4" s="1"/>
  <c r="F48" i="4" s="1"/>
  <c r="B49" i="8"/>
  <c r="C49" i="8"/>
  <c r="D49" i="8"/>
  <c r="E49" i="8"/>
  <c r="F49" i="8"/>
  <c r="G49" i="8"/>
  <c r="B50" i="8" l="1"/>
  <c r="C50" i="8"/>
  <c r="D50" i="8"/>
  <c r="G50" i="8"/>
  <c r="E50" i="8"/>
  <c r="F50" i="8"/>
  <c r="I49" i="8"/>
  <c r="H49" i="8"/>
  <c r="C50" i="4"/>
  <c r="N49" i="4"/>
  <c r="B51" i="4"/>
  <c r="A52" i="4"/>
  <c r="A51" i="8"/>
  <c r="A52" i="3"/>
  <c r="N50" i="4" l="1"/>
  <c r="C51" i="8"/>
  <c r="D51" i="8"/>
  <c r="E51" i="8"/>
  <c r="F51" i="8"/>
  <c r="G51" i="8"/>
  <c r="B51" i="8"/>
  <c r="A53" i="4"/>
  <c r="B52" i="4"/>
  <c r="C51" i="4"/>
  <c r="H50" i="8"/>
  <c r="I50" i="8"/>
  <c r="A52" i="8"/>
  <c r="A53" i="3"/>
  <c r="D49" i="4"/>
  <c r="E49" i="4" s="1"/>
  <c r="F49" i="4" s="1"/>
  <c r="L49" i="4"/>
  <c r="M49" i="4"/>
  <c r="C52" i="4" l="1"/>
  <c r="N52" i="4"/>
  <c r="A54" i="4"/>
  <c r="B53" i="4"/>
  <c r="D50" i="4"/>
  <c r="E50" i="4" s="1"/>
  <c r="F50" i="4" s="1"/>
  <c r="L50" i="4"/>
  <c r="M50" i="4"/>
  <c r="A53" i="8"/>
  <c r="A54" i="3"/>
  <c r="F52" i="8"/>
  <c r="G52" i="8"/>
  <c r="C52" i="8"/>
  <c r="D52" i="8"/>
  <c r="E52" i="8"/>
  <c r="B52" i="8"/>
  <c r="H51" i="8"/>
  <c r="I51" i="8"/>
  <c r="N51" i="4"/>
  <c r="C53" i="4" l="1"/>
  <c r="N53" i="4"/>
  <c r="H52" i="8"/>
  <c r="I52" i="8"/>
  <c r="A54" i="8"/>
  <c r="A55" i="3"/>
  <c r="L52" i="4"/>
  <c r="M52" i="4"/>
  <c r="D52" i="4"/>
  <c r="B54" i="4"/>
  <c r="A55" i="4"/>
  <c r="E53" i="8"/>
  <c r="F53" i="8"/>
  <c r="G53" i="8"/>
  <c r="B53" i="8"/>
  <c r="C53" i="8"/>
  <c r="D53" i="8"/>
  <c r="M51" i="4"/>
  <c r="L51" i="4"/>
  <c r="D51" i="4"/>
  <c r="E51" i="4" s="1"/>
  <c r="F51" i="4" s="1"/>
  <c r="E52" i="4" l="1"/>
  <c r="F52" i="4" s="1"/>
  <c r="A55" i="8"/>
  <c r="A56" i="3"/>
  <c r="B54" i="8"/>
  <c r="C54" i="8"/>
  <c r="D54" i="8"/>
  <c r="E54" i="8"/>
  <c r="F54" i="8"/>
  <c r="G54" i="8"/>
  <c r="C54" i="4"/>
  <c r="N54" i="4"/>
  <c r="M53" i="4"/>
  <c r="D53" i="4"/>
  <c r="E53" i="4" s="1"/>
  <c r="F53" i="4" s="1"/>
  <c r="L53" i="4"/>
  <c r="I53" i="8"/>
  <c r="H53" i="8"/>
  <c r="B55" i="4"/>
  <c r="A56" i="4"/>
  <c r="C55" i="8" l="1"/>
  <c r="D55" i="8"/>
  <c r="E55" i="8"/>
  <c r="F55" i="8"/>
  <c r="G55" i="8"/>
  <c r="B55" i="8"/>
  <c r="A56" i="8"/>
  <c r="A57" i="3"/>
  <c r="D54" i="4"/>
  <c r="E54" i="4" s="1"/>
  <c r="F54" i="4" s="1"/>
  <c r="L54" i="4"/>
  <c r="M54" i="4"/>
  <c r="H54" i="8"/>
  <c r="I54" i="8"/>
  <c r="A57" i="4"/>
  <c r="B56" i="4"/>
  <c r="C55" i="4"/>
  <c r="N55" i="4"/>
  <c r="D55" i="4" l="1"/>
  <c r="E55" i="4" s="1"/>
  <c r="F55" i="4" s="1"/>
  <c r="L55" i="4"/>
  <c r="M55" i="4"/>
  <c r="A57" i="8"/>
  <c r="A58" i="3"/>
  <c r="F56" i="8"/>
  <c r="G56" i="8"/>
  <c r="B56" i="8"/>
  <c r="C56" i="8"/>
  <c r="D56" i="8"/>
  <c r="E56" i="8"/>
  <c r="I55" i="8"/>
  <c r="H55" i="8"/>
  <c r="C56" i="4"/>
  <c r="N56" i="4"/>
  <c r="B57" i="4"/>
  <c r="A58" i="4"/>
  <c r="C57" i="4" l="1"/>
  <c r="N57" i="4" s="1"/>
  <c r="A58" i="8"/>
  <c r="A59" i="3"/>
  <c r="H56" i="8"/>
  <c r="I56" i="8"/>
  <c r="A59" i="4"/>
  <c r="B58" i="4"/>
  <c r="D56" i="4"/>
  <c r="E56" i="4" s="1"/>
  <c r="F56" i="4" s="1"/>
  <c r="L56" i="4"/>
  <c r="M56" i="4"/>
  <c r="B57" i="8"/>
  <c r="C57" i="8"/>
  <c r="D57" i="8"/>
  <c r="E57" i="8"/>
  <c r="F57" i="8"/>
  <c r="G57" i="8"/>
  <c r="M57" i="4" l="1"/>
  <c r="L57" i="4"/>
  <c r="D57" i="4"/>
  <c r="E57" i="4" s="1"/>
  <c r="F57" i="4" s="1"/>
  <c r="A59" i="8"/>
  <c r="A60" i="3"/>
  <c r="I57" i="8"/>
  <c r="H57" i="8"/>
  <c r="C58" i="4"/>
  <c r="N58" i="4" s="1"/>
  <c r="B58" i="8"/>
  <c r="C58" i="8"/>
  <c r="D58" i="8"/>
  <c r="E58" i="8"/>
  <c r="F58" i="8"/>
  <c r="G58" i="8"/>
  <c r="B59" i="4"/>
  <c r="A60" i="4"/>
  <c r="L58" i="4" l="1"/>
  <c r="M58" i="4"/>
  <c r="D58" i="4"/>
  <c r="E58" i="4" s="1"/>
  <c r="F58" i="4" s="1"/>
  <c r="C59" i="4"/>
  <c r="C59" i="8"/>
  <c r="D59" i="8"/>
  <c r="E59" i="8"/>
  <c r="F59" i="8"/>
  <c r="G59" i="8"/>
  <c r="B59" i="8"/>
  <c r="A61" i="4"/>
  <c r="B60" i="4"/>
  <c r="H58" i="8"/>
  <c r="I58" i="8"/>
  <c r="A60" i="8"/>
  <c r="A61" i="3"/>
  <c r="N59" i="4" l="1"/>
  <c r="C60" i="4"/>
  <c r="A62" i="4"/>
  <c r="B61" i="4"/>
  <c r="I59" i="8"/>
  <c r="H59" i="8"/>
  <c r="A61" i="8"/>
  <c r="A62" i="3"/>
  <c r="F60" i="8"/>
  <c r="G60" i="8"/>
  <c r="C60" i="8"/>
  <c r="D60" i="8"/>
  <c r="E60" i="8"/>
  <c r="B60" i="8"/>
  <c r="N60" i="4" l="1"/>
  <c r="A62" i="8"/>
  <c r="A63" i="3"/>
  <c r="B61" i="8"/>
  <c r="C61" i="8"/>
  <c r="D61" i="8"/>
  <c r="E61" i="8"/>
  <c r="G61" i="8"/>
  <c r="F61" i="8"/>
  <c r="A63" i="4"/>
  <c r="B62" i="4"/>
  <c r="H60" i="8"/>
  <c r="I60" i="8"/>
  <c r="M59" i="4"/>
  <c r="D59" i="4"/>
  <c r="E59" i="4" s="1"/>
  <c r="F59" i="4" s="1"/>
  <c r="L59" i="4"/>
  <c r="N61" i="4"/>
  <c r="C61" i="4"/>
  <c r="I61" i="8" l="1"/>
  <c r="H61" i="8"/>
  <c r="A63" i="8"/>
  <c r="A64" i="3"/>
  <c r="C62" i="4"/>
  <c r="N62" i="4"/>
  <c r="B62" i="8"/>
  <c r="C62" i="8"/>
  <c r="D62" i="8"/>
  <c r="G62" i="8"/>
  <c r="E62" i="8"/>
  <c r="F62" i="8"/>
  <c r="L61" i="4"/>
  <c r="M61" i="4"/>
  <c r="D61" i="4"/>
  <c r="B63" i="4"/>
  <c r="A64" i="4"/>
  <c r="L60" i="4"/>
  <c r="M60" i="4"/>
  <c r="D60" i="4"/>
  <c r="E60" i="4" s="1"/>
  <c r="F60" i="4" s="1"/>
  <c r="A64" i="8" l="1"/>
  <c r="A65" i="3"/>
  <c r="C63" i="8"/>
  <c r="D63" i="8"/>
  <c r="E63" i="8"/>
  <c r="F63" i="8"/>
  <c r="G63" i="8"/>
  <c r="B63" i="8"/>
  <c r="H62" i="8"/>
  <c r="I62" i="8"/>
  <c r="A65" i="4"/>
  <c r="B64" i="4"/>
  <c r="D62" i="4"/>
  <c r="E62" i="4" s="1"/>
  <c r="F62" i="4" s="1"/>
  <c r="M62" i="4"/>
  <c r="L62" i="4"/>
  <c r="C63" i="4"/>
  <c r="E61" i="4"/>
  <c r="F61" i="4" s="1"/>
  <c r="N63" i="4" l="1"/>
  <c r="H63" i="8"/>
  <c r="I63" i="8"/>
  <c r="C64" i="4"/>
  <c r="N64" i="4"/>
  <c r="A65" i="8"/>
  <c r="A66" i="3"/>
  <c r="A66" i="4"/>
  <c r="B65" i="4"/>
  <c r="F64" i="8"/>
  <c r="G64" i="8"/>
  <c r="B64" i="8"/>
  <c r="C64" i="8"/>
  <c r="D64" i="8"/>
  <c r="E64" i="8"/>
  <c r="C65" i="4" l="1"/>
  <c r="A67" i="4"/>
  <c r="B66" i="4"/>
  <c r="A66" i="8"/>
  <c r="A67" i="3"/>
  <c r="B65" i="8"/>
  <c r="C65" i="8"/>
  <c r="D65" i="8"/>
  <c r="E65" i="8"/>
  <c r="F65" i="8"/>
  <c r="G65" i="8"/>
  <c r="M63" i="4"/>
  <c r="D63" i="4"/>
  <c r="E63" i="4" s="1"/>
  <c r="F63" i="4" s="1"/>
  <c r="L63" i="4"/>
  <c r="L64" i="4"/>
  <c r="M64" i="4"/>
  <c r="D64" i="4"/>
  <c r="E64" i="4" s="1"/>
  <c r="F64" i="4" s="1"/>
  <c r="H64" i="8"/>
  <c r="I64" i="8"/>
  <c r="C66" i="4" l="1"/>
  <c r="A68" i="4"/>
  <c r="B67" i="4"/>
  <c r="I65" i="8"/>
  <c r="H65" i="8"/>
  <c r="A67" i="8"/>
  <c r="A68" i="3"/>
  <c r="B66" i="8"/>
  <c r="C66" i="8"/>
  <c r="D66" i="8"/>
  <c r="F66" i="8"/>
  <c r="E66" i="8"/>
  <c r="G66" i="8"/>
  <c r="N65" i="4"/>
  <c r="H66" i="8" l="1"/>
  <c r="I66" i="8"/>
  <c r="A69" i="4"/>
  <c r="B68" i="4"/>
  <c r="N66" i="4"/>
  <c r="M65" i="4"/>
  <c r="L65" i="4"/>
  <c r="D65" i="4"/>
  <c r="E65" i="4" s="1"/>
  <c r="F65" i="4" s="1"/>
  <c r="C67" i="4"/>
  <c r="A68" i="8"/>
  <c r="A69" i="3"/>
  <c r="C67" i="8"/>
  <c r="D67" i="8"/>
  <c r="E67" i="8"/>
  <c r="F67" i="8"/>
  <c r="G67" i="8"/>
  <c r="B67" i="8"/>
  <c r="F68" i="8" l="1"/>
  <c r="G68" i="8"/>
  <c r="B68" i="8"/>
  <c r="C68" i="8"/>
  <c r="D68" i="8"/>
  <c r="E68" i="8"/>
  <c r="M66" i="4"/>
  <c r="L66" i="4"/>
  <c r="D66" i="4"/>
  <c r="E66" i="4" s="1"/>
  <c r="F66" i="4" s="1"/>
  <c r="C68" i="4"/>
  <c r="B69" i="4"/>
  <c r="A70" i="4"/>
  <c r="H67" i="8"/>
  <c r="I67" i="8"/>
  <c r="A69" i="8"/>
  <c r="A70" i="3"/>
  <c r="N67" i="4"/>
  <c r="C69" i="4" l="1"/>
  <c r="N69" i="4" s="1"/>
  <c r="N68" i="4"/>
  <c r="D67" i="4"/>
  <c r="E67" i="4" s="1"/>
  <c r="F67" i="4" s="1"/>
  <c r="M67" i="4"/>
  <c r="L67" i="4"/>
  <c r="A71" i="4"/>
  <c r="B70" i="4"/>
  <c r="H68" i="8"/>
  <c r="I68" i="8"/>
  <c r="A70" i="8"/>
  <c r="A71" i="3"/>
  <c r="E69" i="8"/>
  <c r="F69" i="8"/>
  <c r="G69" i="8"/>
  <c r="B69" i="8"/>
  <c r="C69" i="8"/>
  <c r="D69" i="8"/>
  <c r="M69" i="4" l="1"/>
  <c r="L69" i="4"/>
  <c r="D69" i="4"/>
  <c r="A71" i="8"/>
  <c r="A72" i="3"/>
  <c r="B70" i="8"/>
  <c r="C70" i="8"/>
  <c r="D70" i="8"/>
  <c r="E70" i="8"/>
  <c r="G70" i="8"/>
  <c r="F70" i="8"/>
  <c r="C70" i="4"/>
  <c r="N70" i="4" s="1"/>
  <c r="A72" i="4"/>
  <c r="B71" i="4"/>
  <c r="D68" i="4"/>
  <c r="E68" i="4" s="1"/>
  <c r="F68" i="4" s="1"/>
  <c r="L68" i="4"/>
  <c r="M68" i="4"/>
  <c r="I69" i="8"/>
  <c r="H69" i="8"/>
  <c r="L70" i="4" l="1"/>
  <c r="M70" i="4"/>
  <c r="D70" i="4"/>
  <c r="E70" i="4" s="1"/>
  <c r="F70" i="4" s="1"/>
  <c r="H70" i="8"/>
  <c r="I70" i="8"/>
  <c r="C71" i="4"/>
  <c r="N71" i="4"/>
  <c r="A72" i="8"/>
  <c r="A73" i="3"/>
  <c r="B72" i="4"/>
  <c r="A73" i="4"/>
  <c r="C71" i="8"/>
  <c r="D71" i="8"/>
  <c r="E71" i="8"/>
  <c r="F71" i="8"/>
  <c r="G71" i="8"/>
  <c r="B71" i="8"/>
  <c r="E69" i="4"/>
  <c r="F69" i="4" s="1"/>
  <c r="F72" i="8" l="1"/>
  <c r="G72" i="8"/>
  <c r="B72" i="8"/>
  <c r="C72" i="8"/>
  <c r="D72" i="8"/>
  <c r="E72" i="8"/>
  <c r="M71" i="4"/>
  <c r="D71" i="4"/>
  <c r="E71" i="4" s="1"/>
  <c r="F71" i="4" s="1"/>
  <c r="L71" i="4"/>
  <c r="B73" i="4"/>
  <c r="A74" i="4"/>
  <c r="C72" i="4"/>
  <c r="N72" i="4"/>
  <c r="I71" i="8"/>
  <c r="H71" i="8"/>
  <c r="A73" i="8"/>
  <c r="A74" i="3"/>
  <c r="D72" i="4" l="1"/>
  <c r="E72" i="4" s="1"/>
  <c r="F72" i="4" s="1"/>
  <c r="M72" i="4"/>
  <c r="L72" i="4"/>
  <c r="H72" i="8"/>
  <c r="I72" i="8"/>
  <c r="A74" i="8"/>
  <c r="A75" i="3"/>
  <c r="A75" i="4"/>
  <c r="B74" i="4"/>
  <c r="G73" i="8"/>
  <c r="B73" i="8"/>
  <c r="D73" i="8"/>
  <c r="E73" i="8"/>
  <c r="F73" i="8"/>
  <c r="C73" i="8"/>
  <c r="C73" i="4"/>
  <c r="A75" i="8" l="1"/>
  <c r="A76" i="3"/>
  <c r="I73" i="8"/>
  <c r="H73" i="8"/>
  <c r="C74" i="4"/>
  <c r="N74" i="4"/>
  <c r="B74" i="8"/>
  <c r="C74" i="8"/>
  <c r="D74" i="8"/>
  <c r="E74" i="8"/>
  <c r="F74" i="8"/>
  <c r="G74" i="8"/>
  <c r="N73" i="4"/>
  <c r="B75" i="4"/>
  <c r="A76" i="4"/>
  <c r="C75" i="4" l="1"/>
  <c r="N75" i="4" s="1"/>
  <c r="D73" i="4"/>
  <c r="E73" i="4" s="1"/>
  <c r="F73" i="4" s="1"/>
  <c r="L73" i="4"/>
  <c r="M73" i="4"/>
  <c r="D74" i="4"/>
  <c r="L74" i="4"/>
  <c r="M74" i="4"/>
  <c r="A76" i="8"/>
  <c r="A77" i="3"/>
  <c r="C75" i="8"/>
  <c r="D75" i="8"/>
  <c r="E75" i="8"/>
  <c r="F75" i="8"/>
  <c r="G75" i="8"/>
  <c r="B75" i="8"/>
  <c r="A77" i="4"/>
  <c r="B76" i="4"/>
  <c r="H74" i="8"/>
  <c r="I74" i="8"/>
  <c r="M75" i="4" l="1"/>
  <c r="L75" i="4"/>
  <c r="D75" i="4"/>
  <c r="E75" i="4" s="1"/>
  <c r="F75" i="4" s="1"/>
  <c r="E74" i="4"/>
  <c r="F74" i="4" s="1"/>
  <c r="C76" i="4"/>
  <c r="N76" i="4"/>
  <c r="A78" i="4"/>
  <c r="B77" i="4"/>
  <c r="H75" i="8"/>
  <c r="I75" i="8"/>
  <c r="F76" i="8"/>
  <c r="G76" i="8"/>
  <c r="C76" i="8"/>
  <c r="D76" i="8"/>
  <c r="E76" i="8"/>
  <c r="B76" i="8"/>
  <c r="A77" i="8"/>
  <c r="A78" i="3"/>
  <c r="L76" i="4" l="1"/>
  <c r="M76" i="4"/>
  <c r="D76" i="4"/>
  <c r="E76" i="4" s="1"/>
  <c r="F76" i="4" s="1"/>
  <c r="B77" i="8"/>
  <c r="C77" i="8"/>
  <c r="E77" i="8"/>
  <c r="F77" i="8"/>
  <c r="G77" i="8"/>
  <c r="D77" i="8"/>
  <c r="H76" i="8"/>
  <c r="I76" i="8"/>
  <c r="C77" i="4"/>
  <c r="N77" i="4"/>
  <c r="A79" i="4"/>
  <c r="B78" i="4"/>
  <c r="A78" i="8"/>
  <c r="A79" i="3"/>
  <c r="B78" i="8" l="1"/>
  <c r="C78" i="8"/>
  <c r="D78" i="8"/>
  <c r="G78" i="8"/>
  <c r="E78" i="8"/>
  <c r="F78" i="8"/>
  <c r="N78" i="4"/>
  <c r="C78" i="4"/>
  <c r="A79" i="8"/>
  <c r="A80" i="3"/>
  <c r="B79" i="4"/>
  <c r="A80" i="4"/>
  <c r="M77" i="4"/>
  <c r="D77" i="4"/>
  <c r="E77" i="4" s="1"/>
  <c r="F77" i="4" s="1"/>
  <c r="L77" i="4"/>
  <c r="I77" i="8"/>
  <c r="H77" i="8"/>
  <c r="A80" i="8" l="1"/>
  <c r="A81" i="3"/>
  <c r="C79" i="8"/>
  <c r="D79" i="8"/>
  <c r="E79" i="8"/>
  <c r="F79" i="8"/>
  <c r="G79" i="8"/>
  <c r="B79" i="8"/>
  <c r="H78" i="8"/>
  <c r="I78" i="8"/>
  <c r="A81" i="4"/>
  <c r="B80" i="4"/>
  <c r="C79" i="4"/>
  <c r="L78" i="4"/>
  <c r="M78" i="4"/>
  <c r="D78" i="4"/>
  <c r="E78" i="4" s="1"/>
  <c r="F78" i="4" s="1"/>
  <c r="C80" i="4" l="1"/>
  <c r="N80" i="4"/>
  <c r="B81" i="4"/>
  <c r="A82" i="4"/>
  <c r="N79" i="4"/>
  <c r="I79" i="8"/>
  <c r="H79" i="8"/>
  <c r="A81" i="8"/>
  <c r="A82" i="3"/>
  <c r="F80" i="8"/>
  <c r="G80" i="8"/>
  <c r="B80" i="8"/>
  <c r="C80" i="8"/>
  <c r="D80" i="8"/>
  <c r="E80" i="8"/>
  <c r="L79" i="4" l="1"/>
  <c r="M79" i="4"/>
  <c r="D79" i="4"/>
  <c r="E79" i="4" s="1"/>
  <c r="F79" i="4" s="1"/>
  <c r="A83" i="4"/>
  <c r="B82" i="4"/>
  <c r="N81" i="4"/>
  <c r="C81" i="4"/>
  <c r="D80" i="4"/>
  <c r="M80" i="4"/>
  <c r="L80" i="4"/>
  <c r="A82" i="8"/>
  <c r="A83" i="3"/>
  <c r="H80" i="8"/>
  <c r="I80" i="8"/>
  <c r="B81" i="8"/>
  <c r="C81" i="8"/>
  <c r="D81" i="8"/>
  <c r="E81" i="8"/>
  <c r="F81" i="8"/>
  <c r="G81" i="8"/>
  <c r="M81" i="4" l="1"/>
  <c r="D81" i="4"/>
  <c r="E81" i="4" s="1"/>
  <c r="F81" i="4" s="1"/>
  <c r="L81" i="4"/>
  <c r="A83" i="8"/>
  <c r="A84" i="3"/>
  <c r="C82" i="4"/>
  <c r="N82" i="4"/>
  <c r="B82" i="8"/>
  <c r="C82" i="8"/>
  <c r="D82" i="8"/>
  <c r="E82" i="8"/>
  <c r="F82" i="8"/>
  <c r="G82" i="8"/>
  <c r="A84" i="4"/>
  <c r="B83" i="4"/>
  <c r="I81" i="8"/>
  <c r="H81" i="8"/>
  <c r="E80" i="4"/>
  <c r="F80" i="4" s="1"/>
  <c r="L82" i="4" l="1"/>
  <c r="M82" i="4"/>
  <c r="D82" i="4"/>
  <c r="E82" i="4" s="1"/>
  <c r="F82" i="4" s="1"/>
  <c r="B84" i="4"/>
  <c r="A85" i="4"/>
  <c r="I82" i="8"/>
  <c r="H82" i="8"/>
  <c r="A84" i="8"/>
  <c r="A85" i="3"/>
  <c r="C83" i="8"/>
  <c r="D83" i="8"/>
  <c r="E83" i="8"/>
  <c r="F83" i="8"/>
  <c r="B83" i="8"/>
  <c r="G83" i="8"/>
  <c r="N83" i="4"/>
  <c r="C83" i="4"/>
  <c r="F84" i="8" l="1"/>
  <c r="G84" i="8"/>
  <c r="B84" i="8"/>
  <c r="C84" i="8"/>
  <c r="D84" i="8"/>
  <c r="E84" i="8"/>
  <c r="A86" i="4"/>
  <c r="B85" i="4"/>
  <c r="M83" i="4"/>
  <c r="L83" i="4"/>
  <c r="D83" i="4"/>
  <c r="E83" i="4" s="1"/>
  <c r="F83" i="4" s="1"/>
  <c r="N84" i="4"/>
  <c r="C84" i="4"/>
  <c r="A86" i="3"/>
  <c r="A85" i="8"/>
  <c r="H83" i="8"/>
  <c r="I83" i="8"/>
  <c r="C85" i="4" l="1"/>
  <c r="N85" i="4"/>
  <c r="B86" i="4"/>
  <c r="A87" i="4"/>
  <c r="A86" i="8"/>
  <c r="A87" i="3"/>
  <c r="L84" i="4"/>
  <c r="M84" i="4"/>
  <c r="D84" i="4"/>
  <c r="E84" i="4" s="1"/>
  <c r="F84" i="4" s="1"/>
  <c r="H84" i="8"/>
  <c r="I84" i="8"/>
  <c r="C85" i="8"/>
  <c r="D85" i="8"/>
  <c r="E85" i="8"/>
  <c r="F85" i="8"/>
  <c r="G85" i="8"/>
  <c r="B85" i="8"/>
  <c r="L85" i="4" l="1"/>
  <c r="M85" i="4"/>
  <c r="D85" i="4"/>
  <c r="E85" i="4" s="1"/>
  <c r="F85" i="4" s="1"/>
  <c r="A87" i="8"/>
  <c r="A88" i="3"/>
  <c r="B86" i="8"/>
  <c r="C86" i="8"/>
  <c r="G86" i="8"/>
  <c r="D86" i="8"/>
  <c r="E86" i="8"/>
  <c r="F86" i="8"/>
  <c r="I85" i="8"/>
  <c r="H85" i="8"/>
  <c r="C86" i="4"/>
  <c r="N86" i="4"/>
  <c r="A88" i="4"/>
  <c r="B87" i="4"/>
  <c r="C87" i="8" l="1"/>
  <c r="D87" i="8"/>
  <c r="E87" i="8"/>
  <c r="F87" i="8"/>
  <c r="B87" i="8"/>
  <c r="G87" i="8"/>
  <c r="A88" i="8"/>
  <c r="A89" i="3"/>
  <c r="A89" i="4"/>
  <c r="B88" i="4"/>
  <c r="C87" i="4"/>
  <c r="N87" i="4"/>
  <c r="D86" i="4"/>
  <c r="E86" i="4" s="1"/>
  <c r="F86" i="4" s="1"/>
  <c r="M86" i="4"/>
  <c r="L86" i="4"/>
  <c r="H86" i="8"/>
  <c r="I86" i="8"/>
  <c r="D87" i="4" l="1"/>
  <c r="E87" i="4" s="1"/>
  <c r="F87" i="4" s="1"/>
  <c r="L87" i="4"/>
  <c r="M87" i="4"/>
  <c r="A89" i="8"/>
  <c r="A90" i="3"/>
  <c r="F88" i="8"/>
  <c r="G88" i="8"/>
  <c r="C88" i="8"/>
  <c r="D88" i="8"/>
  <c r="B88" i="8"/>
  <c r="E88" i="8"/>
  <c r="H87" i="8"/>
  <c r="I87" i="8"/>
  <c r="C88" i="4"/>
  <c r="N88" i="4" s="1"/>
  <c r="B89" i="4"/>
  <c r="A90" i="4"/>
  <c r="D88" i="4" l="1"/>
  <c r="E88" i="4" s="1"/>
  <c r="F88" i="4" s="1"/>
  <c r="L88" i="4"/>
  <c r="M88" i="4"/>
  <c r="A90" i="8"/>
  <c r="A91" i="3"/>
  <c r="C89" i="8"/>
  <c r="D89" i="8"/>
  <c r="E89" i="8"/>
  <c r="F89" i="8"/>
  <c r="G89" i="8"/>
  <c r="B89" i="8"/>
  <c r="B90" i="4"/>
  <c r="A91" i="4"/>
  <c r="C89" i="4"/>
  <c r="H88" i="8"/>
  <c r="I88" i="8"/>
  <c r="B90" i="8" l="1"/>
  <c r="C90" i="8"/>
  <c r="E90" i="8"/>
  <c r="F90" i="8"/>
  <c r="G90" i="8"/>
  <c r="D90" i="8"/>
  <c r="A91" i="8"/>
  <c r="A92" i="3"/>
  <c r="N90" i="4"/>
  <c r="C90" i="4"/>
  <c r="N89" i="4"/>
  <c r="B91" i="4"/>
  <c r="A92" i="4"/>
  <c r="I89" i="8"/>
  <c r="H89" i="8"/>
  <c r="A92" i="8" l="1"/>
  <c r="A93" i="3"/>
  <c r="D89" i="4"/>
  <c r="E89" i="4" s="1"/>
  <c r="F89" i="4" s="1"/>
  <c r="L89" i="4"/>
  <c r="M89" i="4"/>
  <c r="B92" i="4"/>
  <c r="A93" i="4"/>
  <c r="C91" i="4"/>
  <c r="N91" i="4"/>
  <c r="L90" i="4"/>
  <c r="M90" i="4"/>
  <c r="D90" i="4"/>
  <c r="H90" i="8"/>
  <c r="I90" i="8"/>
  <c r="C91" i="8"/>
  <c r="D91" i="8"/>
  <c r="E91" i="8"/>
  <c r="F91" i="8"/>
  <c r="B91" i="8"/>
  <c r="G91" i="8"/>
  <c r="H91" i="8" l="1"/>
  <c r="I91" i="8"/>
  <c r="L91" i="4"/>
  <c r="M91" i="4"/>
  <c r="D91" i="4"/>
  <c r="E91" i="4" s="1"/>
  <c r="F91" i="4" s="1"/>
  <c r="C92" i="4"/>
  <c r="N92" i="4" s="1"/>
  <c r="A94" i="3"/>
  <c r="A93" i="8"/>
  <c r="A94" i="4"/>
  <c r="B93" i="4"/>
  <c r="E90" i="4"/>
  <c r="F90" i="4" s="1"/>
  <c r="F92" i="8"/>
  <c r="G92" i="8"/>
  <c r="D92" i="8"/>
  <c r="B92" i="8"/>
  <c r="C92" i="8"/>
  <c r="E92" i="8"/>
  <c r="L92" i="4" l="1"/>
  <c r="M92" i="4"/>
  <c r="D92" i="4"/>
  <c r="E92" i="4" s="1"/>
  <c r="F92" i="4" s="1"/>
  <c r="C93" i="8"/>
  <c r="D93" i="8"/>
  <c r="E93" i="8"/>
  <c r="F93" i="8"/>
  <c r="G93" i="8"/>
  <c r="B93" i="8"/>
  <c r="A94" i="8"/>
  <c r="A95" i="3"/>
  <c r="C93" i="4"/>
  <c r="A95" i="4"/>
  <c r="B94" i="4"/>
  <c r="H92" i="8"/>
  <c r="I92" i="8"/>
  <c r="A95" i="8" l="1"/>
  <c r="A96" i="3"/>
  <c r="C94" i="4"/>
  <c r="B94" i="8"/>
  <c r="C94" i="8"/>
  <c r="D94" i="8"/>
  <c r="E94" i="8"/>
  <c r="F94" i="8"/>
  <c r="G94" i="8"/>
  <c r="I93" i="8"/>
  <c r="H93" i="8"/>
  <c r="N93" i="4"/>
  <c r="B95" i="4"/>
  <c r="A96" i="4"/>
  <c r="L93" i="4" l="1"/>
  <c r="M93" i="4"/>
  <c r="D93" i="4"/>
  <c r="E93" i="4" s="1"/>
  <c r="F93" i="4" s="1"/>
  <c r="N94" i="4"/>
  <c r="B96" i="4"/>
  <c r="A97" i="4"/>
  <c r="A97" i="3"/>
  <c r="A96" i="8"/>
  <c r="C95" i="4"/>
  <c r="N95" i="4" s="1"/>
  <c r="C95" i="8"/>
  <c r="D95" i="8"/>
  <c r="E95" i="8"/>
  <c r="F95" i="8"/>
  <c r="B95" i="8"/>
  <c r="G95" i="8"/>
  <c r="H94" i="8"/>
  <c r="I94" i="8"/>
  <c r="D95" i="4" l="1"/>
  <c r="M95" i="4"/>
  <c r="L95" i="4"/>
  <c r="A97" i="8"/>
  <c r="A98" i="3"/>
  <c r="A98" i="4"/>
  <c r="B97" i="4"/>
  <c r="C96" i="4"/>
  <c r="N96" i="4" s="1"/>
  <c r="D94" i="4"/>
  <c r="E94" i="4" s="1"/>
  <c r="F94" i="4" s="1"/>
  <c r="M94" i="4"/>
  <c r="L94" i="4"/>
  <c r="F96" i="8"/>
  <c r="G96" i="8"/>
  <c r="B96" i="8"/>
  <c r="D96" i="8"/>
  <c r="E96" i="8"/>
  <c r="C96" i="8"/>
  <c r="H95" i="8"/>
  <c r="I95" i="8"/>
  <c r="L96" i="4" l="1"/>
  <c r="M96" i="4"/>
  <c r="D96" i="4"/>
  <c r="E96" i="4" s="1"/>
  <c r="F96" i="4" s="1"/>
  <c r="A98" i="8"/>
  <c r="A99" i="3"/>
  <c r="H96" i="8"/>
  <c r="I96" i="8"/>
  <c r="C97" i="8"/>
  <c r="D97" i="8"/>
  <c r="E97" i="8"/>
  <c r="F97" i="8"/>
  <c r="G97" i="8"/>
  <c r="B97" i="8"/>
  <c r="C97" i="4"/>
  <c r="N97" i="4" s="1"/>
  <c r="A99" i="4"/>
  <c r="B98" i="4"/>
  <c r="E95" i="4"/>
  <c r="F95" i="4" s="1"/>
  <c r="L97" i="4" l="1"/>
  <c r="M97" i="4"/>
  <c r="D97" i="4"/>
  <c r="E97" i="4" s="1"/>
  <c r="F97" i="4" s="1"/>
  <c r="A99" i="8"/>
  <c r="A100" i="3"/>
  <c r="B98" i="8"/>
  <c r="C98" i="8"/>
  <c r="D98" i="8"/>
  <c r="E98" i="8"/>
  <c r="F98" i="8"/>
  <c r="G98" i="8"/>
  <c r="C98" i="4"/>
  <c r="I97" i="8"/>
  <c r="H97" i="8"/>
  <c r="A100" i="4"/>
  <c r="B99" i="4"/>
  <c r="A101" i="4" l="1"/>
  <c r="B100" i="4"/>
  <c r="A100" i="8"/>
  <c r="A101" i="3"/>
  <c r="C99" i="4"/>
  <c r="C99" i="8"/>
  <c r="D99" i="8"/>
  <c r="E99" i="8"/>
  <c r="F99" i="8"/>
  <c r="B99" i="8"/>
  <c r="G99" i="8"/>
  <c r="I98" i="8"/>
  <c r="H98" i="8"/>
  <c r="N98" i="4"/>
  <c r="A101" i="8" l="1"/>
  <c r="A102" i="3"/>
  <c r="N99" i="4"/>
  <c r="F100" i="8"/>
  <c r="G100" i="8"/>
  <c r="D100" i="8"/>
  <c r="E100" i="8"/>
  <c r="B100" i="8"/>
  <c r="C100" i="8"/>
  <c r="C100" i="4"/>
  <c r="H99" i="8"/>
  <c r="I99" i="8"/>
  <c r="B101" i="4"/>
  <c r="A102" i="4"/>
  <c r="M98" i="4"/>
  <c r="L98" i="4"/>
  <c r="D98" i="4"/>
  <c r="E98" i="4" s="1"/>
  <c r="F98" i="4" s="1"/>
  <c r="C101" i="4" l="1"/>
  <c r="N101" i="4"/>
  <c r="H100" i="8"/>
  <c r="I100" i="8"/>
  <c r="N100" i="4"/>
  <c r="A102" i="8"/>
  <c r="A103" i="3"/>
  <c r="C101" i="8"/>
  <c r="D101" i="8"/>
  <c r="E101" i="8"/>
  <c r="F101" i="8"/>
  <c r="G101" i="8"/>
  <c r="B101" i="8"/>
  <c r="B102" i="4"/>
  <c r="A103" i="4"/>
  <c r="D99" i="4"/>
  <c r="E99" i="4" s="1"/>
  <c r="F99" i="4" s="1"/>
  <c r="L99" i="4"/>
  <c r="M99" i="4"/>
  <c r="B102" i="8" l="1"/>
  <c r="C102" i="8"/>
  <c r="G102" i="8"/>
  <c r="D102" i="8"/>
  <c r="F102" i="8"/>
  <c r="E102" i="8"/>
  <c r="B103" i="4"/>
  <c r="A104" i="4"/>
  <c r="D100" i="4"/>
  <c r="E100" i="4" s="1"/>
  <c r="F100" i="4" s="1"/>
  <c r="L100" i="4"/>
  <c r="M100" i="4"/>
  <c r="N102" i="4"/>
  <c r="C102" i="4"/>
  <c r="I101" i="8"/>
  <c r="H101" i="8"/>
  <c r="D101" i="4"/>
  <c r="E101" i="4" s="1"/>
  <c r="F101" i="4" s="1"/>
  <c r="L101" i="4"/>
  <c r="M101" i="4"/>
  <c r="A103" i="8"/>
  <c r="A104" i="3"/>
  <c r="C103" i="8" l="1"/>
  <c r="D103" i="8"/>
  <c r="E103" i="8"/>
  <c r="F103" i="8"/>
  <c r="B103" i="8"/>
  <c r="G103" i="8"/>
  <c r="D102" i="4"/>
  <c r="E102" i="4" s="1"/>
  <c r="F102" i="4" s="1"/>
  <c r="L102" i="4"/>
  <c r="M102" i="4"/>
  <c r="C103" i="4"/>
  <c r="B104" i="4"/>
  <c r="A105" i="4"/>
  <c r="A104" i="8"/>
  <c r="A105" i="3"/>
  <c r="I102" i="8"/>
  <c r="H102" i="8"/>
  <c r="A105" i="8" l="1"/>
  <c r="A106" i="3"/>
  <c r="C104" i="4"/>
  <c r="H103" i="8"/>
  <c r="I103" i="8"/>
  <c r="F104" i="8"/>
  <c r="G104" i="8"/>
  <c r="B104" i="8"/>
  <c r="C104" i="8"/>
  <c r="D104" i="8"/>
  <c r="E104" i="8"/>
  <c r="N103" i="4"/>
  <c r="B105" i="4"/>
  <c r="A106" i="4"/>
  <c r="A107" i="4" l="1"/>
  <c r="B106" i="4"/>
  <c r="L103" i="4"/>
  <c r="M103" i="4"/>
  <c r="D103" i="4"/>
  <c r="E103" i="4" s="1"/>
  <c r="F103" i="4" s="1"/>
  <c r="N104" i="4"/>
  <c r="H104" i="8"/>
  <c r="I104" i="8"/>
  <c r="A106" i="8"/>
  <c r="A107" i="3"/>
  <c r="C105" i="4"/>
  <c r="C105" i="8"/>
  <c r="D105" i="8"/>
  <c r="E105" i="8"/>
  <c r="F105" i="8"/>
  <c r="G105" i="8"/>
  <c r="B105" i="8"/>
  <c r="A107" i="8" l="1"/>
  <c r="A108" i="3"/>
  <c r="I105" i="8"/>
  <c r="H105" i="8"/>
  <c r="B106" i="8"/>
  <c r="C106" i="8"/>
  <c r="E106" i="8"/>
  <c r="D106" i="8"/>
  <c r="G106" i="8"/>
  <c r="F106" i="8"/>
  <c r="L104" i="4"/>
  <c r="M104" i="4"/>
  <c r="D104" i="4"/>
  <c r="E104" i="4" s="1"/>
  <c r="F104" i="4" s="1"/>
  <c r="N105" i="4"/>
  <c r="C106" i="4"/>
  <c r="B107" i="4"/>
  <c r="A108" i="4"/>
  <c r="B108" i="4" l="1"/>
  <c r="A109" i="4"/>
  <c r="B109" i="4" s="1"/>
  <c r="N106" i="4"/>
  <c r="L105" i="4"/>
  <c r="D105" i="4"/>
  <c r="E105" i="4" s="1"/>
  <c r="F105" i="4" s="1"/>
  <c r="M105" i="4"/>
  <c r="I106" i="8"/>
  <c r="H106" i="8"/>
  <c r="A108" i="8"/>
  <c r="A109" i="3"/>
  <c r="C107" i="4"/>
  <c r="N107" i="4"/>
  <c r="C107" i="8"/>
  <c r="D107" i="8"/>
  <c r="E107" i="8"/>
  <c r="F107" i="8"/>
  <c r="B107" i="8"/>
  <c r="G107" i="8"/>
  <c r="D107" i="4" l="1"/>
  <c r="L107" i="4"/>
  <c r="M107" i="4"/>
  <c r="M106" i="4"/>
  <c r="L106" i="4"/>
  <c r="D106" i="4"/>
  <c r="E106" i="4" s="1"/>
  <c r="F106" i="4" s="1"/>
  <c r="H107" i="8"/>
  <c r="I107" i="8"/>
  <c r="C109" i="4"/>
  <c r="A109" i="8"/>
  <c r="A110" i="3"/>
  <c r="C108" i="4"/>
  <c r="N108" i="4" s="1"/>
  <c r="F108" i="8"/>
  <c r="G108" i="8"/>
  <c r="B108" i="8"/>
  <c r="C108" i="8"/>
  <c r="D108" i="8"/>
  <c r="E108" i="8"/>
  <c r="D108" i="4" l="1"/>
  <c r="E108" i="4" s="1"/>
  <c r="F108" i="4" s="1"/>
  <c r="L108" i="4"/>
  <c r="M108" i="4"/>
  <c r="H108" i="8"/>
  <c r="I108" i="8"/>
  <c r="A110" i="8"/>
  <c r="A111" i="3"/>
  <c r="C109" i="8"/>
  <c r="D109" i="8"/>
  <c r="E109" i="8"/>
  <c r="F109" i="8"/>
  <c r="G109" i="8"/>
  <c r="B109" i="8"/>
  <c r="E107" i="4"/>
  <c r="F107" i="4" s="1"/>
  <c r="N109" i="4"/>
  <c r="A111" i="8" l="1"/>
  <c r="A112" i="3"/>
  <c r="B110" i="8"/>
  <c r="C110" i="8"/>
  <c r="G110" i="8"/>
  <c r="D110" i="8"/>
  <c r="E110" i="8"/>
  <c r="F110" i="8"/>
  <c r="L109" i="4"/>
  <c r="M109" i="4"/>
  <c r="D109" i="4"/>
  <c r="E109" i="4" s="1"/>
  <c r="F109" i="4" s="1"/>
  <c r="I109" i="8"/>
  <c r="H109" i="8"/>
  <c r="H110" i="8" l="1"/>
  <c r="I110" i="8"/>
  <c r="A112" i="8"/>
  <c r="A113" i="3"/>
  <c r="C111" i="8"/>
  <c r="D111" i="8"/>
  <c r="E111" i="8"/>
  <c r="F111" i="8"/>
  <c r="B111" i="8"/>
  <c r="G111" i="8"/>
  <c r="F112" i="8" l="1"/>
  <c r="G112" i="8"/>
  <c r="B112" i="8"/>
  <c r="C112" i="8"/>
  <c r="D112" i="8"/>
  <c r="E112" i="8"/>
  <c r="A113" i="8"/>
  <c r="A114" i="3"/>
  <c r="H111" i="8"/>
  <c r="I111" i="8"/>
  <c r="C113" i="8" l="1"/>
  <c r="D113" i="8"/>
  <c r="E113" i="8"/>
  <c r="F113" i="8"/>
  <c r="G113" i="8"/>
  <c r="B113" i="8"/>
  <c r="A114" i="8"/>
  <c r="A115" i="3"/>
  <c r="H112" i="8"/>
  <c r="I112" i="8"/>
  <c r="A115" i="8" l="1"/>
  <c r="A116" i="3"/>
  <c r="B114" i="8"/>
  <c r="C114" i="8"/>
  <c r="E114" i="8"/>
  <c r="F114" i="8"/>
  <c r="G114" i="8"/>
  <c r="D114" i="8"/>
  <c r="I113" i="8"/>
  <c r="H113" i="8"/>
  <c r="H114" i="8" l="1"/>
  <c r="I114" i="8"/>
  <c r="A116" i="8"/>
  <c r="A117" i="3"/>
  <c r="C115" i="8"/>
  <c r="D115" i="8"/>
  <c r="E115" i="8"/>
  <c r="F115" i="8"/>
  <c r="B115" i="8"/>
  <c r="G115" i="8"/>
  <c r="B116" i="8" l="1"/>
  <c r="C116" i="8"/>
  <c r="F116" i="8"/>
  <c r="G116" i="8"/>
  <c r="E116" i="8"/>
  <c r="D116" i="8"/>
  <c r="A117" i="8"/>
  <c r="A118" i="3"/>
  <c r="H115" i="8"/>
  <c r="I115" i="8"/>
  <c r="B117" i="8" l="1"/>
  <c r="G117" i="8"/>
  <c r="C117" i="8"/>
  <c r="D117" i="8"/>
  <c r="E117" i="8"/>
  <c r="F117" i="8"/>
  <c r="A118" i="8"/>
  <c r="A119" i="3"/>
  <c r="H116" i="8"/>
  <c r="I116" i="8"/>
  <c r="A119" i="8" l="1"/>
  <c r="A120" i="3"/>
  <c r="B118" i="8"/>
  <c r="C118" i="8"/>
  <c r="D118" i="8"/>
  <c r="E118" i="8"/>
  <c r="F118" i="8"/>
  <c r="G118" i="8"/>
  <c r="H117" i="8"/>
  <c r="I117" i="8"/>
  <c r="H118" i="8" l="1"/>
  <c r="I118" i="8"/>
  <c r="A120" i="8"/>
  <c r="A121" i="3"/>
  <c r="E119" i="8"/>
  <c r="F119" i="8"/>
  <c r="G119" i="8"/>
  <c r="C119" i="8"/>
  <c r="D119" i="8"/>
  <c r="B119" i="8"/>
  <c r="H119" i="8" l="1"/>
  <c r="I119" i="8"/>
  <c r="A121" i="8"/>
  <c r="A122" i="3"/>
  <c r="B120" i="8"/>
  <c r="C120" i="8"/>
  <c r="D120" i="8"/>
  <c r="E120" i="8"/>
  <c r="F120" i="8"/>
  <c r="G120" i="8"/>
  <c r="H120" i="8" l="1"/>
  <c r="I120" i="8"/>
  <c r="A122" i="8"/>
  <c r="A123" i="3"/>
  <c r="B121" i="8"/>
  <c r="G121" i="8"/>
  <c r="C121" i="8"/>
  <c r="D121" i="8"/>
  <c r="E121" i="8"/>
  <c r="F121" i="8"/>
  <c r="A123" i="8" l="1"/>
  <c r="A124" i="3"/>
  <c r="H121" i="8"/>
  <c r="I121" i="8"/>
  <c r="B122" i="8"/>
  <c r="C122" i="8"/>
  <c r="D122" i="8"/>
  <c r="E122" i="8"/>
  <c r="F122" i="8"/>
  <c r="G122" i="8"/>
  <c r="H122" i="8" l="1"/>
  <c r="I122" i="8"/>
  <c r="A124" i="8"/>
  <c r="A125" i="3"/>
  <c r="E123" i="8"/>
  <c r="F123" i="8"/>
  <c r="G123" i="8"/>
  <c r="B123" i="8"/>
  <c r="C123" i="8"/>
  <c r="D123" i="8"/>
  <c r="H123" i="8" l="1"/>
  <c r="I123" i="8"/>
  <c r="B124" i="8"/>
  <c r="C124" i="8"/>
  <c r="D124" i="8"/>
  <c r="E124" i="8"/>
  <c r="F124" i="8"/>
  <c r="G124" i="8"/>
  <c r="A125" i="8"/>
  <c r="A126" i="3"/>
  <c r="A126" i="8" l="1"/>
  <c r="A127" i="3"/>
  <c r="B125" i="8"/>
  <c r="G125" i="8"/>
  <c r="E125" i="8"/>
  <c r="F125" i="8"/>
  <c r="C125" i="8"/>
  <c r="D125" i="8"/>
  <c r="H124" i="8"/>
  <c r="I124" i="8"/>
  <c r="H125" i="8" l="1"/>
  <c r="I125" i="8"/>
  <c r="A127" i="8"/>
  <c r="A128" i="3"/>
  <c r="B126" i="8"/>
  <c r="C126" i="8"/>
  <c r="D126" i="8"/>
  <c r="E126" i="8"/>
  <c r="F126" i="8"/>
  <c r="G126" i="8"/>
  <c r="H126" i="8" l="1"/>
  <c r="I126" i="8"/>
  <c r="A128" i="8"/>
  <c r="A129" i="3"/>
  <c r="E127" i="8"/>
  <c r="F127" i="8"/>
  <c r="G127" i="8"/>
  <c r="C127" i="8"/>
  <c r="D127" i="8"/>
  <c r="B127" i="8"/>
  <c r="H127" i="8" l="1"/>
  <c r="I127" i="8"/>
  <c r="A129" i="8"/>
  <c r="A130" i="3"/>
  <c r="B128" i="8"/>
  <c r="C128" i="8"/>
  <c r="F128" i="8"/>
  <c r="G128" i="8"/>
  <c r="D128" i="8"/>
  <c r="E128" i="8"/>
  <c r="A130" i="8" l="1"/>
  <c r="A131" i="3"/>
  <c r="H128" i="8"/>
  <c r="I128" i="8"/>
  <c r="B129" i="8"/>
  <c r="G129" i="8"/>
  <c r="C129" i="8"/>
  <c r="D129" i="8"/>
  <c r="E129" i="8"/>
  <c r="F129" i="8"/>
  <c r="H129" i="8" l="1"/>
  <c r="I129" i="8"/>
  <c r="A131" i="8"/>
  <c r="A132" i="3"/>
  <c r="B130" i="8"/>
  <c r="C130" i="8"/>
  <c r="D130" i="8"/>
  <c r="E130" i="8"/>
  <c r="G130" i="8"/>
  <c r="F130" i="8"/>
  <c r="A132" i="8" l="1"/>
  <c r="A133" i="3"/>
  <c r="E131" i="8"/>
  <c r="F131" i="8"/>
  <c r="G131" i="8"/>
  <c r="C131" i="8"/>
  <c r="D131" i="8"/>
  <c r="B131" i="8"/>
  <c r="H130" i="8"/>
  <c r="I130" i="8"/>
  <c r="A133" i="8" l="1"/>
  <c r="A134" i="3"/>
  <c r="H131" i="8"/>
  <c r="I131" i="8"/>
  <c r="B132" i="8"/>
  <c r="C132" i="8"/>
  <c r="D132" i="8"/>
  <c r="E132" i="8"/>
  <c r="F132" i="8"/>
  <c r="G132" i="8"/>
  <c r="H132" i="8" l="1"/>
  <c r="I132" i="8"/>
  <c r="A134" i="8"/>
  <c r="A135" i="3"/>
  <c r="B133" i="8"/>
  <c r="G133" i="8"/>
  <c r="C133" i="8"/>
  <c r="D133" i="8"/>
  <c r="E133" i="8"/>
  <c r="F133" i="8"/>
  <c r="H133" i="8" l="1"/>
  <c r="I133" i="8"/>
  <c r="A135" i="8"/>
  <c r="A136" i="3"/>
  <c r="B134" i="8"/>
  <c r="C134" i="8"/>
  <c r="D134" i="8"/>
  <c r="E134" i="8"/>
  <c r="F134" i="8"/>
  <c r="G134" i="8"/>
  <c r="E135" i="8" l="1"/>
  <c r="F135" i="8"/>
  <c r="G135" i="8"/>
  <c r="B135" i="8"/>
  <c r="C135" i="8"/>
  <c r="D135" i="8"/>
  <c r="H134" i="8"/>
  <c r="I134" i="8"/>
  <c r="A136" i="8"/>
  <c r="A137" i="3"/>
  <c r="B136" i="8" l="1"/>
  <c r="C136" i="8"/>
  <c r="D136" i="8"/>
  <c r="E136" i="8"/>
  <c r="F136" i="8"/>
  <c r="G136" i="8"/>
  <c r="A137" i="8"/>
  <c r="A138" i="3"/>
  <c r="H135" i="8"/>
  <c r="I135" i="8"/>
  <c r="A138" i="8" l="1"/>
  <c r="A139" i="3"/>
  <c r="B137" i="8"/>
  <c r="G137" i="8"/>
  <c r="E137" i="8"/>
  <c r="F137" i="8"/>
  <c r="D137" i="8"/>
  <c r="C137" i="8"/>
  <c r="H136" i="8"/>
  <c r="I136" i="8"/>
  <c r="H137" i="8" l="1"/>
  <c r="I137" i="8"/>
  <c r="A139" i="8"/>
  <c r="A140" i="3"/>
  <c r="B138" i="8"/>
  <c r="C138" i="8"/>
  <c r="D138" i="8"/>
  <c r="E138" i="8"/>
  <c r="F138" i="8"/>
  <c r="G138" i="8"/>
  <c r="A140" i="8" l="1"/>
  <c r="A141" i="3"/>
  <c r="H138" i="8"/>
  <c r="I138" i="8"/>
  <c r="E139" i="8"/>
  <c r="F139" i="8"/>
  <c r="G139" i="8"/>
  <c r="B139" i="8"/>
  <c r="C139" i="8"/>
  <c r="D139" i="8"/>
  <c r="H139" i="8" l="1"/>
  <c r="I139" i="8"/>
  <c r="A141" i="8"/>
  <c r="A142" i="3"/>
  <c r="B140" i="8"/>
  <c r="C140" i="8"/>
  <c r="F140" i="8"/>
  <c r="G140" i="8"/>
  <c r="D140" i="8"/>
  <c r="E140" i="8"/>
  <c r="H140" i="8" l="1"/>
  <c r="I140" i="8"/>
  <c r="A142" i="8"/>
  <c r="A143" i="3"/>
  <c r="B141" i="8"/>
  <c r="G141" i="8"/>
  <c r="C141" i="8"/>
  <c r="D141" i="8"/>
  <c r="E141" i="8"/>
  <c r="F141" i="8"/>
  <c r="A143" i="8" l="1"/>
  <c r="A144" i="3"/>
  <c r="B142" i="8"/>
  <c r="C142" i="8"/>
  <c r="D142" i="8"/>
  <c r="E142" i="8"/>
  <c r="F142" i="8"/>
  <c r="G142" i="8"/>
  <c r="H141" i="8"/>
  <c r="I141" i="8"/>
  <c r="I142" i="8" l="1"/>
  <c r="H142" i="8"/>
  <c r="A144" i="8"/>
  <c r="A145" i="3"/>
  <c r="E143" i="8"/>
  <c r="F143" i="8"/>
  <c r="G143" i="8"/>
  <c r="C143" i="8"/>
  <c r="D143" i="8"/>
  <c r="B143" i="8"/>
  <c r="H143" i="8" l="1"/>
  <c r="I143" i="8"/>
  <c r="A145" i="8"/>
  <c r="A146" i="3"/>
  <c r="B144" i="8"/>
  <c r="C144" i="8"/>
  <c r="D144" i="8"/>
  <c r="E144" i="8"/>
  <c r="F144" i="8"/>
  <c r="G144" i="8"/>
  <c r="A146" i="8" l="1"/>
  <c r="A147" i="3"/>
  <c r="H144" i="8"/>
  <c r="I144" i="8"/>
  <c r="B145" i="8"/>
  <c r="G145" i="8"/>
  <c r="C145" i="8"/>
  <c r="D145" i="8"/>
  <c r="E145" i="8"/>
  <c r="F145" i="8"/>
  <c r="H145" i="8" l="1"/>
  <c r="I145" i="8"/>
  <c r="A147" i="8"/>
  <c r="A148" i="3"/>
  <c r="B146" i="8"/>
  <c r="C146" i="8"/>
  <c r="D146" i="8"/>
  <c r="E146" i="8"/>
  <c r="G146" i="8"/>
  <c r="F146" i="8"/>
  <c r="H146" i="8" l="1"/>
  <c r="I146" i="8"/>
  <c r="A148" i="8"/>
  <c r="A149" i="3"/>
  <c r="E147" i="8"/>
  <c r="F147" i="8"/>
  <c r="G147" i="8"/>
  <c r="B147" i="8"/>
  <c r="C147" i="8"/>
  <c r="D147" i="8"/>
  <c r="H147" i="8" l="1"/>
  <c r="I147" i="8"/>
  <c r="A149" i="8"/>
  <c r="A150" i="3"/>
  <c r="B148" i="8"/>
  <c r="C148" i="8"/>
  <c r="E148" i="8"/>
  <c r="F148" i="8"/>
  <c r="G148" i="8"/>
  <c r="D148" i="8"/>
  <c r="H148" i="8" l="1"/>
  <c r="I148" i="8"/>
  <c r="A150" i="8"/>
  <c r="A151" i="3"/>
  <c r="B149" i="8"/>
  <c r="G149" i="8"/>
  <c r="E149" i="8"/>
  <c r="F149" i="8"/>
  <c r="C149" i="8"/>
  <c r="D149" i="8"/>
  <c r="H149" i="8" l="1"/>
  <c r="I149" i="8"/>
  <c r="A151" i="8"/>
  <c r="A152" i="3"/>
  <c r="B150" i="8"/>
  <c r="C150" i="8"/>
  <c r="D150" i="8"/>
  <c r="E150" i="8"/>
  <c r="F150" i="8"/>
  <c r="G150" i="8"/>
  <c r="I150" i="8" l="1"/>
  <c r="H150" i="8"/>
  <c r="A152" i="8"/>
  <c r="A153" i="3"/>
  <c r="C151" i="8"/>
  <c r="D151" i="8"/>
  <c r="E151" i="8"/>
  <c r="F151" i="8"/>
  <c r="G151" i="8"/>
  <c r="B151" i="8"/>
  <c r="I151" i="8" l="1"/>
  <c r="H151" i="8"/>
  <c r="A153" i="8"/>
  <c r="A154" i="3"/>
  <c r="F152" i="8"/>
  <c r="G152" i="8"/>
  <c r="B152" i="8"/>
  <c r="C152" i="8"/>
  <c r="D152" i="8"/>
  <c r="E152" i="8"/>
  <c r="H152" i="8" l="1"/>
  <c r="I152" i="8"/>
  <c r="A154" i="8"/>
  <c r="A155" i="3"/>
  <c r="G153" i="8"/>
  <c r="B153" i="8"/>
  <c r="C153" i="8"/>
  <c r="D153" i="8"/>
  <c r="E153" i="8"/>
  <c r="F153" i="8"/>
  <c r="I153" i="8" l="1"/>
  <c r="H153" i="8"/>
  <c r="A155" i="8"/>
  <c r="A156" i="3"/>
  <c r="B154" i="8"/>
  <c r="C154" i="8"/>
  <c r="D154" i="8"/>
  <c r="E154" i="8"/>
  <c r="F154" i="8"/>
  <c r="G154" i="8"/>
  <c r="H154" i="8" l="1"/>
  <c r="I154" i="8"/>
  <c r="A156" i="8"/>
  <c r="A157" i="3"/>
  <c r="C155" i="8"/>
  <c r="D155" i="8"/>
  <c r="E155" i="8"/>
  <c r="F155" i="8"/>
  <c r="G155" i="8"/>
  <c r="B155" i="8"/>
  <c r="I155" i="8" l="1"/>
  <c r="H155" i="8"/>
  <c r="A157" i="8"/>
  <c r="A158" i="3"/>
  <c r="F156" i="8"/>
  <c r="G156" i="8"/>
  <c r="B156" i="8"/>
  <c r="C156" i="8"/>
  <c r="D156" i="8"/>
  <c r="E156" i="8"/>
  <c r="A158" i="8" l="1"/>
  <c r="A159" i="3"/>
  <c r="H156" i="8"/>
  <c r="I156" i="8"/>
  <c r="G157" i="8"/>
  <c r="B157" i="8"/>
  <c r="F157" i="8"/>
  <c r="C157" i="8"/>
  <c r="D157" i="8"/>
  <c r="E157" i="8"/>
  <c r="I157" i="8" l="1"/>
  <c r="H157" i="8"/>
  <c r="A159" i="8"/>
  <c r="A160" i="3"/>
  <c r="B158" i="8"/>
  <c r="C158" i="8"/>
  <c r="D158" i="8"/>
  <c r="E158" i="8"/>
  <c r="F158" i="8"/>
  <c r="G158" i="8"/>
  <c r="I158" i="8" l="1"/>
  <c r="H158" i="8"/>
  <c r="C159" i="8"/>
  <c r="D159" i="8"/>
  <c r="E159" i="8"/>
  <c r="F159" i="8"/>
  <c r="B159" i="8"/>
  <c r="G159" i="8"/>
  <c r="A160" i="8"/>
  <c r="A161" i="3"/>
  <c r="F160" i="8" l="1"/>
  <c r="G160" i="8"/>
  <c r="B160" i="8"/>
  <c r="C160" i="8"/>
  <c r="D160" i="8"/>
  <c r="E160" i="8"/>
  <c r="I159" i="8"/>
  <c r="H159" i="8"/>
  <c r="A161" i="8"/>
  <c r="A162" i="3"/>
  <c r="G161" i="8" l="1"/>
  <c r="B161" i="8"/>
  <c r="C161" i="8"/>
  <c r="D161" i="8"/>
  <c r="E161" i="8"/>
  <c r="F161" i="8"/>
  <c r="A162" i="8"/>
  <c r="A163" i="3"/>
  <c r="H160" i="8"/>
  <c r="I160" i="8"/>
  <c r="B162" i="8" l="1"/>
  <c r="C162" i="8"/>
  <c r="D162" i="8"/>
  <c r="E162" i="8"/>
  <c r="F162" i="8"/>
  <c r="G162" i="8"/>
  <c r="A163" i="8"/>
  <c r="A164" i="3"/>
  <c r="I161" i="8"/>
  <c r="H161" i="8"/>
  <c r="A164" i="8" l="1"/>
  <c r="A165" i="3"/>
  <c r="C163" i="8"/>
  <c r="D163" i="8"/>
  <c r="E163" i="8"/>
  <c r="F163" i="8"/>
  <c r="B163" i="8"/>
  <c r="G163" i="8"/>
  <c r="H162" i="8"/>
  <c r="I162" i="8"/>
  <c r="I163" i="8" l="1"/>
  <c r="H163" i="8"/>
  <c r="A165" i="8"/>
  <c r="A166" i="3"/>
  <c r="F164" i="8"/>
  <c r="G164" i="8"/>
  <c r="B164" i="8"/>
  <c r="C164" i="8"/>
  <c r="D164" i="8"/>
  <c r="E164" i="8"/>
  <c r="H164" i="8" l="1"/>
  <c r="I164" i="8"/>
  <c r="A166" i="8"/>
  <c r="A167" i="3"/>
  <c r="G165" i="8"/>
  <c r="F165" i="8"/>
  <c r="D165" i="8"/>
  <c r="E165" i="8"/>
  <c r="B165" i="8"/>
  <c r="C165" i="8"/>
  <c r="I165" i="8" l="1"/>
  <c r="H165" i="8"/>
  <c r="A167" i="8"/>
  <c r="A168" i="3"/>
  <c r="B166" i="8"/>
  <c r="C166" i="8"/>
  <c r="D166" i="8"/>
  <c r="E166" i="8"/>
  <c r="F166" i="8"/>
  <c r="G166" i="8"/>
  <c r="A168" i="8" l="1"/>
  <c r="A169" i="3"/>
  <c r="C167" i="8"/>
  <c r="D167" i="8"/>
  <c r="E167" i="8"/>
  <c r="F167" i="8"/>
  <c r="B167" i="8"/>
  <c r="G167" i="8"/>
  <c r="H166" i="8"/>
  <c r="I166" i="8"/>
  <c r="I167" i="8" l="1"/>
  <c r="H167" i="8"/>
  <c r="A169" i="8"/>
  <c r="A170" i="3"/>
  <c r="F168" i="8"/>
  <c r="G168" i="8"/>
  <c r="B168" i="8"/>
  <c r="C168" i="8"/>
  <c r="D168" i="8"/>
  <c r="E168" i="8"/>
  <c r="H168" i="8" l="1"/>
  <c r="I168" i="8"/>
  <c r="A170" i="8"/>
  <c r="A171" i="3"/>
  <c r="G169" i="8"/>
  <c r="D169" i="8"/>
  <c r="E169" i="8"/>
  <c r="F169" i="8"/>
  <c r="C169" i="8"/>
  <c r="B169" i="8"/>
  <c r="I169" i="8" l="1"/>
  <c r="H169" i="8"/>
  <c r="A171" i="8"/>
  <c r="A172" i="3"/>
  <c r="B170" i="8"/>
  <c r="C170" i="8"/>
  <c r="D170" i="8"/>
  <c r="E170" i="8"/>
  <c r="F170" i="8"/>
  <c r="G170" i="8"/>
  <c r="H170" i="8" l="1"/>
  <c r="I170" i="8"/>
  <c r="A172" i="8"/>
  <c r="A173" i="3"/>
  <c r="C171" i="8"/>
  <c r="D171" i="8"/>
  <c r="E171" i="8"/>
  <c r="F171" i="8"/>
  <c r="G171" i="8"/>
  <c r="B171" i="8"/>
  <c r="A173" i="8" l="1"/>
  <c r="A174" i="3"/>
  <c r="I171" i="8"/>
  <c r="H171" i="8"/>
  <c r="F172" i="8"/>
  <c r="G172" i="8"/>
  <c r="B172" i="8"/>
  <c r="C172" i="8"/>
  <c r="D172" i="8"/>
  <c r="E172" i="8"/>
  <c r="H172" i="8" l="1"/>
  <c r="I172" i="8"/>
  <c r="A174" i="8"/>
  <c r="A175" i="3"/>
  <c r="G173" i="8"/>
  <c r="B173" i="8"/>
  <c r="C173" i="8"/>
  <c r="D173" i="8"/>
  <c r="E173" i="8"/>
  <c r="F173" i="8"/>
  <c r="A175" i="8" l="1"/>
  <c r="A176" i="3"/>
  <c r="I173" i="8"/>
  <c r="H173" i="8"/>
  <c r="B174" i="8"/>
  <c r="C174" i="8"/>
  <c r="D174" i="8"/>
  <c r="E174" i="8"/>
  <c r="F174" i="8"/>
  <c r="G174" i="8"/>
  <c r="H174" i="8" l="1"/>
  <c r="I174" i="8"/>
  <c r="A176" i="8"/>
  <c r="A177" i="3"/>
  <c r="C175" i="8"/>
  <c r="D175" i="8"/>
  <c r="E175" i="8"/>
  <c r="F175" i="8"/>
  <c r="B175" i="8"/>
  <c r="G175" i="8"/>
  <c r="I175" i="8" l="1"/>
  <c r="H175" i="8"/>
  <c r="F176" i="8"/>
  <c r="G176" i="8"/>
  <c r="B176" i="8"/>
  <c r="C176" i="8"/>
  <c r="D176" i="8"/>
  <c r="E176" i="8"/>
  <c r="A177" i="8"/>
  <c r="A178" i="3"/>
  <c r="H176" i="8" l="1"/>
  <c r="I176" i="8"/>
  <c r="A178" i="8"/>
  <c r="A179" i="3"/>
  <c r="G177" i="8"/>
  <c r="B177" i="8"/>
  <c r="C177" i="8"/>
  <c r="D177" i="8"/>
  <c r="F177" i="8"/>
  <c r="E177" i="8"/>
  <c r="I177" i="8" l="1"/>
  <c r="H177" i="8"/>
  <c r="A179" i="8"/>
  <c r="A180" i="3"/>
  <c r="B178" i="8"/>
  <c r="C178" i="8"/>
  <c r="D178" i="8"/>
  <c r="E178" i="8"/>
  <c r="F178" i="8"/>
  <c r="G178" i="8"/>
  <c r="A180" i="8" l="1"/>
  <c r="A181" i="3"/>
  <c r="H178" i="8"/>
  <c r="I178" i="8"/>
  <c r="C179" i="8"/>
  <c r="D179" i="8"/>
  <c r="E179" i="8"/>
  <c r="F179" i="8"/>
  <c r="G179" i="8"/>
  <c r="B179" i="8"/>
  <c r="I179" i="8" l="1"/>
  <c r="H179" i="8"/>
  <c r="A181" i="8"/>
  <c r="A182" i="3"/>
  <c r="F180" i="8"/>
  <c r="G180" i="8"/>
  <c r="B180" i="8"/>
  <c r="C180" i="8"/>
  <c r="D180" i="8"/>
  <c r="E180" i="8"/>
  <c r="H180" i="8" l="1"/>
  <c r="I180" i="8"/>
  <c r="A182" i="8"/>
  <c r="A183" i="3"/>
  <c r="G181" i="8"/>
  <c r="B181" i="8"/>
  <c r="E181" i="8"/>
  <c r="C181" i="8"/>
  <c r="D181" i="8"/>
  <c r="F181" i="8"/>
  <c r="I181" i="8" l="1"/>
  <c r="H181" i="8"/>
  <c r="A183" i="8"/>
  <c r="A184" i="3"/>
  <c r="B182" i="8"/>
  <c r="C182" i="8"/>
  <c r="D182" i="8"/>
  <c r="E182" i="8"/>
  <c r="F182" i="8"/>
  <c r="G182" i="8"/>
  <c r="I182" i="8" l="1"/>
  <c r="H182" i="8"/>
  <c r="C183" i="8"/>
  <c r="D183" i="8"/>
  <c r="E183" i="8"/>
  <c r="F183" i="8"/>
  <c r="B183" i="8"/>
  <c r="G183" i="8"/>
  <c r="A184" i="8"/>
  <c r="A185" i="3"/>
  <c r="I183" i="8" l="1"/>
  <c r="H183" i="8"/>
  <c r="A185" i="8"/>
  <c r="A186" i="3"/>
  <c r="F184" i="8"/>
  <c r="G184" i="8"/>
  <c r="B184" i="8"/>
  <c r="C184" i="8"/>
  <c r="D184" i="8"/>
  <c r="E184" i="8"/>
  <c r="H184" i="8" l="1"/>
  <c r="I184" i="8"/>
  <c r="A186" i="8"/>
  <c r="A187" i="3"/>
  <c r="G185" i="8"/>
  <c r="B185" i="8"/>
  <c r="C185" i="8"/>
  <c r="D185" i="8"/>
  <c r="E185" i="8"/>
  <c r="F185" i="8"/>
  <c r="I185" i="8" l="1"/>
  <c r="H185" i="8"/>
  <c r="A187" i="8"/>
  <c r="A188" i="3"/>
  <c r="B186" i="8"/>
  <c r="C186" i="8"/>
  <c r="D186" i="8"/>
  <c r="E186" i="8"/>
  <c r="F186" i="8"/>
  <c r="G186" i="8"/>
  <c r="H186" i="8" l="1"/>
  <c r="I186" i="8"/>
  <c r="A188" i="8"/>
  <c r="A189" i="3"/>
  <c r="C187" i="8"/>
  <c r="D187" i="8"/>
  <c r="E187" i="8"/>
  <c r="F187" i="8"/>
  <c r="B187" i="8"/>
  <c r="G187" i="8"/>
  <c r="I187" i="8" l="1"/>
  <c r="H187" i="8"/>
  <c r="A189" i="8"/>
  <c r="A190" i="3"/>
  <c r="F188" i="8"/>
  <c r="G188" i="8"/>
  <c r="B188" i="8"/>
  <c r="C188" i="8"/>
  <c r="D188" i="8"/>
  <c r="E188" i="8"/>
  <c r="H188" i="8" l="1"/>
  <c r="I188" i="8"/>
  <c r="A190" i="8"/>
  <c r="A191" i="3"/>
  <c r="G189" i="8"/>
  <c r="F189" i="8"/>
  <c r="C189" i="8"/>
  <c r="D189" i="8"/>
  <c r="E189" i="8"/>
  <c r="B189" i="8"/>
  <c r="A191" i="8" l="1"/>
  <c r="A192" i="3"/>
  <c r="B190" i="8"/>
  <c r="C190" i="8"/>
  <c r="D190" i="8"/>
  <c r="E190" i="8"/>
  <c r="F190" i="8"/>
  <c r="G190" i="8"/>
  <c r="I189" i="8"/>
  <c r="H189" i="8"/>
  <c r="A192" i="8" l="1"/>
  <c r="A193" i="3"/>
  <c r="H190" i="8"/>
  <c r="I190" i="8"/>
  <c r="C191" i="8"/>
  <c r="D191" i="8"/>
  <c r="E191" i="8"/>
  <c r="F191" i="8"/>
  <c r="B191" i="8"/>
  <c r="G191" i="8"/>
  <c r="I191" i="8" l="1"/>
  <c r="H191" i="8"/>
  <c r="A193" i="8"/>
  <c r="A194" i="3"/>
  <c r="F192" i="8"/>
  <c r="G192" i="8"/>
  <c r="B192" i="8"/>
  <c r="C192" i="8"/>
  <c r="D192" i="8"/>
  <c r="E192" i="8"/>
  <c r="H192" i="8" l="1"/>
  <c r="I192" i="8"/>
  <c r="A194" i="8"/>
  <c r="A195" i="3"/>
  <c r="G193" i="8"/>
  <c r="D193" i="8"/>
  <c r="E193" i="8"/>
  <c r="F193" i="8"/>
  <c r="B193" i="8"/>
  <c r="C193" i="8"/>
  <c r="B194" i="8" l="1"/>
  <c r="C194" i="8"/>
  <c r="D194" i="8"/>
  <c r="E194" i="8"/>
  <c r="F194" i="8"/>
  <c r="G194" i="8"/>
  <c r="I193" i="8"/>
  <c r="H193" i="8"/>
  <c r="A195" i="8"/>
  <c r="A196" i="3"/>
  <c r="C195" i="8" l="1"/>
  <c r="D195" i="8"/>
  <c r="E195" i="8"/>
  <c r="F195" i="8"/>
  <c r="B195" i="8"/>
  <c r="G195" i="8"/>
  <c r="A196" i="8"/>
  <c r="A197" i="3"/>
  <c r="H194" i="8"/>
  <c r="I194" i="8"/>
  <c r="A197" i="8" l="1"/>
  <c r="A198" i="3"/>
  <c r="F196" i="8"/>
  <c r="G196" i="8"/>
  <c r="B196" i="8"/>
  <c r="C196" i="8"/>
  <c r="D196" i="8"/>
  <c r="E196" i="8"/>
  <c r="I195" i="8"/>
  <c r="H195" i="8"/>
  <c r="G197" i="8" l="1"/>
  <c r="B197" i="8"/>
  <c r="C197" i="8"/>
  <c r="D197" i="8"/>
  <c r="E197" i="8"/>
  <c r="F197" i="8"/>
  <c r="H196" i="8"/>
  <c r="I196" i="8"/>
  <c r="A198" i="8"/>
  <c r="A199" i="3"/>
  <c r="A199" i="8" l="1"/>
  <c r="A200" i="3"/>
  <c r="B198" i="8"/>
  <c r="C198" i="8"/>
  <c r="D198" i="8"/>
  <c r="E198" i="8"/>
  <c r="F198" i="8"/>
  <c r="G198" i="8"/>
  <c r="I197" i="8"/>
  <c r="H197" i="8"/>
  <c r="H198" i="8" l="1"/>
  <c r="I198" i="8"/>
  <c r="A200" i="8"/>
  <c r="A201" i="3"/>
  <c r="C199" i="8"/>
  <c r="D199" i="8"/>
  <c r="E199" i="8"/>
  <c r="F199" i="8"/>
  <c r="G199" i="8"/>
  <c r="B199" i="8"/>
  <c r="I199" i="8" l="1"/>
  <c r="H199" i="8"/>
  <c r="A201" i="8"/>
  <c r="A202" i="3"/>
  <c r="F200" i="8"/>
  <c r="G200" i="8"/>
  <c r="B200" i="8"/>
  <c r="C200" i="8"/>
  <c r="D200" i="8"/>
  <c r="E200" i="8"/>
  <c r="G201" i="8" l="1"/>
  <c r="B201" i="8"/>
  <c r="C201" i="8"/>
  <c r="D201" i="8"/>
  <c r="E201" i="8"/>
  <c r="F201" i="8"/>
  <c r="H200" i="8"/>
  <c r="I200" i="8"/>
  <c r="A202" i="8"/>
  <c r="A203" i="3"/>
  <c r="A203" i="8" l="1"/>
  <c r="A204" i="3"/>
  <c r="B202" i="8"/>
  <c r="C202" i="8"/>
  <c r="D202" i="8"/>
  <c r="E202" i="8"/>
  <c r="F202" i="8"/>
  <c r="G202" i="8"/>
  <c r="I201" i="8"/>
  <c r="H201" i="8"/>
  <c r="A204" i="8" l="1"/>
  <c r="A205" i="3"/>
  <c r="H202" i="8"/>
  <c r="I202" i="8"/>
  <c r="C203" i="8"/>
  <c r="D203" i="8"/>
  <c r="E203" i="8"/>
  <c r="F203" i="8"/>
  <c r="G203" i="8"/>
  <c r="B203" i="8"/>
  <c r="I203" i="8" l="1"/>
  <c r="H203" i="8"/>
  <c r="F204" i="8"/>
  <c r="G204" i="8"/>
  <c r="B204" i="8"/>
  <c r="C204" i="8"/>
  <c r="D204" i="8"/>
  <c r="E204" i="8"/>
  <c r="A205" i="8"/>
  <c r="A206" i="3"/>
  <c r="A206" i="8" l="1"/>
  <c r="A207" i="3"/>
  <c r="G205" i="8"/>
  <c r="B205" i="8"/>
  <c r="D205" i="8"/>
  <c r="C205" i="8"/>
  <c r="E205" i="8"/>
  <c r="F205" i="8"/>
  <c r="H204" i="8"/>
  <c r="I204" i="8"/>
  <c r="I205" i="8" l="1"/>
  <c r="H205" i="8"/>
  <c r="A207" i="8"/>
  <c r="A208" i="3"/>
  <c r="B206" i="8"/>
  <c r="C206" i="8"/>
  <c r="D206" i="8"/>
  <c r="E206" i="8"/>
  <c r="F206" i="8"/>
  <c r="G206" i="8"/>
  <c r="H206" i="8" l="1"/>
  <c r="I206" i="8"/>
  <c r="A208" i="8"/>
  <c r="A209" i="3"/>
  <c r="C207" i="8"/>
  <c r="D207" i="8"/>
  <c r="E207" i="8"/>
  <c r="F207" i="8"/>
  <c r="B207" i="8"/>
  <c r="G207" i="8"/>
  <c r="I207" i="8" l="1"/>
  <c r="H207" i="8"/>
  <c r="A209" i="8"/>
  <c r="A210" i="3"/>
  <c r="F208" i="8"/>
  <c r="G208" i="8"/>
  <c r="B208" i="8"/>
  <c r="C208" i="8"/>
  <c r="D208" i="8"/>
  <c r="E208" i="8"/>
  <c r="H208" i="8" l="1"/>
  <c r="I208" i="8"/>
  <c r="A210" i="8"/>
  <c r="A211" i="3"/>
  <c r="G209" i="8"/>
  <c r="B209" i="8"/>
  <c r="F209" i="8"/>
  <c r="D209" i="8"/>
  <c r="E209" i="8"/>
  <c r="C209" i="8"/>
  <c r="A211" i="8" l="1"/>
  <c r="A212" i="3"/>
  <c r="B210" i="8"/>
  <c r="C210" i="8"/>
  <c r="D210" i="8"/>
  <c r="E210" i="8"/>
  <c r="F210" i="8"/>
  <c r="G210" i="8"/>
  <c r="I209" i="8"/>
  <c r="H209" i="8"/>
  <c r="A212" i="8" l="1"/>
  <c r="A213" i="3"/>
  <c r="H210" i="8"/>
  <c r="I210" i="8"/>
  <c r="C211" i="8"/>
  <c r="D211" i="8"/>
  <c r="E211" i="8"/>
  <c r="F211" i="8"/>
  <c r="B211" i="8"/>
  <c r="G211" i="8"/>
  <c r="A213" i="8" l="1"/>
  <c r="A214" i="3"/>
  <c r="I211" i="8"/>
  <c r="H211" i="8"/>
  <c r="F212" i="8"/>
  <c r="G212" i="8"/>
  <c r="B212" i="8"/>
  <c r="C212" i="8"/>
  <c r="D212" i="8"/>
  <c r="E212" i="8"/>
  <c r="A214" i="8" l="1"/>
  <c r="A215" i="3"/>
  <c r="H212" i="8"/>
  <c r="I212" i="8"/>
  <c r="G213" i="8"/>
  <c r="F213" i="8"/>
  <c r="B213" i="8"/>
  <c r="C213" i="8"/>
  <c r="D213" i="8"/>
  <c r="E213" i="8"/>
  <c r="A215" i="8" l="1"/>
  <c r="A216" i="3"/>
  <c r="I213" i="8"/>
  <c r="H213" i="8"/>
  <c r="B214" i="8"/>
  <c r="C214" i="8"/>
  <c r="D214" i="8"/>
  <c r="E214" i="8"/>
  <c r="F214" i="8"/>
  <c r="G214" i="8"/>
  <c r="H214" i="8" l="1"/>
  <c r="I214" i="8"/>
  <c r="A216" i="8"/>
  <c r="A217" i="3"/>
  <c r="C215" i="8"/>
  <c r="D215" i="8"/>
  <c r="E215" i="8"/>
  <c r="F215" i="8"/>
  <c r="G215" i="8"/>
  <c r="B215" i="8"/>
  <c r="I215" i="8" l="1"/>
  <c r="H215" i="8"/>
  <c r="A217" i="8"/>
  <c r="A218" i="3"/>
  <c r="F216" i="8"/>
  <c r="G216" i="8"/>
  <c r="B216" i="8"/>
  <c r="C216" i="8"/>
  <c r="D216" i="8"/>
  <c r="E216" i="8"/>
  <c r="H216" i="8" l="1"/>
  <c r="I216" i="8"/>
  <c r="G217" i="8"/>
  <c r="D217" i="8"/>
  <c r="E217" i="8"/>
  <c r="F217" i="8"/>
  <c r="B217" i="8"/>
  <c r="C217" i="8"/>
  <c r="A218" i="8"/>
  <c r="A219" i="3"/>
  <c r="A219" i="8" l="1"/>
  <c r="A220" i="3"/>
  <c r="B218" i="8"/>
  <c r="C218" i="8"/>
  <c r="D218" i="8"/>
  <c r="E218" i="8"/>
  <c r="F218" i="8"/>
  <c r="G218" i="8"/>
  <c r="I217" i="8"/>
  <c r="H217" i="8"/>
  <c r="A220" i="8" l="1"/>
  <c r="A221" i="3"/>
  <c r="H218" i="8"/>
  <c r="I218" i="8"/>
  <c r="C219" i="8"/>
  <c r="D219" i="8"/>
  <c r="E219" i="8"/>
  <c r="F219" i="8"/>
  <c r="B219" i="8"/>
  <c r="G219" i="8"/>
  <c r="I219" i="8" l="1"/>
  <c r="H219" i="8"/>
  <c r="A221" i="8"/>
  <c r="A222" i="3"/>
  <c r="F220" i="8"/>
  <c r="G220" i="8"/>
  <c r="B220" i="8"/>
  <c r="C220" i="8"/>
  <c r="D220" i="8"/>
  <c r="E220" i="8"/>
  <c r="H220" i="8" l="1"/>
  <c r="I220" i="8"/>
  <c r="A222" i="8"/>
  <c r="A223" i="3"/>
  <c r="G221" i="8"/>
  <c r="B221" i="8"/>
  <c r="C221" i="8"/>
  <c r="D221" i="8"/>
  <c r="E221" i="8"/>
  <c r="F221" i="8"/>
  <c r="I221" i="8" l="1"/>
  <c r="H221" i="8"/>
  <c r="B222" i="8"/>
  <c r="C222" i="8"/>
  <c r="D222" i="8"/>
  <c r="E222" i="8"/>
  <c r="F222" i="8"/>
  <c r="G222" i="8"/>
  <c r="A223" i="8"/>
  <c r="A224" i="3"/>
  <c r="C223" i="8" l="1"/>
  <c r="D223" i="8"/>
  <c r="E223" i="8"/>
  <c r="F223" i="8"/>
  <c r="G223" i="8"/>
  <c r="B223" i="8"/>
  <c r="A224" i="8"/>
  <c r="A225" i="3"/>
  <c r="I222" i="8"/>
  <c r="H222" i="8"/>
  <c r="F224" i="8" l="1"/>
  <c r="G224" i="8"/>
  <c r="B224" i="8"/>
  <c r="C224" i="8"/>
  <c r="D224" i="8"/>
  <c r="E224" i="8"/>
  <c r="A225" i="8"/>
  <c r="A226" i="3"/>
  <c r="I223" i="8"/>
  <c r="H223" i="8"/>
  <c r="A226" i="8" l="1"/>
  <c r="A227" i="3"/>
  <c r="H224" i="8"/>
  <c r="I224" i="8"/>
  <c r="G225" i="8"/>
  <c r="B225" i="8"/>
  <c r="C225" i="8"/>
  <c r="D225" i="8"/>
  <c r="E225" i="8"/>
  <c r="F225" i="8"/>
  <c r="I225" i="8" l="1"/>
  <c r="H225" i="8"/>
  <c r="A228" i="3"/>
  <c r="A227" i="8"/>
  <c r="B226" i="8"/>
  <c r="C226" i="8"/>
  <c r="D226" i="8"/>
  <c r="E226" i="8"/>
  <c r="F226" i="8"/>
  <c r="G226" i="8"/>
  <c r="H226" i="8" l="1"/>
  <c r="I226" i="8"/>
  <c r="C227" i="8"/>
  <c r="D227" i="8"/>
  <c r="E227" i="8"/>
  <c r="F227" i="8"/>
  <c r="G227" i="8"/>
  <c r="B227" i="8"/>
  <c r="A228" i="8"/>
  <c r="A229" i="3"/>
  <c r="F228" i="8" l="1"/>
  <c r="G228" i="8"/>
  <c r="B228" i="8"/>
  <c r="C228" i="8"/>
  <c r="D228" i="8"/>
  <c r="E228" i="8"/>
  <c r="A229" i="8"/>
  <c r="A230" i="3"/>
  <c r="I227" i="8"/>
  <c r="H227" i="8"/>
  <c r="A230" i="8" l="1"/>
  <c r="A231" i="3"/>
  <c r="H228" i="8"/>
  <c r="I228" i="8"/>
  <c r="G229" i="8"/>
  <c r="B229" i="8"/>
  <c r="C229" i="8"/>
  <c r="F229" i="8"/>
  <c r="D229" i="8"/>
  <c r="E229" i="8"/>
  <c r="I229" i="8" l="1"/>
  <c r="H229" i="8"/>
  <c r="A231" i="8"/>
  <c r="A232" i="3"/>
  <c r="B230" i="8"/>
  <c r="C230" i="8"/>
  <c r="D230" i="8"/>
  <c r="E230" i="8"/>
  <c r="F230" i="8"/>
  <c r="G230" i="8"/>
  <c r="A232" i="8" l="1"/>
  <c r="A233" i="3"/>
  <c r="B231" i="8"/>
  <c r="F231" i="8"/>
  <c r="C231" i="8"/>
  <c r="D231" i="8"/>
  <c r="E231" i="8"/>
  <c r="G231" i="8"/>
  <c r="I230" i="8"/>
  <c r="H230" i="8"/>
  <c r="A233" i="8" l="1"/>
  <c r="A234" i="3"/>
  <c r="H231" i="8"/>
  <c r="I231" i="8"/>
  <c r="B232" i="8"/>
  <c r="C232" i="8"/>
  <c r="E232" i="8"/>
  <c r="F232" i="8"/>
  <c r="G232" i="8"/>
  <c r="D232" i="8"/>
  <c r="A234" i="8" l="1"/>
  <c r="A235" i="3"/>
  <c r="H232" i="8"/>
  <c r="I232" i="8"/>
  <c r="E233" i="8"/>
  <c r="F233" i="8"/>
  <c r="C233" i="8"/>
  <c r="B233" i="8"/>
  <c r="D233" i="8"/>
  <c r="G233" i="8"/>
  <c r="H233" i="8" l="1"/>
  <c r="I233" i="8"/>
  <c r="A235" i="8"/>
  <c r="A236" i="3"/>
  <c r="D234" i="8"/>
  <c r="E234" i="8"/>
  <c r="F234" i="8"/>
  <c r="G234" i="8"/>
  <c r="B234" i="8"/>
  <c r="C234" i="8"/>
  <c r="H234" i="8" l="1"/>
  <c r="I234" i="8"/>
  <c r="A236" i="8"/>
  <c r="A237" i="3"/>
  <c r="B235" i="8"/>
  <c r="C235" i="8"/>
  <c r="G235" i="8"/>
  <c r="F235" i="8"/>
  <c r="D235" i="8"/>
  <c r="E235" i="8"/>
  <c r="H235" i="8" l="1"/>
  <c r="I235" i="8"/>
  <c r="A237" i="8"/>
  <c r="A238" i="3"/>
  <c r="B236" i="8"/>
  <c r="C236" i="8"/>
  <c r="E236" i="8"/>
  <c r="D236" i="8"/>
  <c r="F236" i="8"/>
  <c r="G236" i="8"/>
  <c r="H236" i="8" l="1"/>
  <c r="I236" i="8"/>
  <c r="A238" i="8"/>
  <c r="A239" i="3"/>
  <c r="E237" i="8"/>
  <c r="F237" i="8"/>
  <c r="B237" i="8"/>
  <c r="C237" i="8"/>
  <c r="D237" i="8"/>
  <c r="G237" i="8"/>
  <c r="H237" i="8" l="1"/>
  <c r="I237" i="8"/>
  <c r="A239" i="8"/>
  <c r="A240" i="3"/>
  <c r="B238" i="8"/>
  <c r="C238" i="8"/>
  <c r="D238" i="8"/>
  <c r="E238" i="8"/>
  <c r="F238" i="8"/>
  <c r="G238" i="8"/>
  <c r="B239" i="8" l="1"/>
  <c r="C239" i="8"/>
  <c r="D239" i="8"/>
  <c r="E239" i="8"/>
  <c r="F239" i="8"/>
  <c r="G239" i="8"/>
  <c r="A240" i="8"/>
  <c r="A241" i="3"/>
  <c r="H238" i="8"/>
  <c r="I238" i="8"/>
  <c r="A241" i="8" l="1"/>
  <c r="A242" i="3"/>
  <c r="B240" i="8"/>
  <c r="C240" i="8"/>
  <c r="E240" i="8"/>
  <c r="D240" i="8"/>
  <c r="F240" i="8"/>
  <c r="G240" i="8"/>
  <c r="H239" i="8"/>
  <c r="I239" i="8"/>
  <c r="H240" i="8" l="1"/>
  <c r="I240" i="8"/>
  <c r="A242" i="8"/>
  <c r="A243" i="3"/>
  <c r="E241" i="8"/>
  <c r="F241" i="8"/>
  <c r="G241" i="8"/>
  <c r="B241" i="8"/>
  <c r="C241" i="8"/>
  <c r="D241" i="8"/>
  <c r="H241" i="8" l="1"/>
  <c r="I241" i="8"/>
  <c r="A243" i="8"/>
  <c r="A244" i="3"/>
  <c r="B242" i="8"/>
  <c r="C242" i="8"/>
  <c r="D242" i="8"/>
  <c r="E242" i="8"/>
  <c r="F242" i="8"/>
  <c r="G242" i="8"/>
  <c r="H242" i="8" l="1"/>
  <c r="I242" i="8"/>
  <c r="A244" i="8"/>
  <c r="A245" i="3"/>
  <c r="B243" i="8"/>
  <c r="E243" i="8"/>
  <c r="F243" i="8"/>
  <c r="G243" i="8"/>
  <c r="C243" i="8"/>
  <c r="D243" i="8"/>
  <c r="H243" i="8" l="1"/>
  <c r="I243" i="8"/>
  <c r="A245" i="8"/>
  <c r="A246" i="3"/>
  <c r="B244" i="8"/>
  <c r="C244" i="8"/>
  <c r="E244" i="8"/>
  <c r="D244" i="8"/>
  <c r="F244" i="8"/>
  <c r="G244" i="8"/>
  <c r="I244" i="8" l="1"/>
  <c r="H244" i="8"/>
  <c r="A246" i="8"/>
  <c r="A247" i="3"/>
  <c r="E245" i="8"/>
  <c r="F245" i="8"/>
  <c r="B245" i="8"/>
  <c r="C245" i="8"/>
  <c r="D245" i="8"/>
  <c r="G245" i="8"/>
  <c r="H245" i="8" l="1"/>
  <c r="I245" i="8"/>
  <c r="A247" i="8"/>
  <c r="A248" i="3"/>
  <c r="D246" i="8"/>
  <c r="E246" i="8"/>
  <c r="F246" i="8"/>
  <c r="G246" i="8"/>
  <c r="B246" i="8"/>
  <c r="C246" i="8"/>
  <c r="A248" i="8" l="1"/>
  <c r="A249" i="3"/>
  <c r="H246" i="8"/>
  <c r="I246" i="8"/>
  <c r="B247" i="8"/>
  <c r="C247" i="8"/>
  <c r="D247" i="8"/>
  <c r="E247" i="8"/>
  <c r="F247" i="8"/>
  <c r="G247" i="8"/>
  <c r="I247" i="8" l="1"/>
  <c r="H247" i="8"/>
  <c r="A249" i="8"/>
  <c r="A250" i="3"/>
  <c r="B248" i="8"/>
  <c r="C248" i="8"/>
  <c r="E248" i="8"/>
  <c r="F248" i="8"/>
  <c r="G248" i="8"/>
  <c r="D248" i="8"/>
  <c r="H248" i="8" l="1"/>
  <c r="I248" i="8"/>
  <c r="A250" i="8"/>
  <c r="A251" i="3"/>
  <c r="E249" i="8"/>
  <c r="F249" i="8"/>
  <c r="B249" i="8"/>
  <c r="C249" i="8"/>
  <c r="D249" i="8"/>
  <c r="G249" i="8"/>
  <c r="H249" i="8" l="1"/>
  <c r="I249" i="8"/>
  <c r="A251" i="8"/>
  <c r="A252" i="3"/>
  <c r="E250" i="8"/>
  <c r="F250" i="8"/>
  <c r="G250" i="8"/>
  <c r="B250" i="8"/>
  <c r="C250" i="8"/>
  <c r="D250" i="8"/>
  <c r="H250" i="8" l="1"/>
  <c r="I250" i="8"/>
  <c r="A252" i="8"/>
  <c r="A253" i="3"/>
  <c r="B251" i="8"/>
  <c r="G251" i="8"/>
  <c r="C251" i="8"/>
  <c r="D251" i="8"/>
  <c r="E251" i="8"/>
  <c r="F251" i="8"/>
  <c r="H251" i="8" l="1"/>
  <c r="I251" i="8"/>
  <c r="A253" i="8"/>
  <c r="A254" i="3"/>
  <c r="B252" i="8"/>
  <c r="C252" i="8"/>
  <c r="E252" i="8"/>
  <c r="D252" i="8"/>
  <c r="F252" i="8"/>
  <c r="G252" i="8"/>
  <c r="H252" i="8" l="1"/>
  <c r="I252" i="8"/>
  <c r="A254" i="8"/>
  <c r="A255" i="3"/>
  <c r="E253" i="8"/>
  <c r="F253" i="8"/>
  <c r="B253" i="8"/>
  <c r="C253" i="8"/>
  <c r="D253" i="8"/>
  <c r="G253" i="8"/>
  <c r="H253" i="8" l="1"/>
  <c r="I253" i="8"/>
  <c r="B254" i="8"/>
  <c r="C254" i="8"/>
  <c r="D254" i="8"/>
  <c r="E254" i="8"/>
  <c r="F254" i="8"/>
  <c r="G254" i="8"/>
  <c r="A255" i="8"/>
  <c r="A256" i="3"/>
  <c r="B255" i="8" l="1"/>
  <c r="C255" i="8"/>
  <c r="G255" i="8"/>
  <c r="D255" i="8"/>
  <c r="E255" i="8"/>
  <c r="F255" i="8"/>
  <c r="A256" i="8"/>
  <c r="A257" i="3"/>
  <c r="H254" i="8"/>
  <c r="I254" i="8"/>
  <c r="B256" i="8" l="1"/>
  <c r="C256" i="8"/>
  <c r="E256" i="8"/>
  <c r="D256" i="8"/>
  <c r="G256" i="8"/>
  <c r="F256" i="8"/>
  <c r="A257" i="8"/>
  <c r="A258" i="3"/>
  <c r="H255" i="8"/>
  <c r="I255" i="8"/>
  <c r="E257" i="8" l="1"/>
  <c r="F257" i="8"/>
  <c r="G257" i="8"/>
  <c r="B257" i="8"/>
  <c r="C257" i="8"/>
  <c r="D257" i="8"/>
  <c r="A258" i="8"/>
  <c r="A259" i="3"/>
  <c r="H256" i="8"/>
  <c r="I256" i="8"/>
  <c r="A259" i="8" l="1"/>
  <c r="A260" i="3"/>
  <c r="B258" i="8"/>
  <c r="C258" i="8"/>
  <c r="D258" i="8"/>
  <c r="E258" i="8"/>
  <c r="F258" i="8"/>
  <c r="G258" i="8"/>
  <c r="H257" i="8"/>
  <c r="I257" i="8"/>
  <c r="H258" i="8" l="1"/>
  <c r="I258" i="8"/>
  <c r="A260" i="8"/>
  <c r="A261" i="3"/>
  <c r="B259" i="8"/>
  <c r="E259" i="8"/>
  <c r="F259" i="8"/>
  <c r="G259" i="8"/>
  <c r="C259" i="8"/>
  <c r="D259" i="8"/>
  <c r="H259" i="8" l="1"/>
  <c r="I259" i="8"/>
  <c r="A261" i="8"/>
  <c r="A262" i="3"/>
  <c r="B260" i="8"/>
  <c r="C260" i="8"/>
  <c r="E260" i="8"/>
  <c r="D260" i="8"/>
  <c r="F260" i="8"/>
  <c r="G260" i="8"/>
  <c r="I260" i="8" l="1"/>
  <c r="H260" i="8"/>
  <c r="E261" i="8"/>
  <c r="F261" i="8"/>
  <c r="B261" i="8"/>
  <c r="C261" i="8"/>
  <c r="D261" i="8"/>
  <c r="G261" i="8"/>
  <c r="A262" i="8"/>
  <c r="A263" i="3"/>
  <c r="A263" i="8" l="1"/>
  <c r="A264" i="3"/>
  <c r="D262" i="8"/>
  <c r="E262" i="8"/>
  <c r="F262" i="8"/>
  <c r="G262" i="8"/>
  <c r="B262" i="8"/>
  <c r="C262" i="8"/>
  <c r="H261" i="8"/>
  <c r="I261" i="8"/>
  <c r="A264" i="8" l="1"/>
  <c r="A265" i="3"/>
  <c r="H262" i="8"/>
  <c r="I262" i="8"/>
  <c r="B263" i="8"/>
  <c r="C263" i="8"/>
  <c r="D263" i="8"/>
  <c r="E263" i="8"/>
  <c r="F263" i="8"/>
  <c r="G263" i="8"/>
  <c r="I263" i="8" l="1"/>
  <c r="H263" i="8"/>
  <c r="A265" i="8"/>
  <c r="A266" i="3"/>
  <c r="B264" i="8"/>
  <c r="C264" i="8"/>
  <c r="E264" i="8"/>
  <c r="F264" i="8"/>
  <c r="G264" i="8"/>
  <c r="D264" i="8"/>
  <c r="H264" i="8" l="1"/>
  <c r="I264" i="8"/>
  <c r="A266" i="8"/>
  <c r="A267" i="3"/>
  <c r="E265" i="8"/>
  <c r="F265" i="8"/>
  <c r="B265" i="8"/>
  <c r="C265" i="8"/>
  <c r="D265" i="8"/>
  <c r="G265" i="8"/>
  <c r="H265" i="8" l="1"/>
  <c r="I265" i="8"/>
  <c r="A267" i="8"/>
  <c r="A268" i="3"/>
  <c r="E266" i="8"/>
  <c r="F266" i="8"/>
  <c r="G266" i="8"/>
  <c r="B266" i="8"/>
  <c r="C266" i="8"/>
  <c r="D266" i="8"/>
  <c r="H266" i="8" l="1"/>
  <c r="I266" i="8"/>
  <c r="B267" i="8"/>
  <c r="G267" i="8"/>
  <c r="C267" i="8"/>
  <c r="D267" i="8"/>
  <c r="E267" i="8"/>
  <c r="F267" i="8"/>
  <c r="A268" i="8"/>
  <c r="A269" i="3"/>
  <c r="B268" i="8" l="1"/>
  <c r="C268" i="8"/>
  <c r="D268" i="8"/>
  <c r="E268" i="8"/>
  <c r="F268" i="8"/>
  <c r="G268" i="8"/>
  <c r="H267" i="8"/>
  <c r="I267" i="8"/>
  <c r="A269" i="8"/>
  <c r="A270" i="3"/>
  <c r="A270" i="8" l="1"/>
  <c r="A271" i="3"/>
  <c r="E269" i="8"/>
  <c r="F269" i="8"/>
  <c r="G269" i="8"/>
  <c r="B269" i="8"/>
  <c r="C269" i="8"/>
  <c r="D269" i="8"/>
  <c r="H268" i="8"/>
  <c r="I268" i="8"/>
  <c r="H269" i="8" l="1"/>
  <c r="I269" i="8"/>
  <c r="A271" i="8"/>
  <c r="A272" i="3"/>
  <c r="B270" i="8"/>
  <c r="C270" i="8"/>
  <c r="E270" i="8"/>
  <c r="F270" i="8"/>
  <c r="G270" i="8"/>
  <c r="D270" i="8"/>
  <c r="H270" i="8" l="1"/>
  <c r="I270" i="8"/>
  <c r="A272" i="8"/>
  <c r="A273" i="3"/>
  <c r="B271" i="8"/>
  <c r="G271" i="8"/>
  <c r="E271" i="8"/>
  <c r="F271" i="8"/>
  <c r="C271" i="8"/>
  <c r="D271" i="8"/>
  <c r="A273" i="8" l="1"/>
  <c r="A274" i="3"/>
  <c r="H271" i="8"/>
  <c r="I271" i="8"/>
  <c r="B272" i="8"/>
  <c r="C272" i="8"/>
  <c r="D272" i="8"/>
  <c r="E272" i="8"/>
  <c r="F272" i="8"/>
  <c r="G272" i="8"/>
  <c r="H272" i="8" l="1"/>
  <c r="I272" i="8"/>
  <c r="A274" i="8"/>
  <c r="A275" i="3"/>
  <c r="E273" i="8"/>
  <c r="F273" i="8"/>
  <c r="G273" i="8"/>
  <c r="B273" i="8"/>
  <c r="C273" i="8"/>
  <c r="D273" i="8"/>
  <c r="H273" i="8" l="1"/>
  <c r="I273" i="8"/>
  <c r="A275" i="8"/>
  <c r="A276" i="3"/>
  <c r="B274" i="8"/>
  <c r="C274" i="8"/>
  <c r="F274" i="8"/>
  <c r="G274" i="8"/>
  <c r="D274" i="8"/>
  <c r="E274" i="8"/>
  <c r="B275" i="8" l="1"/>
  <c r="G275" i="8"/>
  <c r="C275" i="8"/>
  <c r="D275" i="8"/>
  <c r="E275" i="8"/>
  <c r="F275" i="8"/>
  <c r="H274" i="8"/>
  <c r="I274" i="8"/>
  <c r="A276" i="8"/>
  <c r="A277" i="3"/>
  <c r="A277" i="8" l="1"/>
  <c r="A278" i="3"/>
  <c r="B276" i="8"/>
  <c r="C276" i="8"/>
  <c r="D276" i="8"/>
  <c r="E276" i="8"/>
  <c r="F276" i="8"/>
  <c r="G276" i="8"/>
  <c r="H275" i="8"/>
  <c r="I275" i="8"/>
  <c r="H276" i="8" l="1"/>
  <c r="I276" i="8"/>
  <c r="A278" i="8"/>
  <c r="A279" i="3"/>
  <c r="E277" i="8"/>
  <c r="F277" i="8"/>
  <c r="G277" i="8"/>
  <c r="C277" i="8"/>
  <c r="D277" i="8"/>
  <c r="B277" i="8"/>
  <c r="H277" i="8" l="1"/>
  <c r="I277" i="8"/>
  <c r="A279" i="8"/>
  <c r="A280" i="3"/>
  <c r="B278" i="8"/>
  <c r="C278" i="8"/>
  <c r="D278" i="8"/>
  <c r="E278" i="8"/>
  <c r="F278" i="8"/>
  <c r="G278" i="8"/>
  <c r="H278" i="8" l="1"/>
  <c r="I278" i="8"/>
  <c r="A280" i="8"/>
  <c r="A281" i="3"/>
  <c r="B279" i="8"/>
  <c r="G279" i="8"/>
  <c r="E279" i="8"/>
  <c r="F279" i="8"/>
  <c r="C279" i="8"/>
  <c r="D279" i="8"/>
  <c r="H279" i="8" l="1"/>
  <c r="I279" i="8"/>
  <c r="B280" i="8"/>
  <c r="C280" i="8"/>
  <c r="D280" i="8"/>
  <c r="E280" i="8"/>
  <c r="F280" i="8"/>
  <c r="G280" i="8"/>
  <c r="A281" i="8"/>
  <c r="A282" i="3"/>
  <c r="A282" i="8" l="1"/>
  <c r="A283" i="3"/>
  <c r="E281" i="8"/>
  <c r="F281" i="8"/>
  <c r="G281" i="8"/>
  <c r="B281" i="8"/>
  <c r="C281" i="8"/>
  <c r="D281" i="8"/>
  <c r="H280" i="8"/>
  <c r="I280" i="8"/>
  <c r="H281" i="8" l="1"/>
  <c r="I281" i="8"/>
  <c r="A283" i="8"/>
  <c r="A284" i="3"/>
  <c r="B282" i="8"/>
  <c r="C282" i="8"/>
  <c r="D282" i="8"/>
  <c r="E282" i="8"/>
  <c r="F282" i="8"/>
  <c r="G282" i="8"/>
  <c r="H282" i="8" l="1"/>
  <c r="I282" i="8"/>
  <c r="A284" i="8"/>
  <c r="A285" i="3"/>
  <c r="B283" i="8"/>
  <c r="G283" i="8"/>
  <c r="E283" i="8"/>
  <c r="F283" i="8"/>
  <c r="C283" i="8"/>
  <c r="D283" i="8"/>
  <c r="A286" i="3" l="1"/>
  <c r="A285" i="8"/>
  <c r="H283" i="8"/>
  <c r="I283" i="8"/>
  <c r="B284" i="8"/>
  <c r="C284" i="8"/>
  <c r="D284" i="8"/>
  <c r="E284" i="8"/>
  <c r="F284" i="8"/>
  <c r="G284" i="8"/>
  <c r="H284" i="8" l="1"/>
  <c r="I284" i="8"/>
  <c r="E285" i="8"/>
  <c r="F285" i="8"/>
  <c r="G285" i="8"/>
  <c r="C285" i="8"/>
  <c r="D285" i="8"/>
  <c r="B285" i="8"/>
  <c r="A286" i="8"/>
  <c r="A287" i="3"/>
  <c r="A287" i="8" l="1"/>
  <c r="A288" i="3"/>
  <c r="B286" i="8"/>
  <c r="C286" i="8"/>
  <c r="F286" i="8"/>
  <c r="G286" i="8"/>
  <c r="D286" i="8"/>
  <c r="E286" i="8"/>
  <c r="H285" i="8"/>
  <c r="I285" i="8"/>
  <c r="H286" i="8" l="1"/>
  <c r="I286" i="8"/>
  <c r="A288" i="8"/>
  <c r="A289" i="3"/>
  <c r="B287" i="8"/>
  <c r="G287" i="8"/>
  <c r="C287" i="8"/>
  <c r="D287" i="8"/>
  <c r="E287" i="8"/>
  <c r="F287" i="8"/>
  <c r="H287" i="8" l="1"/>
  <c r="I287" i="8"/>
  <c r="A289" i="8"/>
  <c r="A290" i="3"/>
  <c r="B288" i="8"/>
  <c r="C288" i="8"/>
  <c r="D288" i="8"/>
  <c r="E288" i="8"/>
  <c r="F288" i="8"/>
  <c r="G288" i="8"/>
  <c r="I288" i="8" l="1"/>
  <c r="H288" i="8"/>
  <c r="E289" i="8"/>
  <c r="F289" i="8"/>
  <c r="G289" i="8"/>
  <c r="C289" i="8"/>
  <c r="D289" i="8"/>
  <c r="B289" i="8"/>
  <c r="A290" i="8"/>
  <c r="A291" i="3"/>
  <c r="H289" i="8" l="1"/>
  <c r="I289" i="8"/>
  <c r="A291" i="8"/>
  <c r="A292" i="3"/>
  <c r="B290" i="8"/>
  <c r="C290" i="8"/>
  <c r="D290" i="8"/>
  <c r="E290" i="8"/>
  <c r="F290" i="8"/>
  <c r="G290" i="8"/>
  <c r="H290" i="8" l="1"/>
  <c r="I290" i="8"/>
  <c r="A292" i="8"/>
  <c r="A293" i="3"/>
  <c r="B291" i="8"/>
  <c r="G291" i="8"/>
  <c r="C291" i="8"/>
  <c r="D291" i="8"/>
  <c r="E291" i="8"/>
  <c r="F291" i="8"/>
  <c r="B292" i="8" l="1"/>
  <c r="C292" i="8"/>
  <c r="D292" i="8"/>
  <c r="E292" i="8"/>
  <c r="F292" i="8"/>
  <c r="G292" i="8"/>
  <c r="H291" i="8"/>
  <c r="I291" i="8"/>
  <c r="A293" i="8"/>
  <c r="A294" i="3"/>
  <c r="A294" i="8" l="1"/>
  <c r="A295" i="3"/>
  <c r="E293" i="8"/>
  <c r="F293" i="8"/>
  <c r="G293" i="8"/>
  <c r="B293" i="8"/>
  <c r="C293" i="8"/>
  <c r="D293" i="8"/>
  <c r="H292" i="8"/>
  <c r="I292" i="8"/>
  <c r="A295" i="8" l="1"/>
  <c r="A296" i="3"/>
  <c r="H293" i="8"/>
  <c r="I293" i="8"/>
  <c r="B294" i="8"/>
  <c r="C294" i="8"/>
  <c r="F294" i="8"/>
  <c r="D294" i="8"/>
  <c r="E294" i="8"/>
  <c r="G294" i="8"/>
  <c r="H294" i="8" l="1"/>
  <c r="I294" i="8"/>
  <c r="A296" i="8"/>
  <c r="A297" i="3"/>
  <c r="B295" i="8"/>
  <c r="G295" i="8"/>
  <c r="E295" i="8"/>
  <c r="F295" i="8"/>
  <c r="D295" i="8"/>
  <c r="C295" i="8"/>
  <c r="H295" i="8" l="1"/>
  <c r="I295" i="8"/>
  <c r="A297" i="8"/>
  <c r="A298" i="3"/>
  <c r="B296" i="8"/>
  <c r="C296" i="8"/>
  <c r="D296" i="8"/>
  <c r="E296" i="8"/>
  <c r="F296" i="8"/>
  <c r="G296" i="8"/>
  <c r="H296" i="8" l="1"/>
  <c r="I296" i="8"/>
  <c r="A298" i="8"/>
  <c r="A299" i="3"/>
  <c r="E297" i="8"/>
  <c r="F297" i="8"/>
  <c r="G297" i="8"/>
  <c r="B297" i="8"/>
  <c r="C297" i="8"/>
  <c r="D297" i="8"/>
  <c r="H297" i="8" l="1"/>
  <c r="I297" i="8"/>
  <c r="A299" i="8"/>
  <c r="A300" i="3"/>
  <c r="B298" i="8"/>
  <c r="C298" i="8"/>
  <c r="F298" i="8"/>
  <c r="G298" i="8"/>
  <c r="D298" i="8"/>
  <c r="E298" i="8"/>
  <c r="H298" i="8" l="1"/>
  <c r="I298" i="8"/>
  <c r="B299" i="8"/>
  <c r="G299" i="8"/>
  <c r="C299" i="8"/>
  <c r="D299" i="8"/>
  <c r="E299" i="8"/>
  <c r="F299" i="8"/>
  <c r="A300" i="8"/>
  <c r="A301" i="3"/>
  <c r="A301" i="8" l="1"/>
  <c r="A302" i="3"/>
  <c r="B300" i="8"/>
  <c r="C300" i="8"/>
  <c r="D300" i="8"/>
  <c r="E300" i="8"/>
  <c r="F300" i="8"/>
  <c r="G300" i="8"/>
  <c r="H299" i="8"/>
  <c r="I299" i="8"/>
  <c r="A302" i="8" l="1"/>
  <c r="A303" i="3"/>
  <c r="I300" i="8"/>
  <c r="H300" i="8"/>
  <c r="E301" i="8"/>
  <c r="F301" i="8"/>
  <c r="G301" i="8"/>
  <c r="C301" i="8"/>
  <c r="D301" i="8"/>
  <c r="B301" i="8"/>
  <c r="A303" i="8" l="1"/>
  <c r="A304" i="3"/>
  <c r="H301" i="8"/>
  <c r="I301" i="8"/>
  <c r="B302" i="8"/>
  <c r="C302" i="8"/>
  <c r="D302" i="8"/>
  <c r="E302" i="8"/>
  <c r="F302" i="8"/>
  <c r="G302" i="8"/>
  <c r="A304" i="8" l="1"/>
  <c r="A305" i="3"/>
  <c r="H302" i="8"/>
  <c r="I302" i="8"/>
  <c r="B303" i="8"/>
  <c r="G303" i="8"/>
  <c r="C303" i="8"/>
  <c r="F303" i="8"/>
  <c r="D303" i="8"/>
  <c r="E303" i="8"/>
  <c r="H303" i="8" l="1"/>
  <c r="I303" i="8"/>
  <c r="A305" i="8"/>
  <c r="A306" i="3"/>
  <c r="B304" i="8"/>
  <c r="C304" i="8"/>
  <c r="D304" i="8"/>
  <c r="E304" i="8"/>
  <c r="F304" i="8"/>
  <c r="G304" i="8"/>
  <c r="H304" i="8" l="1"/>
  <c r="I304" i="8"/>
  <c r="A306" i="8"/>
  <c r="A307" i="3"/>
  <c r="E305" i="8"/>
  <c r="F305" i="8"/>
  <c r="G305" i="8"/>
  <c r="B305" i="8"/>
  <c r="C305" i="8"/>
  <c r="D305" i="8"/>
  <c r="A307" i="8" l="1"/>
  <c r="A308" i="3"/>
  <c r="H305" i="8"/>
  <c r="I305" i="8"/>
  <c r="B306" i="8"/>
  <c r="C306" i="8"/>
  <c r="E306" i="8"/>
  <c r="F306" i="8"/>
  <c r="G306" i="8"/>
  <c r="D306" i="8"/>
  <c r="A308" i="8" l="1"/>
  <c r="A309" i="3"/>
  <c r="H306" i="8"/>
  <c r="I306" i="8"/>
  <c r="B307" i="8"/>
  <c r="G307" i="8"/>
  <c r="E307" i="8"/>
  <c r="F307" i="8"/>
  <c r="C307" i="8"/>
  <c r="D307" i="8"/>
  <c r="H307" i="8" l="1"/>
  <c r="I307" i="8"/>
  <c r="A309" i="8"/>
  <c r="A310" i="3"/>
  <c r="B308" i="8"/>
  <c r="C308" i="8"/>
  <c r="D308" i="8"/>
  <c r="E308" i="8"/>
  <c r="F308" i="8"/>
  <c r="G308" i="8"/>
  <c r="H308" i="8" l="1"/>
  <c r="I308" i="8"/>
  <c r="A310" i="8"/>
  <c r="A311" i="3"/>
  <c r="E309" i="8"/>
  <c r="F309" i="8"/>
  <c r="G309" i="8"/>
  <c r="B309" i="8"/>
  <c r="C309" i="8"/>
  <c r="D309" i="8"/>
  <c r="B310" i="8" l="1"/>
  <c r="C310" i="8"/>
  <c r="F310" i="8"/>
  <c r="G310" i="8"/>
  <c r="D310" i="8"/>
  <c r="E310" i="8"/>
  <c r="H309" i="8"/>
  <c r="I309" i="8"/>
  <c r="A311" i="8"/>
  <c r="A312" i="3"/>
  <c r="A312" i="8" l="1"/>
  <c r="A313" i="3"/>
  <c r="B311" i="8"/>
  <c r="G311" i="8"/>
  <c r="C311" i="8"/>
  <c r="D311" i="8"/>
  <c r="E311" i="8"/>
  <c r="F311" i="8"/>
  <c r="H310" i="8"/>
  <c r="I310" i="8"/>
  <c r="A313" i="8" l="1"/>
  <c r="A314" i="3"/>
  <c r="H311" i="8"/>
  <c r="I311" i="8"/>
  <c r="B312" i="8"/>
  <c r="C312" i="8"/>
  <c r="D312" i="8"/>
  <c r="E312" i="8"/>
  <c r="F312" i="8"/>
  <c r="G312" i="8"/>
  <c r="H312" i="8" l="1"/>
  <c r="I312" i="8"/>
  <c r="A314" i="8"/>
  <c r="A315" i="3"/>
  <c r="E313" i="8"/>
  <c r="F313" i="8"/>
  <c r="G313" i="8"/>
  <c r="C313" i="8"/>
  <c r="D313" i="8"/>
  <c r="B313" i="8"/>
  <c r="A315" i="8" l="1"/>
  <c r="A316" i="3"/>
  <c r="H313" i="8"/>
  <c r="I313" i="8"/>
  <c r="B314" i="8"/>
  <c r="C314" i="8"/>
  <c r="D314" i="8"/>
  <c r="E314" i="8"/>
  <c r="F314" i="8"/>
  <c r="G314" i="8"/>
  <c r="A316" i="8" l="1"/>
  <c r="A317" i="3"/>
  <c r="H314" i="8"/>
  <c r="I314" i="8"/>
  <c r="B315" i="8"/>
  <c r="G315" i="8"/>
  <c r="D315" i="8"/>
  <c r="E315" i="8"/>
  <c r="F315" i="8"/>
  <c r="C315" i="8"/>
  <c r="H315" i="8" l="1"/>
  <c r="I315" i="8"/>
  <c r="A317" i="8"/>
  <c r="A318" i="3"/>
  <c r="B316" i="8"/>
  <c r="C316" i="8"/>
  <c r="D316" i="8"/>
  <c r="E316" i="8"/>
  <c r="F316" i="8"/>
  <c r="G316" i="8"/>
  <c r="H316" i="8" l="1"/>
  <c r="I316" i="8"/>
  <c r="A318" i="8"/>
  <c r="A319" i="3"/>
  <c r="E317" i="8"/>
  <c r="F317" i="8"/>
  <c r="G317" i="8"/>
  <c r="B317" i="8"/>
  <c r="C317" i="8"/>
  <c r="D317" i="8"/>
  <c r="H317" i="8" l="1"/>
  <c r="I317" i="8"/>
  <c r="A319" i="8"/>
  <c r="A320" i="3"/>
  <c r="B318" i="8"/>
  <c r="C318" i="8"/>
  <c r="D318" i="8"/>
  <c r="E318" i="8"/>
  <c r="F318" i="8"/>
  <c r="G318" i="8"/>
  <c r="H318" i="8" l="1"/>
  <c r="I318" i="8"/>
  <c r="A320" i="8"/>
  <c r="A321" i="3"/>
  <c r="B319" i="8"/>
  <c r="G319" i="8"/>
  <c r="E319" i="8"/>
  <c r="F319" i="8"/>
  <c r="D319" i="8"/>
  <c r="C319" i="8"/>
  <c r="A321" i="8" l="1"/>
  <c r="A322" i="3"/>
  <c r="H319" i="8"/>
  <c r="I319" i="8"/>
  <c r="B320" i="8"/>
  <c r="C320" i="8"/>
  <c r="D320" i="8"/>
  <c r="E320" i="8"/>
  <c r="F320" i="8"/>
  <c r="G320" i="8"/>
  <c r="H320" i="8" l="1"/>
  <c r="I320" i="8"/>
  <c r="A322" i="8"/>
  <c r="A323" i="3"/>
  <c r="E321" i="8"/>
  <c r="F321" i="8"/>
  <c r="G321" i="8"/>
  <c r="C321" i="8"/>
  <c r="D321" i="8"/>
  <c r="B321" i="8"/>
  <c r="A323" i="8" l="1"/>
  <c r="A324" i="3"/>
  <c r="H321" i="8"/>
  <c r="I321" i="8"/>
  <c r="B322" i="8"/>
  <c r="C322" i="8"/>
  <c r="F322" i="8"/>
  <c r="G322" i="8"/>
  <c r="D322" i="8"/>
  <c r="E322" i="8"/>
  <c r="H322" i="8" l="1"/>
  <c r="I322" i="8"/>
  <c r="A324" i="8"/>
  <c r="A325" i="3"/>
  <c r="B323" i="8"/>
  <c r="G323" i="8"/>
  <c r="C323" i="8"/>
  <c r="D323" i="8"/>
  <c r="E323" i="8"/>
  <c r="F323" i="8"/>
  <c r="H323" i="8" l="1"/>
  <c r="I323" i="8"/>
  <c r="B324" i="8"/>
  <c r="C324" i="8"/>
  <c r="D324" i="8"/>
  <c r="E324" i="8"/>
  <c r="F324" i="8"/>
  <c r="G324" i="8"/>
  <c r="A325" i="8"/>
  <c r="A326" i="3"/>
  <c r="E325" i="8" l="1"/>
  <c r="F325" i="8"/>
  <c r="G325" i="8"/>
  <c r="C325" i="8"/>
  <c r="D325" i="8"/>
  <c r="B325" i="8"/>
  <c r="A326" i="8"/>
  <c r="A327" i="3"/>
  <c r="H324" i="8"/>
  <c r="I324" i="8"/>
  <c r="A327" i="8" l="1"/>
  <c r="A328" i="3"/>
  <c r="B326" i="8"/>
  <c r="C326" i="8"/>
  <c r="D326" i="8"/>
  <c r="E326" i="8"/>
  <c r="F326" i="8"/>
  <c r="G326" i="8"/>
  <c r="H325" i="8"/>
  <c r="I325" i="8"/>
  <c r="H326" i="8" l="1"/>
  <c r="I326" i="8"/>
  <c r="A328" i="8"/>
  <c r="A329" i="3"/>
  <c r="B327" i="8"/>
  <c r="G327" i="8"/>
  <c r="C327" i="8"/>
  <c r="D327" i="8"/>
  <c r="E327" i="8"/>
  <c r="F327" i="8"/>
  <c r="A329" i="8" l="1"/>
  <c r="A330" i="3"/>
  <c r="H327" i="8"/>
  <c r="I327" i="8"/>
  <c r="B328" i="8"/>
  <c r="C328" i="8"/>
  <c r="D328" i="8"/>
  <c r="E328" i="8"/>
  <c r="F328" i="8"/>
  <c r="G328" i="8"/>
  <c r="H328" i="8" l="1"/>
  <c r="I328" i="8"/>
  <c r="A330" i="8"/>
  <c r="A331" i="3"/>
  <c r="E329" i="8"/>
  <c r="F329" i="8"/>
  <c r="G329" i="8"/>
  <c r="B329" i="8"/>
  <c r="C329" i="8"/>
  <c r="D329" i="8"/>
  <c r="H329" i="8" l="1"/>
  <c r="I329" i="8"/>
  <c r="A331" i="8"/>
  <c r="A332" i="3"/>
  <c r="B330" i="8"/>
  <c r="C330" i="8"/>
  <c r="E330" i="8"/>
  <c r="G330" i="8"/>
  <c r="D330" i="8"/>
  <c r="F330" i="8"/>
  <c r="H330" i="8" l="1"/>
  <c r="I330" i="8"/>
  <c r="A332" i="8"/>
  <c r="A333" i="3"/>
  <c r="B331" i="8"/>
  <c r="G331" i="8"/>
  <c r="E331" i="8"/>
  <c r="F331" i="8"/>
  <c r="D331" i="8"/>
  <c r="C331" i="8"/>
  <c r="H331" i="8" l="1"/>
  <c r="I331" i="8"/>
  <c r="A333" i="8"/>
  <c r="A334" i="3"/>
  <c r="B332" i="8"/>
  <c r="C332" i="8"/>
  <c r="D332" i="8"/>
  <c r="E332" i="8"/>
  <c r="F332" i="8"/>
  <c r="G332" i="8"/>
  <c r="A334" i="8" l="1"/>
  <c r="A335" i="3"/>
  <c r="H332" i="8"/>
  <c r="I332" i="8"/>
  <c r="E333" i="8"/>
  <c r="F333" i="8"/>
  <c r="G333" i="8"/>
  <c r="B333" i="8"/>
  <c r="C333" i="8"/>
  <c r="D333" i="8"/>
  <c r="H333" i="8" l="1"/>
  <c r="I333" i="8"/>
  <c r="A335" i="8"/>
  <c r="A336" i="3"/>
  <c r="B334" i="8"/>
  <c r="C334" i="8"/>
  <c r="F334" i="8"/>
  <c r="G334" i="8"/>
  <c r="D334" i="8"/>
  <c r="E334" i="8"/>
  <c r="H334" i="8" l="1"/>
  <c r="I334" i="8"/>
  <c r="B335" i="8"/>
  <c r="G335" i="8"/>
  <c r="C335" i="8"/>
  <c r="D335" i="8"/>
  <c r="E335" i="8"/>
  <c r="F335" i="8"/>
  <c r="A336" i="8"/>
  <c r="A337" i="3"/>
  <c r="A337" i="8" l="1"/>
  <c r="A338" i="3"/>
  <c r="B336" i="8"/>
  <c r="C336" i="8"/>
  <c r="D336" i="8"/>
  <c r="E336" i="8"/>
  <c r="F336" i="8"/>
  <c r="G336" i="8"/>
  <c r="H335" i="8"/>
  <c r="I335" i="8"/>
  <c r="I336" i="8" l="1"/>
  <c r="H336" i="8"/>
  <c r="A338" i="8"/>
  <c r="A339" i="3"/>
  <c r="E337" i="8"/>
  <c r="F337" i="8"/>
  <c r="G337" i="8"/>
  <c r="C337" i="8"/>
  <c r="D337" i="8"/>
  <c r="B337" i="8"/>
  <c r="H337" i="8" l="1"/>
  <c r="I337" i="8"/>
  <c r="A339" i="8"/>
  <c r="A340" i="3"/>
  <c r="B338" i="8"/>
  <c r="C338" i="8"/>
  <c r="D338" i="8"/>
  <c r="E338" i="8"/>
  <c r="F338" i="8"/>
  <c r="G338" i="8"/>
  <c r="H338" i="8" l="1"/>
  <c r="I338" i="8"/>
  <c r="A340" i="8"/>
  <c r="A341" i="3"/>
  <c r="B339" i="8"/>
  <c r="G339" i="8"/>
  <c r="C339" i="8"/>
  <c r="E339" i="8"/>
  <c r="D339" i="8"/>
  <c r="F339" i="8"/>
  <c r="A341" i="8" l="1"/>
  <c r="A342" i="3"/>
  <c r="H339" i="8"/>
  <c r="I339" i="8"/>
  <c r="B340" i="8"/>
  <c r="C340" i="8"/>
  <c r="D340" i="8"/>
  <c r="E340" i="8"/>
  <c r="F340" i="8"/>
  <c r="G340" i="8"/>
  <c r="H340" i="8" l="1"/>
  <c r="I340" i="8"/>
  <c r="A342" i="8"/>
  <c r="A343" i="3"/>
  <c r="E341" i="8"/>
  <c r="F341" i="8"/>
  <c r="G341" i="8"/>
  <c r="B341" i="8"/>
  <c r="C341" i="8"/>
  <c r="D341" i="8"/>
  <c r="B342" i="8" l="1"/>
  <c r="C342" i="8"/>
  <c r="E342" i="8"/>
  <c r="F342" i="8"/>
  <c r="G342" i="8"/>
  <c r="D342" i="8"/>
  <c r="A343" i="8"/>
  <c r="A344" i="3"/>
  <c r="H341" i="8"/>
  <c r="I341" i="8"/>
  <c r="B343" i="8" l="1"/>
  <c r="G343" i="8"/>
  <c r="E343" i="8"/>
  <c r="F343" i="8"/>
  <c r="C343" i="8"/>
  <c r="D343" i="8"/>
  <c r="A344" i="8"/>
  <c r="A345" i="3"/>
  <c r="H342" i="8"/>
  <c r="I342" i="8"/>
  <c r="A345" i="8" l="1"/>
  <c r="A346" i="3"/>
  <c r="B344" i="8"/>
  <c r="C344" i="8"/>
  <c r="D344" i="8"/>
  <c r="E344" i="8"/>
  <c r="F344" i="8"/>
  <c r="G344" i="8"/>
  <c r="H343" i="8"/>
  <c r="I343" i="8"/>
  <c r="H344" i="8" l="1"/>
  <c r="I344" i="8"/>
  <c r="A346" i="8"/>
  <c r="A347" i="3"/>
  <c r="E345" i="8"/>
  <c r="F345" i="8"/>
  <c r="G345" i="8"/>
  <c r="B345" i="8"/>
  <c r="C345" i="8"/>
  <c r="D345" i="8"/>
  <c r="H345" i="8" l="1"/>
  <c r="I345" i="8"/>
  <c r="A347" i="8"/>
  <c r="A348" i="3"/>
  <c r="B346" i="8"/>
  <c r="C346" i="8"/>
  <c r="D346" i="8"/>
  <c r="G346" i="8"/>
  <c r="F346" i="8"/>
  <c r="E346" i="8"/>
  <c r="H346" i="8" l="1"/>
  <c r="I346" i="8"/>
  <c r="A348" i="8"/>
  <c r="A349" i="3"/>
  <c r="B347" i="8"/>
  <c r="C347" i="8"/>
  <c r="D347" i="8"/>
  <c r="E347" i="8"/>
  <c r="F347" i="8"/>
  <c r="G347" i="8"/>
  <c r="A349" i="8" l="1"/>
  <c r="A350" i="3"/>
  <c r="B348" i="8"/>
  <c r="C348" i="8"/>
  <c r="D348" i="8"/>
  <c r="E348" i="8"/>
  <c r="F348" i="8"/>
  <c r="G348" i="8"/>
  <c r="H347" i="8"/>
  <c r="I347" i="8"/>
  <c r="A350" i="8" l="1"/>
  <c r="A351" i="3"/>
  <c r="H348" i="8"/>
  <c r="I348" i="8"/>
  <c r="E349" i="8"/>
  <c r="F349" i="8"/>
  <c r="G349" i="8"/>
  <c r="B349" i="8"/>
  <c r="C349" i="8"/>
  <c r="D349" i="8"/>
  <c r="H349" i="8" l="1"/>
  <c r="I349" i="8"/>
  <c r="A351" i="8"/>
  <c r="A352" i="3"/>
  <c r="D350" i="8"/>
  <c r="E350" i="8"/>
  <c r="F350" i="8"/>
  <c r="G350" i="8"/>
  <c r="B350" i="8"/>
  <c r="C350" i="8"/>
  <c r="H350" i="8" l="1"/>
  <c r="I350" i="8"/>
  <c r="A352" i="8"/>
  <c r="A353" i="3"/>
  <c r="B351" i="8"/>
  <c r="C351" i="8"/>
  <c r="D351" i="8"/>
  <c r="E351" i="8"/>
  <c r="F351" i="8"/>
  <c r="G351" i="8"/>
  <c r="H351" i="8" l="1"/>
  <c r="I351" i="8"/>
  <c r="A353" i="8"/>
  <c r="A354" i="3"/>
  <c r="B352" i="8"/>
  <c r="C352" i="8"/>
  <c r="D352" i="8"/>
  <c r="E352" i="8"/>
  <c r="F352" i="8"/>
  <c r="G352" i="8"/>
  <c r="A354" i="8" l="1"/>
  <c r="A355" i="3"/>
  <c r="H352" i="8"/>
  <c r="I352" i="8"/>
  <c r="E353" i="8"/>
  <c r="F353" i="8"/>
  <c r="G353" i="8"/>
  <c r="B353" i="8"/>
  <c r="C353" i="8"/>
  <c r="D353" i="8"/>
  <c r="H353" i="8" l="1"/>
  <c r="I353" i="8"/>
  <c r="A355" i="8"/>
  <c r="A356" i="3"/>
  <c r="E354" i="8"/>
  <c r="F354" i="8"/>
  <c r="G354" i="8"/>
  <c r="B354" i="8"/>
  <c r="C354" i="8"/>
  <c r="D354" i="8"/>
  <c r="H354" i="8" l="1"/>
  <c r="I354" i="8"/>
  <c r="B355" i="8"/>
  <c r="C355" i="8"/>
  <c r="D355" i="8"/>
  <c r="E355" i="8"/>
  <c r="F355" i="8"/>
  <c r="G355" i="8"/>
  <c r="A356" i="8"/>
  <c r="A357" i="3"/>
  <c r="A357" i="8" l="1"/>
  <c r="A358" i="3"/>
  <c r="B356" i="8"/>
  <c r="C356" i="8"/>
  <c r="D356" i="8"/>
  <c r="E356" i="8"/>
  <c r="F356" i="8"/>
  <c r="G356" i="8"/>
  <c r="H355" i="8"/>
  <c r="I355" i="8"/>
  <c r="H356" i="8" l="1"/>
  <c r="I356" i="8"/>
  <c r="A358" i="8"/>
  <c r="A359" i="3"/>
  <c r="E357" i="8"/>
  <c r="F357" i="8"/>
  <c r="G357" i="8"/>
  <c r="B357" i="8"/>
  <c r="C357" i="8"/>
  <c r="D357" i="8"/>
  <c r="A359" i="8" l="1"/>
  <c r="A360" i="3"/>
  <c r="H357" i="8"/>
  <c r="I357" i="8"/>
  <c r="B358" i="8"/>
  <c r="C358" i="8"/>
  <c r="D358" i="8"/>
  <c r="F358" i="8"/>
  <c r="G358" i="8"/>
  <c r="E358" i="8"/>
  <c r="H358" i="8" l="1"/>
  <c r="I358" i="8"/>
  <c r="A360" i="8"/>
  <c r="A361" i="3"/>
  <c r="B359" i="8"/>
  <c r="C359" i="8"/>
  <c r="D359" i="8"/>
  <c r="E359" i="8"/>
  <c r="F359" i="8"/>
  <c r="G359" i="8"/>
  <c r="H359" i="8" l="1"/>
  <c r="I359" i="8"/>
  <c r="A361" i="8"/>
  <c r="A362" i="3"/>
  <c r="B360" i="8"/>
  <c r="C360" i="8"/>
  <c r="D360" i="8"/>
  <c r="E360" i="8"/>
  <c r="G360" i="8"/>
  <c r="F360" i="8"/>
  <c r="H360" i="8" l="1"/>
  <c r="I360" i="8"/>
  <c r="E361" i="8"/>
  <c r="F361" i="8"/>
  <c r="G361" i="8"/>
  <c r="B361" i="8"/>
  <c r="C361" i="8"/>
  <c r="D361" i="8"/>
  <c r="A362" i="8"/>
  <c r="A363" i="3"/>
  <c r="A363" i="8" l="1"/>
  <c r="A364" i="3"/>
  <c r="B362" i="8"/>
  <c r="C362" i="8"/>
  <c r="D362" i="8"/>
  <c r="E362" i="8"/>
  <c r="F362" i="8"/>
  <c r="G362" i="8"/>
  <c r="H361" i="8"/>
  <c r="I361" i="8"/>
  <c r="A364" i="8" l="1"/>
  <c r="A365" i="3"/>
  <c r="H362" i="8"/>
  <c r="I362" i="8"/>
  <c r="B363" i="8"/>
  <c r="C363" i="8"/>
  <c r="D363" i="8"/>
  <c r="E363" i="8"/>
  <c r="F363" i="8"/>
  <c r="G363" i="8"/>
  <c r="H363" i="8" l="1"/>
  <c r="I363" i="8"/>
  <c r="A365" i="8"/>
  <c r="A366" i="3"/>
  <c r="B364" i="8"/>
  <c r="C364" i="8"/>
  <c r="D364" i="8"/>
  <c r="E364" i="8"/>
  <c r="F364" i="8"/>
  <c r="G364" i="8"/>
  <c r="A366" i="8" l="1"/>
  <c r="A367" i="3"/>
  <c r="I364" i="8"/>
  <c r="H364" i="8"/>
  <c r="E365" i="8"/>
  <c r="F365" i="8"/>
  <c r="G365" i="8"/>
  <c r="B365" i="8"/>
  <c r="C365" i="8"/>
  <c r="D365" i="8"/>
  <c r="H365" i="8" l="1"/>
  <c r="I365" i="8"/>
  <c r="A367" i="8"/>
  <c r="A368" i="3"/>
  <c r="E366" i="8"/>
  <c r="F366" i="8"/>
  <c r="G366" i="8"/>
  <c r="B366" i="8"/>
  <c r="C366" i="8"/>
  <c r="D366" i="8"/>
  <c r="H366" i="8" l="1"/>
  <c r="I366" i="8"/>
  <c r="A368" i="8"/>
  <c r="A369" i="3"/>
  <c r="B367" i="8"/>
  <c r="C367" i="8"/>
  <c r="D367" i="8"/>
  <c r="E367" i="8"/>
  <c r="F367" i="8"/>
  <c r="G367" i="8"/>
  <c r="A369" i="8" l="1"/>
  <c r="A370" i="3"/>
  <c r="C368" i="8"/>
  <c r="D368" i="8"/>
  <c r="B368" i="8"/>
  <c r="F368" i="8"/>
  <c r="G368" i="8"/>
  <c r="E368" i="8"/>
  <c r="H367" i="8"/>
  <c r="I367" i="8"/>
  <c r="H368" i="8" l="1"/>
  <c r="I368" i="8"/>
  <c r="A370" i="8"/>
  <c r="A371" i="3"/>
  <c r="M7" i="7"/>
  <c r="S20" i="1" s="1"/>
  <c r="M8" i="7"/>
  <c r="S21" i="1" s="1"/>
  <c r="F369" i="8"/>
  <c r="G369" i="8"/>
  <c r="B369" i="8"/>
  <c r="D369" i="8"/>
  <c r="E369" i="8"/>
  <c r="C369" i="8"/>
  <c r="H369" i="8" l="1"/>
  <c r="I369" i="8"/>
  <c r="A371" i="8"/>
  <c r="A372" i="3"/>
  <c r="A24" i="1"/>
  <c r="D370" i="8"/>
  <c r="E370" i="8"/>
  <c r="F370" i="8"/>
  <c r="G370" i="8"/>
  <c r="B370" i="8"/>
  <c r="C370" i="8"/>
  <c r="A372" i="8" l="1"/>
  <c r="A373" i="3"/>
  <c r="F371" i="8"/>
  <c r="G371" i="8"/>
  <c r="E371" i="8"/>
  <c r="B371" i="8"/>
  <c r="C371" i="8"/>
  <c r="D371" i="8"/>
  <c r="I370" i="8"/>
  <c r="H370" i="8"/>
  <c r="I371" i="8" l="1"/>
  <c r="H371" i="8"/>
  <c r="A373" i="8"/>
  <c r="A374" i="3"/>
  <c r="C372" i="8"/>
  <c r="D372" i="8"/>
  <c r="B372" i="8"/>
  <c r="E372" i="8"/>
  <c r="F372" i="8"/>
  <c r="G372" i="8"/>
  <c r="F373" i="8" l="1"/>
  <c r="G373" i="8"/>
  <c r="E373" i="8"/>
  <c r="B373" i="8"/>
  <c r="C373" i="8"/>
  <c r="D373" i="8"/>
  <c r="H372" i="8"/>
  <c r="I372" i="8"/>
  <c r="A374" i="8"/>
  <c r="A375" i="3"/>
  <c r="H373" i="8" l="1"/>
  <c r="I373" i="8"/>
  <c r="A375" i="8"/>
  <c r="A376" i="3"/>
  <c r="C374" i="8"/>
  <c r="D374" i="8"/>
  <c r="E374" i="8"/>
  <c r="F374" i="8"/>
  <c r="B374" i="8"/>
  <c r="G374" i="8"/>
  <c r="A376" i="8" l="1"/>
  <c r="A377" i="3"/>
  <c r="I374" i="8"/>
  <c r="H374" i="8"/>
  <c r="C375" i="8"/>
  <c r="D375" i="8"/>
  <c r="E375" i="8"/>
  <c r="F375" i="8"/>
  <c r="B375" i="8"/>
  <c r="G375" i="8"/>
  <c r="H375" i="8" l="1"/>
  <c r="I375" i="8"/>
  <c r="A377" i="8"/>
  <c r="A378" i="3"/>
  <c r="C376" i="8"/>
  <c r="D376" i="8"/>
  <c r="E376" i="8"/>
  <c r="F376" i="8"/>
  <c r="G376" i="8"/>
  <c r="B376" i="8"/>
  <c r="H376" i="8" l="1"/>
  <c r="I376" i="8"/>
  <c r="A379" i="3"/>
  <c r="A378" i="8"/>
  <c r="F377" i="8"/>
  <c r="G377" i="8"/>
  <c r="B377" i="8"/>
  <c r="C377" i="8"/>
  <c r="D377" i="8"/>
  <c r="E377" i="8"/>
  <c r="H377" i="8" l="1"/>
  <c r="I377" i="8"/>
  <c r="A379" i="8"/>
  <c r="A380" i="3"/>
  <c r="D378" i="8"/>
  <c r="E378" i="8"/>
  <c r="F378" i="8"/>
  <c r="G378" i="8"/>
  <c r="C378" i="8"/>
  <c r="B378" i="8"/>
  <c r="I378" i="8" l="1"/>
  <c r="H378" i="8"/>
  <c r="A380" i="8"/>
  <c r="A381" i="3"/>
  <c r="B379" i="8"/>
  <c r="C379" i="8"/>
  <c r="D379" i="8"/>
  <c r="E379" i="8"/>
  <c r="F379" i="8"/>
  <c r="G379" i="8"/>
  <c r="A381" i="8" l="1"/>
  <c r="A382" i="3"/>
  <c r="I379" i="8"/>
  <c r="H379" i="8"/>
  <c r="C380" i="8"/>
  <c r="D380" i="8"/>
  <c r="B380" i="8"/>
  <c r="E380" i="8"/>
  <c r="F380" i="8"/>
  <c r="G380" i="8"/>
  <c r="H380" i="8" l="1"/>
  <c r="I380" i="8"/>
  <c r="A382" i="8"/>
  <c r="A383" i="3"/>
  <c r="F381" i="8"/>
  <c r="G381" i="8"/>
  <c r="E381" i="8"/>
  <c r="B381" i="8"/>
  <c r="C381" i="8"/>
  <c r="D381" i="8"/>
  <c r="H381" i="8" l="1"/>
  <c r="I381" i="8"/>
  <c r="A383" i="8"/>
  <c r="A384" i="3"/>
  <c r="B382" i="8"/>
  <c r="G382" i="8"/>
  <c r="C382" i="8"/>
  <c r="D382" i="8"/>
  <c r="E382" i="8"/>
  <c r="F382" i="8"/>
  <c r="A384" i="8" l="1"/>
  <c r="A385" i="3"/>
  <c r="I382" i="8"/>
  <c r="H382" i="8"/>
  <c r="C383" i="8"/>
  <c r="D383" i="8"/>
  <c r="E383" i="8"/>
  <c r="F383" i="8"/>
  <c r="G383" i="8"/>
  <c r="B383" i="8"/>
  <c r="A385" i="8" l="1"/>
  <c r="A386" i="3"/>
  <c r="H383" i="8"/>
  <c r="I383" i="8"/>
  <c r="C384" i="8"/>
  <c r="D384" i="8"/>
  <c r="B384" i="8"/>
  <c r="E384" i="8"/>
  <c r="F384" i="8"/>
  <c r="G384" i="8"/>
  <c r="H384" i="8" l="1"/>
  <c r="I384" i="8"/>
  <c r="A386" i="8"/>
  <c r="A387" i="3"/>
  <c r="F385" i="8"/>
  <c r="G385" i="8"/>
  <c r="B385" i="8"/>
  <c r="C385" i="8"/>
  <c r="D385" i="8"/>
  <c r="E385" i="8"/>
  <c r="H385" i="8" l="1"/>
  <c r="I385" i="8"/>
  <c r="D386" i="8"/>
  <c r="E386" i="8"/>
  <c r="F386" i="8"/>
  <c r="G386" i="8"/>
  <c r="B386" i="8"/>
  <c r="C386" i="8"/>
  <c r="A387" i="8"/>
  <c r="A388" i="3"/>
  <c r="E387" i="8" l="1"/>
  <c r="F387" i="8"/>
  <c r="G387" i="8"/>
  <c r="B387" i="8"/>
  <c r="C387" i="8"/>
  <c r="D387" i="8"/>
  <c r="A388" i="8"/>
  <c r="A389" i="3"/>
  <c r="I386" i="8"/>
  <c r="H386" i="8"/>
  <c r="C388" i="8" l="1"/>
  <c r="D388" i="8"/>
  <c r="B388" i="8"/>
  <c r="E388" i="8"/>
  <c r="G388" i="8"/>
  <c r="F388" i="8"/>
  <c r="A389" i="8"/>
  <c r="A390" i="3"/>
  <c r="I387" i="8"/>
  <c r="H387" i="8"/>
  <c r="A390" i="8" l="1"/>
  <c r="A391" i="3"/>
  <c r="F389" i="8"/>
  <c r="G389" i="8"/>
  <c r="E389" i="8"/>
  <c r="D389" i="8"/>
  <c r="B389" i="8"/>
  <c r="C389" i="8"/>
  <c r="H388" i="8"/>
  <c r="I388" i="8"/>
  <c r="H389" i="8" l="1"/>
  <c r="I389" i="8"/>
  <c r="A391" i="8"/>
  <c r="A392" i="3"/>
  <c r="G390" i="8"/>
  <c r="E390" i="8"/>
  <c r="F390" i="8"/>
  <c r="B390" i="8"/>
  <c r="C390" i="8"/>
  <c r="D390" i="8"/>
  <c r="I390" i="8" l="1"/>
  <c r="H390" i="8"/>
  <c r="A392" i="8"/>
  <c r="A393" i="3"/>
  <c r="C391" i="8"/>
  <c r="D391" i="8"/>
  <c r="E391" i="8"/>
  <c r="F391" i="8"/>
  <c r="G391" i="8"/>
  <c r="B391" i="8"/>
  <c r="A393" i="8" l="1"/>
  <c r="A394" i="3"/>
  <c r="H391" i="8"/>
  <c r="I391" i="8"/>
  <c r="C392" i="8"/>
  <c r="D392" i="8"/>
  <c r="E392" i="8"/>
  <c r="F392" i="8"/>
  <c r="G392" i="8"/>
  <c r="B392" i="8"/>
  <c r="H392" i="8" l="1"/>
  <c r="I392" i="8"/>
  <c r="A394" i="8"/>
  <c r="A395" i="3"/>
  <c r="F393" i="8"/>
  <c r="G393" i="8"/>
  <c r="B393" i="8"/>
  <c r="D393" i="8"/>
  <c r="E393" i="8"/>
  <c r="C393" i="8"/>
  <c r="I393" i="8" l="1"/>
  <c r="H393" i="8"/>
  <c r="D394" i="8"/>
  <c r="E394" i="8"/>
  <c r="F394" i="8"/>
  <c r="G394" i="8"/>
  <c r="B394" i="8"/>
  <c r="C394" i="8"/>
  <c r="A395" i="8"/>
  <c r="A396" i="3"/>
  <c r="F395" i="8" l="1"/>
  <c r="G395" i="8"/>
  <c r="B395" i="8"/>
  <c r="C395" i="8"/>
  <c r="D395" i="8"/>
  <c r="E395" i="8"/>
  <c r="A396" i="8"/>
  <c r="A397" i="3"/>
  <c r="I394" i="8"/>
  <c r="H394" i="8"/>
  <c r="I395" i="8" l="1"/>
  <c r="H395" i="8"/>
  <c r="A397" i="8"/>
  <c r="A398" i="3"/>
  <c r="C396" i="8"/>
  <c r="D396" i="8"/>
  <c r="B396" i="8"/>
  <c r="E396" i="8"/>
  <c r="F396" i="8"/>
  <c r="G396" i="8"/>
  <c r="A398" i="8" l="1"/>
  <c r="A399" i="3"/>
  <c r="H396" i="8"/>
  <c r="I396" i="8"/>
  <c r="F397" i="8"/>
  <c r="G397" i="8"/>
  <c r="E397" i="8"/>
  <c r="B397" i="8"/>
  <c r="C397" i="8"/>
  <c r="D397" i="8"/>
  <c r="H397" i="8" l="1"/>
  <c r="I397" i="8"/>
  <c r="A399" i="8"/>
  <c r="A400" i="3"/>
  <c r="C398" i="8"/>
  <c r="D398" i="8"/>
  <c r="F398" i="8"/>
  <c r="G398" i="8"/>
  <c r="B398" i="8"/>
  <c r="E398" i="8"/>
  <c r="I398" i="8" l="1"/>
  <c r="H398" i="8"/>
  <c r="A400" i="8"/>
  <c r="A401" i="3"/>
  <c r="C399" i="8"/>
  <c r="D399" i="8"/>
  <c r="E399" i="8"/>
  <c r="F399" i="8"/>
  <c r="B399" i="8"/>
  <c r="G399" i="8"/>
  <c r="C400" i="8" l="1"/>
  <c r="D400" i="8"/>
  <c r="E400" i="8"/>
  <c r="F400" i="8"/>
  <c r="B400" i="8"/>
  <c r="G400" i="8"/>
  <c r="H399" i="8"/>
  <c r="I399" i="8"/>
  <c r="A401" i="8"/>
  <c r="A402" i="3"/>
  <c r="A402" i="8" l="1"/>
  <c r="A403" i="3"/>
  <c r="F401" i="8"/>
  <c r="G401" i="8"/>
  <c r="B401" i="8"/>
  <c r="C401" i="8"/>
  <c r="D401" i="8"/>
  <c r="E401" i="8"/>
  <c r="H400" i="8"/>
  <c r="I400" i="8"/>
  <c r="H401" i="8" l="1"/>
  <c r="I401" i="8"/>
  <c r="A403" i="8"/>
  <c r="A404" i="3"/>
  <c r="D402" i="8"/>
  <c r="E402" i="8"/>
  <c r="F402" i="8"/>
  <c r="G402" i="8"/>
  <c r="B402" i="8"/>
  <c r="C402" i="8"/>
  <c r="I402" i="8" l="1"/>
  <c r="H402" i="8"/>
  <c r="A404" i="8"/>
  <c r="A405" i="3"/>
  <c r="B403" i="8"/>
  <c r="C403" i="8"/>
  <c r="E403" i="8"/>
  <c r="F403" i="8"/>
  <c r="G403" i="8"/>
  <c r="D403" i="8"/>
  <c r="I403" i="8" l="1"/>
  <c r="H403" i="8"/>
  <c r="A405" i="8"/>
  <c r="A406" i="3"/>
  <c r="C404" i="8"/>
  <c r="D404" i="8"/>
  <c r="B404" i="8"/>
  <c r="E404" i="8"/>
  <c r="F404" i="8"/>
  <c r="G404" i="8"/>
  <c r="H404" i="8" l="1"/>
  <c r="I404" i="8"/>
  <c r="A406" i="8"/>
  <c r="A407" i="3"/>
  <c r="F405" i="8"/>
  <c r="G405" i="8"/>
  <c r="E405" i="8"/>
  <c r="B405" i="8"/>
  <c r="C405" i="8"/>
  <c r="D405" i="8"/>
  <c r="H405" i="8" l="1"/>
  <c r="I405" i="8"/>
  <c r="A407" i="8"/>
  <c r="A408" i="3"/>
  <c r="E406" i="8"/>
  <c r="F406" i="8"/>
  <c r="G406" i="8"/>
  <c r="B406" i="8"/>
  <c r="C406" i="8"/>
  <c r="D406" i="8"/>
  <c r="I406" i="8" l="1"/>
  <c r="H406" i="8"/>
  <c r="A408" i="8"/>
  <c r="A409" i="3"/>
  <c r="C407" i="8"/>
  <c r="D407" i="8"/>
  <c r="F407" i="8"/>
  <c r="E407" i="8"/>
  <c r="G407" i="8"/>
  <c r="B407" i="8"/>
  <c r="I407" i="8" l="1"/>
  <c r="H407" i="8"/>
  <c r="A409" i="8"/>
  <c r="A410" i="3"/>
  <c r="C408" i="8"/>
  <c r="D408" i="8"/>
  <c r="E408" i="8"/>
  <c r="F408" i="8"/>
  <c r="G408" i="8"/>
  <c r="B408" i="8"/>
  <c r="H408" i="8" l="1"/>
  <c r="I408" i="8"/>
  <c r="A410" i="8"/>
  <c r="A411" i="3"/>
  <c r="F409" i="8"/>
  <c r="G409" i="8"/>
  <c r="B409" i="8"/>
  <c r="E409" i="8"/>
  <c r="C409" i="8"/>
  <c r="D409" i="8"/>
  <c r="H409" i="8" l="1"/>
  <c r="I409" i="8"/>
  <c r="A411" i="8"/>
  <c r="A412" i="3"/>
  <c r="D410" i="8"/>
  <c r="E410" i="8"/>
  <c r="G410" i="8"/>
  <c r="B410" i="8"/>
  <c r="C410" i="8"/>
  <c r="F410" i="8"/>
  <c r="A412" i="8" l="1"/>
  <c r="A413" i="3"/>
  <c r="F411" i="8"/>
  <c r="G411" i="8"/>
  <c r="E411" i="8"/>
  <c r="B411" i="8"/>
  <c r="C411" i="8"/>
  <c r="D411" i="8"/>
  <c r="I410" i="8"/>
  <c r="H410" i="8"/>
  <c r="I411" i="8" l="1"/>
  <c r="H411" i="8"/>
  <c r="A413" i="8"/>
  <c r="A414" i="3"/>
  <c r="C412" i="8"/>
  <c r="D412" i="8"/>
  <c r="E412" i="8"/>
  <c r="B412" i="8"/>
  <c r="F412" i="8"/>
  <c r="G412" i="8"/>
  <c r="H412" i="8" l="1"/>
  <c r="I412" i="8"/>
  <c r="A414" i="8"/>
  <c r="A415" i="3"/>
  <c r="F413" i="8"/>
  <c r="G413" i="8"/>
  <c r="E413" i="8"/>
  <c r="B413" i="8"/>
  <c r="C413" i="8"/>
  <c r="D413" i="8"/>
  <c r="H413" i="8" l="1"/>
  <c r="I413" i="8"/>
  <c r="B414" i="8"/>
  <c r="D414" i="8"/>
  <c r="F414" i="8"/>
  <c r="G414" i="8"/>
  <c r="C414" i="8"/>
  <c r="E414" i="8"/>
  <c r="A415" i="8"/>
  <c r="A416" i="3"/>
  <c r="C415" i="8" l="1"/>
  <c r="D415" i="8"/>
  <c r="F415" i="8"/>
  <c r="B415" i="8"/>
  <c r="E415" i="8"/>
  <c r="G415" i="8"/>
  <c r="I414" i="8"/>
  <c r="H414" i="8"/>
  <c r="A416" i="8"/>
  <c r="A417" i="3"/>
  <c r="C416" i="8" l="1"/>
  <c r="D416" i="8"/>
  <c r="E416" i="8"/>
  <c r="B416" i="8"/>
  <c r="F416" i="8"/>
  <c r="G416" i="8"/>
  <c r="A417" i="8"/>
  <c r="A418" i="3"/>
  <c r="I415" i="8"/>
  <c r="H415" i="8"/>
  <c r="H416" i="8" l="1"/>
  <c r="I416" i="8"/>
  <c r="A418" i="8"/>
  <c r="A419" i="3"/>
  <c r="F417" i="8"/>
  <c r="G417" i="8"/>
  <c r="B417" i="8"/>
  <c r="C417" i="8"/>
  <c r="D417" i="8"/>
  <c r="E417" i="8"/>
  <c r="H417" i="8" l="1"/>
  <c r="I417" i="8"/>
  <c r="A419" i="8"/>
  <c r="A420" i="3"/>
  <c r="D418" i="8"/>
  <c r="E418" i="8"/>
  <c r="G418" i="8"/>
  <c r="B418" i="8"/>
  <c r="F418" i="8"/>
  <c r="C418" i="8"/>
  <c r="I418" i="8" l="1"/>
  <c r="H418" i="8"/>
  <c r="A420" i="8"/>
  <c r="A421" i="3"/>
  <c r="C419" i="8"/>
  <c r="D419" i="8"/>
  <c r="G419" i="8"/>
  <c r="B419" i="8"/>
  <c r="E419" i="8"/>
  <c r="F419" i="8"/>
  <c r="I419" i="8" l="1"/>
  <c r="H419" i="8"/>
  <c r="A421" i="8"/>
  <c r="A422" i="3"/>
  <c r="C420" i="8"/>
  <c r="D420" i="8"/>
  <c r="E420" i="8"/>
  <c r="B420" i="8"/>
  <c r="F420" i="8"/>
  <c r="G420" i="8"/>
  <c r="H420" i="8" l="1"/>
  <c r="I420" i="8"/>
  <c r="A422" i="8"/>
  <c r="A423" i="3"/>
  <c r="F421" i="8"/>
  <c r="G421" i="8"/>
  <c r="E421" i="8"/>
  <c r="B421" i="8"/>
  <c r="C421" i="8"/>
  <c r="D421" i="8"/>
  <c r="H421" i="8" l="1"/>
  <c r="I421" i="8"/>
  <c r="A423" i="8"/>
  <c r="A424" i="3"/>
  <c r="D422" i="8"/>
  <c r="E422" i="8"/>
  <c r="G422" i="8"/>
  <c r="B422" i="8"/>
  <c r="C422" i="8"/>
  <c r="F422" i="8"/>
  <c r="I422" i="8" l="1"/>
  <c r="H422" i="8"/>
  <c r="A424" i="8"/>
  <c r="A425" i="3"/>
  <c r="C423" i="8"/>
  <c r="D423" i="8"/>
  <c r="F423" i="8"/>
  <c r="G423" i="8"/>
  <c r="B423" i="8"/>
  <c r="E423" i="8"/>
  <c r="H423" i="8" l="1"/>
  <c r="I423" i="8"/>
  <c r="A425" i="8"/>
  <c r="A426" i="3"/>
  <c r="C424" i="8"/>
  <c r="D424" i="8"/>
  <c r="E424" i="8"/>
  <c r="F424" i="8"/>
  <c r="B424" i="8"/>
  <c r="G424" i="8"/>
  <c r="A426" i="8" l="1"/>
  <c r="A427" i="3"/>
  <c r="H424" i="8"/>
  <c r="I424" i="8"/>
  <c r="F425" i="8"/>
  <c r="G425" i="8"/>
  <c r="B425" i="8"/>
  <c r="E425" i="8"/>
  <c r="C425" i="8"/>
  <c r="D425" i="8"/>
  <c r="H425" i="8" l="1"/>
  <c r="I425" i="8"/>
  <c r="A427" i="8"/>
  <c r="A428" i="3"/>
  <c r="D426" i="8"/>
  <c r="E426" i="8"/>
  <c r="G426" i="8"/>
  <c r="F426" i="8"/>
  <c r="B426" i="8"/>
  <c r="C426" i="8"/>
  <c r="I426" i="8" l="1"/>
  <c r="H426" i="8"/>
  <c r="A428" i="8"/>
  <c r="A429" i="3"/>
  <c r="C427" i="8"/>
  <c r="B427" i="8"/>
  <c r="D427" i="8"/>
  <c r="G427" i="8"/>
  <c r="E427" i="8"/>
  <c r="F427" i="8"/>
  <c r="C428" i="8" l="1"/>
  <c r="D428" i="8"/>
  <c r="E428" i="8"/>
  <c r="B428" i="8"/>
  <c r="F428" i="8"/>
  <c r="G428" i="8"/>
  <c r="I427" i="8"/>
  <c r="H427" i="8"/>
  <c r="A429" i="8"/>
  <c r="A430" i="3"/>
  <c r="A430" i="8" l="1"/>
  <c r="A431" i="3"/>
  <c r="F429" i="8"/>
  <c r="G429" i="8"/>
  <c r="E429" i="8"/>
  <c r="B429" i="8"/>
  <c r="C429" i="8"/>
  <c r="D429" i="8"/>
  <c r="H428" i="8"/>
  <c r="I428" i="8"/>
  <c r="A431" i="8" l="1"/>
  <c r="A432" i="3"/>
  <c r="H429" i="8"/>
  <c r="I429" i="8"/>
  <c r="G430" i="8"/>
  <c r="B430" i="8"/>
  <c r="C430" i="8"/>
  <c r="D430" i="8"/>
  <c r="E430" i="8"/>
  <c r="F430" i="8"/>
  <c r="I430" i="8" l="1"/>
  <c r="H430" i="8"/>
  <c r="A432" i="8"/>
  <c r="A433" i="3"/>
  <c r="C431" i="8"/>
  <c r="D431" i="8"/>
  <c r="F431" i="8"/>
  <c r="E431" i="8"/>
  <c r="B431" i="8"/>
  <c r="G431" i="8"/>
  <c r="H431" i="8" l="1"/>
  <c r="I431" i="8"/>
  <c r="A433" i="8"/>
  <c r="A434" i="3"/>
  <c r="C432" i="8"/>
  <c r="D432" i="8"/>
  <c r="B432" i="8"/>
  <c r="E432" i="8"/>
  <c r="F432" i="8"/>
  <c r="G432" i="8"/>
  <c r="H432" i="8" l="1"/>
  <c r="I432" i="8"/>
  <c r="B433" i="8"/>
  <c r="C433" i="8"/>
  <c r="E433" i="8"/>
  <c r="F433" i="8"/>
  <c r="G433" i="8"/>
  <c r="D433" i="8"/>
  <c r="A434" i="8"/>
  <c r="A435" i="3"/>
  <c r="A435" i="8" l="1"/>
  <c r="A436" i="3"/>
  <c r="B434" i="8"/>
  <c r="C434" i="8"/>
  <c r="E434" i="8"/>
  <c r="F434" i="8"/>
  <c r="G434" i="8"/>
  <c r="D434" i="8"/>
  <c r="H433" i="8"/>
  <c r="I433" i="8"/>
  <c r="H434" i="8" l="1"/>
  <c r="I434" i="8"/>
  <c r="A436" i="8"/>
  <c r="A437" i="3"/>
  <c r="E435" i="8"/>
  <c r="F435" i="8"/>
  <c r="B435" i="8"/>
  <c r="C435" i="8"/>
  <c r="D435" i="8"/>
  <c r="G435" i="8"/>
  <c r="H435" i="8" l="1"/>
  <c r="I435" i="8"/>
  <c r="A437" i="8"/>
  <c r="A438" i="3"/>
  <c r="E436" i="8"/>
  <c r="F436" i="8"/>
  <c r="B436" i="8"/>
  <c r="C436" i="8"/>
  <c r="D436" i="8"/>
  <c r="G436" i="8"/>
  <c r="H436" i="8" l="1"/>
  <c r="I436" i="8"/>
  <c r="A438" i="8"/>
  <c r="A439" i="3"/>
  <c r="B437" i="8"/>
  <c r="C437" i="8"/>
  <c r="D437" i="8"/>
  <c r="E437" i="8"/>
  <c r="F437" i="8"/>
  <c r="G437" i="8"/>
  <c r="A439" i="8" l="1"/>
  <c r="A440" i="3"/>
  <c r="H437" i="8"/>
  <c r="I437" i="8"/>
  <c r="B438" i="8"/>
  <c r="C438" i="8"/>
  <c r="E438" i="8"/>
  <c r="D438" i="8"/>
  <c r="F438" i="8"/>
  <c r="G438" i="8"/>
  <c r="I438" i="8" l="1"/>
  <c r="H438" i="8"/>
  <c r="A440" i="8"/>
  <c r="A441" i="3"/>
  <c r="E439" i="8"/>
  <c r="F439" i="8"/>
  <c r="B439" i="8"/>
  <c r="C439" i="8"/>
  <c r="D439" i="8"/>
  <c r="G439" i="8"/>
  <c r="H439" i="8" l="1"/>
  <c r="I439" i="8"/>
  <c r="A441" i="8"/>
  <c r="A442" i="3"/>
  <c r="B440" i="8"/>
  <c r="C440" i="8"/>
  <c r="F440" i="8"/>
  <c r="G440" i="8"/>
  <c r="D440" i="8"/>
  <c r="E440" i="8"/>
  <c r="H440" i="8" l="1"/>
  <c r="I440" i="8"/>
  <c r="A442" i="8"/>
  <c r="A443" i="3"/>
  <c r="B441" i="8"/>
  <c r="D441" i="8"/>
  <c r="E441" i="8"/>
  <c r="F441" i="8"/>
  <c r="G441" i="8"/>
  <c r="C441" i="8"/>
  <c r="A443" i="8" l="1"/>
  <c r="A444" i="3"/>
  <c r="H441" i="8"/>
  <c r="I441" i="8"/>
  <c r="B442" i="8"/>
  <c r="C442" i="8"/>
  <c r="E442" i="8"/>
  <c r="G442" i="8"/>
  <c r="D442" i="8"/>
  <c r="F442" i="8"/>
  <c r="H442" i="8" l="1"/>
  <c r="I442" i="8"/>
  <c r="A444" i="8"/>
  <c r="A445" i="3"/>
  <c r="E443" i="8"/>
  <c r="F443" i="8"/>
  <c r="G443" i="8"/>
  <c r="C443" i="8"/>
  <c r="D443" i="8"/>
  <c r="B443" i="8"/>
  <c r="B444" i="8" l="1"/>
  <c r="C444" i="8"/>
  <c r="D444" i="8"/>
  <c r="E444" i="8"/>
  <c r="F444" i="8"/>
  <c r="G444" i="8"/>
  <c r="H443" i="8"/>
  <c r="I443" i="8"/>
  <c r="A445" i="8"/>
  <c r="A446" i="3"/>
  <c r="B445" i="8" l="1"/>
  <c r="E445" i="8"/>
  <c r="F445" i="8"/>
  <c r="G445" i="8"/>
  <c r="C445" i="8"/>
  <c r="D445" i="8"/>
  <c r="A446" i="8"/>
  <c r="A447" i="3"/>
  <c r="H444" i="8"/>
  <c r="I444" i="8"/>
  <c r="A447" i="8" l="1"/>
  <c r="A448" i="3"/>
  <c r="B446" i="8"/>
  <c r="C446" i="8"/>
  <c r="E446" i="8"/>
  <c r="D446" i="8"/>
  <c r="F446" i="8"/>
  <c r="G446" i="8"/>
  <c r="H445" i="8"/>
  <c r="I445" i="8"/>
  <c r="I446" i="8" l="1"/>
  <c r="H446" i="8"/>
  <c r="A448" i="8"/>
  <c r="A449" i="3"/>
  <c r="E447" i="8"/>
  <c r="F447" i="8"/>
  <c r="B447" i="8"/>
  <c r="C447" i="8"/>
  <c r="D447" i="8"/>
  <c r="G447" i="8"/>
  <c r="H447" i="8" l="1"/>
  <c r="I447" i="8"/>
  <c r="A449" i="8"/>
  <c r="A450" i="3"/>
  <c r="B448" i="8"/>
  <c r="C448" i="8"/>
  <c r="F448" i="8"/>
  <c r="G448" i="8"/>
  <c r="E448" i="8"/>
  <c r="D448" i="8"/>
  <c r="H448" i="8" l="1"/>
  <c r="I448" i="8"/>
  <c r="A450" i="8"/>
  <c r="A451" i="3"/>
  <c r="B449" i="8"/>
  <c r="C449" i="8"/>
  <c r="D449" i="8"/>
  <c r="E449" i="8"/>
  <c r="F449" i="8"/>
  <c r="G449" i="8"/>
  <c r="H449" i="8" l="1"/>
  <c r="I449" i="8"/>
  <c r="A451" i="8"/>
  <c r="A452" i="3"/>
  <c r="B450" i="8"/>
  <c r="C450" i="8"/>
  <c r="E450" i="8"/>
  <c r="D450" i="8"/>
  <c r="F450" i="8"/>
  <c r="G450" i="8"/>
  <c r="H450" i="8" l="1"/>
  <c r="I450" i="8"/>
  <c r="A452" i="8"/>
  <c r="A453" i="3"/>
  <c r="E451" i="8"/>
  <c r="F451" i="8"/>
  <c r="B451" i="8"/>
  <c r="D451" i="8"/>
  <c r="G451" i="8"/>
  <c r="C451" i="8"/>
  <c r="H451" i="8" l="1"/>
  <c r="I451" i="8"/>
  <c r="A453" i="8"/>
  <c r="A454" i="3"/>
  <c r="E452" i="8"/>
  <c r="F452" i="8"/>
  <c r="B452" i="8"/>
  <c r="C452" i="8"/>
  <c r="D452" i="8"/>
  <c r="G452" i="8"/>
  <c r="H452" i="8" l="1"/>
  <c r="I452" i="8"/>
  <c r="A454" i="8"/>
  <c r="A455" i="3"/>
  <c r="B453" i="8"/>
  <c r="E453" i="8"/>
  <c r="F453" i="8"/>
  <c r="G453" i="8"/>
  <c r="C453" i="8"/>
  <c r="D453" i="8"/>
  <c r="I453" i="8" l="1"/>
  <c r="H453" i="8"/>
  <c r="B454" i="8"/>
  <c r="C454" i="8"/>
  <c r="E454" i="8"/>
  <c r="D454" i="8"/>
  <c r="F454" i="8"/>
  <c r="G454" i="8"/>
  <c r="A455" i="8"/>
  <c r="A456" i="3"/>
  <c r="E455" i="8" l="1"/>
  <c r="F455" i="8"/>
  <c r="B455" i="8"/>
  <c r="D455" i="8"/>
  <c r="G455" i="8"/>
  <c r="C455" i="8"/>
  <c r="A456" i="8"/>
  <c r="A457" i="3"/>
  <c r="H454" i="8"/>
  <c r="I454" i="8"/>
  <c r="A457" i="8" l="1"/>
  <c r="A458" i="3"/>
  <c r="B456" i="8"/>
  <c r="C456" i="8"/>
  <c r="D456" i="8"/>
  <c r="E456" i="8"/>
  <c r="F456" i="8"/>
  <c r="G456" i="8"/>
  <c r="H455" i="8"/>
  <c r="I455" i="8"/>
  <c r="A458" i="8" l="1"/>
  <c r="A459" i="3"/>
  <c r="H456" i="8"/>
  <c r="I456" i="8"/>
  <c r="B457" i="8"/>
  <c r="C457" i="8"/>
  <c r="D457" i="8"/>
  <c r="E457" i="8"/>
  <c r="F457" i="8"/>
  <c r="G457" i="8"/>
  <c r="H457" i="8" l="1"/>
  <c r="I457" i="8"/>
  <c r="A459" i="8"/>
  <c r="A460" i="3"/>
  <c r="B458" i="8"/>
  <c r="C458" i="8"/>
  <c r="E458" i="8"/>
  <c r="F458" i="8"/>
  <c r="G458" i="8"/>
  <c r="D458" i="8"/>
  <c r="H458" i="8" l="1"/>
  <c r="I458" i="8"/>
  <c r="A460" i="8"/>
  <c r="A461" i="3"/>
  <c r="E459" i="8"/>
  <c r="F459" i="8"/>
  <c r="G459" i="8"/>
  <c r="B459" i="8"/>
  <c r="C459" i="8"/>
  <c r="D459" i="8"/>
  <c r="E460" i="8" l="1"/>
  <c r="F460" i="8"/>
  <c r="G460" i="8"/>
  <c r="B460" i="8"/>
  <c r="C460" i="8"/>
  <c r="D460" i="8"/>
  <c r="H459" i="8"/>
  <c r="I459" i="8"/>
  <c r="A461" i="8"/>
  <c r="A462" i="3"/>
  <c r="H460" i="8" l="1"/>
  <c r="I460" i="8"/>
  <c r="B461" i="8"/>
  <c r="D461" i="8"/>
  <c r="E461" i="8"/>
  <c r="F461" i="8"/>
  <c r="G461" i="8"/>
  <c r="C461" i="8"/>
  <c r="A462" i="8"/>
  <c r="A463" i="3"/>
  <c r="F462" i="8" l="1"/>
  <c r="G462" i="8"/>
  <c r="B462" i="8"/>
  <c r="C462" i="8"/>
  <c r="D462" i="8"/>
  <c r="E462" i="8"/>
  <c r="H461" i="8"/>
  <c r="I461" i="8"/>
  <c r="A463" i="8"/>
  <c r="A464" i="3"/>
  <c r="B463" i="8" l="1"/>
  <c r="C463" i="8"/>
  <c r="D463" i="8"/>
  <c r="G463" i="8"/>
  <c r="E463" i="8"/>
  <c r="F463" i="8"/>
  <c r="H462" i="8"/>
  <c r="I462" i="8"/>
  <c r="A464" i="8"/>
  <c r="A465" i="3"/>
  <c r="A465" i="8" l="1"/>
  <c r="A466" i="3"/>
  <c r="E464" i="8"/>
  <c r="F464" i="8"/>
  <c r="G464" i="8"/>
  <c r="C464" i="8"/>
  <c r="D464" i="8"/>
  <c r="B464" i="8"/>
  <c r="H463" i="8"/>
  <c r="I463" i="8"/>
  <c r="A466" i="8" l="1"/>
  <c r="A467" i="3"/>
  <c r="H464" i="8"/>
  <c r="I464" i="8"/>
  <c r="G465" i="8"/>
  <c r="B465" i="8"/>
  <c r="C465" i="8"/>
  <c r="E465" i="8"/>
  <c r="F465" i="8"/>
  <c r="D465" i="8"/>
  <c r="H465" i="8" l="1"/>
  <c r="I465" i="8"/>
  <c r="A467" i="8"/>
  <c r="A468" i="3"/>
  <c r="C466" i="8"/>
  <c r="D466" i="8"/>
  <c r="E466" i="8"/>
  <c r="B466" i="8"/>
  <c r="F466" i="8"/>
  <c r="G466" i="8"/>
  <c r="H466" i="8" l="1"/>
  <c r="I466" i="8"/>
  <c r="B467" i="8"/>
  <c r="C467" i="8"/>
  <c r="D467" i="8"/>
  <c r="F467" i="8"/>
  <c r="G467" i="8"/>
  <c r="E467" i="8"/>
  <c r="A468" i="8"/>
  <c r="A469" i="3"/>
  <c r="A469" i="8" l="1"/>
  <c r="A470" i="3"/>
  <c r="E468" i="8"/>
  <c r="F468" i="8"/>
  <c r="G468" i="8"/>
  <c r="B468" i="8"/>
  <c r="D468" i="8"/>
  <c r="C468" i="8"/>
  <c r="I467" i="8"/>
  <c r="H467" i="8"/>
  <c r="H468" i="8" l="1"/>
  <c r="I468" i="8"/>
  <c r="A470" i="8"/>
  <c r="A471" i="3"/>
  <c r="F469" i="8"/>
  <c r="G469" i="8"/>
  <c r="B469" i="8"/>
  <c r="C469" i="8"/>
  <c r="D469" i="8"/>
  <c r="E469" i="8"/>
  <c r="H469" i="8" l="1"/>
  <c r="I469" i="8"/>
  <c r="A471" i="8"/>
  <c r="A472" i="3"/>
  <c r="B470" i="8"/>
  <c r="G470" i="8"/>
  <c r="C470" i="8"/>
  <c r="D470" i="8"/>
  <c r="E470" i="8"/>
  <c r="F470" i="8"/>
  <c r="A472" i="8" l="1"/>
  <c r="A473" i="3"/>
  <c r="H470" i="8"/>
  <c r="I470" i="8"/>
  <c r="B471" i="8"/>
  <c r="C471" i="8"/>
  <c r="D471" i="8"/>
  <c r="F471" i="8"/>
  <c r="G471" i="8"/>
  <c r="E471" i="8"/>
  <c r="H471" i="8" l="1"/>
  <c r="I471" i="8"/>
  <c r="A473" i="8"/>
  <c r="A474" i="3"/>
  <c r="E472" i="8"/>
  <c r="F472" i="8"/>
  <c r="G472" i="8"/>
  <c r="B472" i="8"/>
  <c r="C472" i="8"/>
  <c r="D472" i="8"/>
  <c r="H472" i="8" l="1"/>
  <c r="I472" i="8"/>
  <c r="A474" i="8"/>
  <c r="A475" i="3"/>
  <c r="C473" i="8"/>
  <c r="D473" i="8"/>
  <c r="E473" i="8"/>
  <c r="B473" i="8"/>
  <c r="F473" i="8"/>
  <c r="G473" i="8"/>
  <c r="A475" i="8" l="1"/>
  <c r="A476" i="3"/>
  <c r="H473" i="8"/>
  <c r="I473" i="8"/>
  <c r="F474" i="8"/>
  <c r="G474" i="8"/>
  <c r="B474" i="8"/>
  <c r="C474" i="8"/>
  <c r="D474" i="8"/>
  <c r="E474" i="8"/>
  <c r="I474" i="8" l="1"/>
  <c r="H474" i="8"/>
  <c r="A476" i="8"/>
  <c r="A477" i="3"/>
  <c r="B475" i="8"/>
  <c r="C475" i="8"/>
  <c r="D475" i="8"/>
  <c r="E475" i="8"/>
  <c r="G475" i="8"/>
  <c r="F475" i="8"/>
  <c r="A477" i="8" l="1"/>
  <c r="A478" i="3"/>
  <c r="H475" i="8"/>
  <c r="I475" i="8"/>
  <c r="E476" i="8"/>
  <c r="F476" i="8"/>
  <c r="G476" i="8"/>
  <c r="C476" i="8"/>
  <c r="D476" i="8"/>
  <c r="B476" i="8"/>
  <c r="I476" i="8" l="1"/>
  <c r="H476" i="8"/>
  <c r="A478" i="8"/>
  <c r="A479" i="3"/>
  <c r="B477" i="8"/>
  <c r="G477" i="8"/>
  <c r="C477" i="8"/>
  <c r="D477" i="8"/>
  <c r="E477" i="8"/>
  <c r="F477" i="8"/>
  <c r="A479" i="8" l="1"/>
  <c r="A480" i="3"/>
  <c r="H477" i="8"/>
  <c r="I477" i="8"/>
  <c r="F478" i="8"/>
  <c r="G478" i="8"/>
  <c r="B478" i="8"/>
  <c r="C478" i="8"/>
  <c r="D478" i="8"/>
  <c r="E478" i="8"/>
  <c r="H478" i="8" l="1"/>
  <c r="I478" i="8"/>
  <c r="A480" i="8"/>
  <c r="A481" i="3"/>
  <c r="B479" i="8"/>
  <c r="C479" i="8"/>
  <c r="D479" i="8"/>
  <c r="E479" i="8"/>
  <c r="F479" i="8"/>
  <c r="G479" i="8"/>
  <c r="H479" i="8" l="1"/>
  <c r="I479" i="8"/>
  <c r="A481" i="8"/>
  <c r="A482" i="3"/>
  <c r="E480" i="8"/>
  <c r="F480" i="8"/>
  <c r="C480" i="8"/>
  <c r="D480" i="8"/>
  <c r="G480" i="8"/>
  <c r="B480" i="8"/>
  <c r="H480" i="8" l="1"/>
  <c r="I480" i="8"/>
  <c r="A482" i="8"/>
  <c r="A483" i="3"/>
  <c r="E481" i="8"/>
  <c r="F481" i="8"/>
  <c r="G481" i="8"/>
  <c r="B481" i="8"/>
  <c r="C481" i="8"/>
  <c r="D481" i="8"/>
  <c r="H481" i="8" l="1"/>
  <c r="I481" i="8"/>
  <c r="A483" i="8"/>
  <c r="A484" i="3"/>
  <c r="C482" i="8"/>
  <c r="D482" i="8"/>
  <c r="E482" i="8"/>
  <c r="F482" i="8"/>
  <c r="B482" i="8"/>
  <c r="G482" i="8"/>
  <c r="H482" i="8" l="1"/>
  <c r="I482" i="8"/>
  <c r="A484" i="8"/>
  <c r="A485" i="3"/>
  <c r="B483" i="8"/>
  <c r="C483" i="8"/>
  <c r="D483" i="8"/>
  <c r="E483" i="8"/>
  <c r="G483" i="8"/>
  <c r="F483" i="8"/>
  <c r="A485" i="8" l="1"/>
  <c r="A486" i="3"/>
  <c r="I483" i="8"/>
  <c r="H483" i="8"/>
  <c r="E484" i="8"/>
  <c r="F484" i="8"/>
  <c r="G484" i="8"/>
  <c r="B484" i="8"/>
  <c r="C484" i="8"/>
  <c r="D484" i="8"/>
  <c r="H484" i="8" l="1"/>
  <c r="I484" i="8"/>
  <c r="A486" i="8"/>
  <c r="A487" i="3"/>
  <c r="F485" i="8"/>
  <c r="G485" i="8"/>
  <c r="E485" i="8"/>
  <c r="B485" i="8"/>
  <c r="C485" i="8"/>
  <c r="D485" i="8"/>
  <c r="H485" i="8" l="1"/>
  <c r="I485" i="8"/>
  <c r="A487" i="8"/>
  <c r="A488" i="3"/>
  <c r="B486" i="8"/>
  <c r="C486" i="8"/>
  <c r="D486" i="8"/>
  <c r="E486" i="8"/>
  <c r="F486" i="8"/>
  <c r="G486" i="8"/>
  <c r="H486" i="8" l="1"/>
  <c r="I486" i="8"/>
  <c r="A488" i="8"/>
  <c r="A489" i="3"/>
  <c r="B487" i="8"/>
  <c r="C487" i="8"/>
  <c r="D487" i="8"/>
  <c r="F487" i="8"/>
  <c r="G487" i="8"/>
  <c r="E487" i="8"/>
  <c r="H487" i="8" l="1"/>
  <c r="I487" i="8"/>
  <c r="A489" i="8"/>
  <c r="A490" i="3"/>
  <c r="E488" i="8"/>
  <c r="F488" i="8"/>
  <c r="G488" i="8"/>
  <c r="B488" i="8"/>
  <c r="C488" i="8"/>
  <c r="D488" i="8"/>
  <c r="H488" i="8" l="1"/>
  <c r="I488" i="8"/>
  <c r="A490" i="8"/>
  <c r="A491" i="3"/>
  <c r="C489" i="8"/>
  <c r="D489" i="8"/>
  <c r="E489" i="8"/>
  <c r="F489" i="8"/>
  <c r="G489" i="8"/>
  <c r="B489" i="8"/>
  <c r="H489" i="8" l="1"/>
  <c r="I489" i="8"/>
  <c r="A491" i="8"/>
  <c r="A492" i="3"/>
  <c r="B490" i="8"/>
  <c r="C490" i="8"/>
  <c r="D490" i="8"/>
  <c r="E490" i="8"/>
  <c r="F490" i="8"/>
  <c r="G490" i="8"/>
  <c r="I490" i="8" l="1"/>
  <c r="H490" i="8"/>
  <c r="A492" i="8"/>
  <c r="A493" i="3"/>
  <c r="B491" i="8"/>
  <c r="C491" i="8"/>
  <c r="D491" i="8"/>
  <c r="E491" i="8"/>
  <c r="F491" i="8"/>
  <c r="G491" i="8"/>
  <c r="H491" i="8" l="1"/>
  <c r="I491" i="8"/>
  <c r="A493" i="8"/>
  <c r="A494" i="3"/>
  <c r="E492" i="8"/>
  <c r="F492" i="8"/>
  <c r="G492" i="8"/>
  <c r="B492" i="8"/>
  <c r="C492" i="8"/>
  <c r="D492" i="8"/>
  <c r="I492" i="8" l="1"/>
  <c r="H492" i="8"/>
  <c r="B493" i="8"/>
  <c r="C493" i="8"/>
  <c r="E493" i="8"/>
  <c r="F493" i="8"/>
  <c r="G493" i="8"/>
  <c r="D493" i="8"/>
  <c r="A494" i="8"/>
  <c r="A495" i="3"/>
  <c r="A495" i="8" l="1"/>
  <c r="A496" i="3"/>
  <c r="F494" i="8"/>
  <c r="G494" i="8"/>
  <c r="B494" i="8"/>
  <c r="C494" i="8"/>
  <c r="D494" i="8"/>
  <c r="E494" i="8"/>
  <c r="H493" i="8"/>
  <c r="I493" i="8"/>
  <c r="H494" i="8" l="1"/>
  <c r="I494" i="8"/>
  <c r="A496" i="8"/>
  <c r="A497" i="3"/>
  <c r="B495" i="8"/>
  <c r="C495" i="8"/>
  <c r="D495" i="8"/>
  <c r="E495" i="8"/>
  <c r="F495" i="8"/>
  <c r="G495" i="8"/>
  <c r="A497" i="8" l="1"/>
  <c r="A498" i="3"/>
  <c r="H495" i="8"/>
  <c r="I495" i="8"/>
  <c r="E496" i="8"/>
  <c r="F496" i="8"/>
  <c r="G496" i="8"/>
  <c r="C496" i="8"/>
  <c r="D496" i="8"/>
  <c r="B496" i="8"/>
  <c r="H496" i="8" l="1"/>
  <c r="I496" i="8"/>
  <c r="A498" i="8"/>
  <c r="A499" i="3"/>
  <c r="E497" i="8"/>
  <c r="F497" i="8"/>
  <c r="G497" i="8"/>
  <c r="B497" i="8"/>
  <c r="C497" i="8"/>
  <c r="D497" i="8"/>
  <c r="H497" i="8" l="1"/>
  <c r="I497" i="8"/>
  <c r="A499" i="8"/>
  <c r="A500" i="3"/>
  <c r="C498" i="8"/>
  <c r="D498" i="8"/>
  <c r="E498" i="8"/>
  <c r="F498" i="8"/>
  <c r="B498" i="8"/>
  <c r="G498" i="8"/>
  <c r="H498" i="8" l="1"/>
  <c r="I498" i="8"/>
  <c r="B499" i="8"/>
  <c r="C499" i="8"/>
  <c r="D499" i="8"/>
  <c r="E499" i="8"/>
  <c r="F499" i="8"/>
  <c r="G499" i="8"/>
  <c r="A500" i="8"/>
  <c r="A501" i="3"/>
  <c r="A501" i="8" l="1"/>
  <c r="A502" i="3"/>
  <c r="I499" i="8"/>
  <c r="H499" i="8"/>
  <c r="E500" i="8"/>
  <c r="F500" i="8"/>
  <c r="G500" i="8"/>
  <c r="B500" i="8"/>
  <c r="C500" i="8"/>
  <c r="D500" i="8"/>
  <c r="H500" i="8" l="1"/>
  <c r="I500" i="8"/>
  <c r="A502" i="8"/>
  <c r="A503" i="3"/>
  <c r="F501" i="8"/>
  <c r="G501" i="8"/>
  <c r="B501" i="8"/>
  <c r="C501" i="8"/>
  <c r="D501" i="8"/>
  <c r="E501" i="8"/>
  <c r="H501" i="8" l="1"/>
  <c r="I501" i="8"/>
  <c r="A503" i="8"/>
  <c r="A504" i="3"/>
  <c r="B502" i="8"/>
  <c r="C502" i="8"/>
  <c r="D502" i="8"/>
  <c r="E502" i="8"/>
  <c r="F502" i="8"/>
  <c r="G502" i="8"/>
  <c r="A504" i="8" l="1"/>
  <c r="A505" i="3"/>
  <c r="H502" i="8"/>
  <c r="I502" i="8"/>
  <c r="B503" i="8"/>
  <c r="C503" i="8"/>
  <c r="D503" i="8"/>
  <c r="F503" i="8"/>
  <c r="G503" i="8"/>
  <c r="E503" i="8"/>
  <c r="H503" i="8" l="1"/>
  <c r="I503" i="8"/>
  <c r="A505" i="8"/>
  <c r="A506" i="3"/>
  <c r="E504" i="8"/>
  <c r="F504" i="8"/>
  <c r="G504" i="8"/>
  <c r="B504" i="8"/>
  <c r="C504" i="8"/>
  <c r="D504" i="8"/>
  <c r="H504" i="8" l="1"/>
  <c r="I504" i="8"/>
  <c r="A506" i="8"/>
  <c r="A507" i="3"/>
  <c r="C505" i="8"/>
  <c r="D505" i="8"/>
  <c r="E505" i="8"/>
  <c r="F505" i="8"/>
  <c r="G505" i="8"/>
  <c r="B505" i="8"/>
  <c r="H505" i="8" l="1"/>
  <c r="I505" i="8"/>
  <c r="A507" i="8"/>
  <c r="A508" i="3"/>
  <c r="B506" i="8"/>
  <c r="C506" i="8"/>
  <c r="D506" i="8"/>
  <c r="E506" i="8"/>
  <c r="F506" i="8"/>
  <c r="G506" i="8"/>
  <c r="I506" i="8" l="1"/>
  <c r="H506" i="8"/>
  <c r="A508" i="8"/>
  <c r="A509" i="3"/>
  <c r="B507" i="8"/>
  <c r="C507" i="8"/>
  <c r="D507" i="8"/>
  <c r="E507" i="8"/>
  <c r="F507" i="8"/>
  <c r="G507" i="8"/>
  <c r="H507" i="8" l="1"/>
  <c r="I507" i="8"/>
  <c r="A509" i="8"/>
  <c r="A510" i="3"/>
  <c r="E508" i="8"/>
  <c r="F508" i="8"/>
  <c r="G508" i="8"/>
  <c r="B508" i="8"/>
  <c r="C508" i="8"/>
  <c r="D508" i="8"/>
  <c r="I508" i="8" l="1"/>
  <c r="H508" i="8"/>
  <c r="A510" i="8"/>
  <c r="A511" i="3"/>
  <c r="B509" i="8"/>
  <c r="C509" i="8"/>
  <c r="D509" i="8"/>
  <c r="E509" i="8"/>
  <c r="F509" i="8"/>
  <c r="G509" i="8"/>
  <c r="A511" i="8" l="1"/>
  <c r="A512" i="3"/>
  <c r="H509" i="8"/>
  <c r="I509" i="8"/>
  <c r="F510" i="8"/>
  <c r="G510" i="8"/>
  <c r="B510" i="8"/>
  <c r="C510" i="8"/>
  <c r="D510" i="8"/>
  <c r="E510" i="8"/>
  <c r="H510" i="8" l="1"/>
  <c r="I510" i="8"/>
  <c r="A512" i="8"/>
  <c r="A513" i="3"/>
  <c r="B511" i="8"/>
  <c r="C511" i="8"/>
  <c r="D511" i="8"/>
  <c r="E511" i="8"/>
  <c r="F511" i="8"/>
  <c r="G511" i="8"/>
  <c r="E512" i="8" l="1"/>
  <c r="F512" i="8"/>
  <c r="G512" i="8"/>
  <c r="C512" i="8"/>
  <c r="D512" i="8"/>
  <c r="B512" i="8"/>
  <c r="A513" i="8"/>
  <c r="A514" i="3"/>
  <c r="H511" i="8"/>
  <c r="I511" i="8"/>
  <c r="H512" i="8" l="1"/>
  <c r="I512" i="8"/>
  <c r="A514" i="8"/>
  <c r="A515" i="3"/>
  <c r="E513" i="8"/>
  <c r="F513" i="8"/>
  <c r="G513" i="8"/>
  <c r="C513" i="8"/>
  <c r="D513" i="8"/>
  <c r="B513" i="8"/>
  <c r="H513" i="8" l="1"/>
  <c r="I513" i="8"/>
  <c r="A515" i="8"/>
  <c r="A516" i="3"/>
  <c r="C514" i="8"/>
  <c r="D514" i="8"/>
  <c r="E514" i="8"/>
  <c r="F514" i="8"/>
  <c r="B514" i="8"/>
  <c r="G514" i="8"/>
  <c r="H514" i="8" l="1"/>
  <c r="I514" i="8"/>
  <c r="A516" i="8"/>
  <c r="A517" i="3"/>
  <c r="B515" i="8"/>
  <c r="C515" i="8"/>
  <c r="D515" i="8"/>
  <c r="E515" i="8"/>
  <c r="F515" i="8"/>
  <c r="G515" i="8"/>
  <c r="I515" i="8" l="1"/>
  <c r="H515" i="8"/>
  <c r="A517" i="8"/>
  <c r="A518" i="3"/>
  <c r="E516" i="8"/>
  <c r="F516" i="8"/>
  <c r="B516" i="8"/>
  <c r="C516" i="8"/>
  <c r="D516" i="8"/>
  <c r="G516" i="8"/>
  <c r="H516" i="8" l="1"/>
  <c r="I516" i="8"/>
  <c r="A518" i="8"/>
  <c r="A519" i="3"/>
  <c r="E517" i="8"/>
  <c r="F517" i="8"/>
  <c r="G517" i="8"/>
  <c r="D517" i="8"/>
  <c r="B517" i="8"/>
  <c r="C517" i="8"/>
  <c r="H517" i="8" l="1"/>
  <c r="I517" i="8"/>
  <c r="A519" i="8"/>
  <c r="A520" i="3"/>
  <c r="F518" i="8"/>
  <c r="G518" i="8"/>
  <c r="B518" i="8"/>
  <c r="C518" i="8"/>
  <c r="D518" i="8"/>
  <c r="E518" i="8"/>
  <c r="H518" i="8" l="1"/>
  <c r="I518" i="8"/>
  <c r="A520" i="8"/>
  <c r="A521" i="3"/>
  <c r="B519" i="8"/>
  <c r="C519" i="8"/>
  <c r="D519" i="8"/>
  <c r="E519" i="8"/>
  <c r="F519" i="8"/>
  <c r="G519" i="8"/>
  <c r="H519" i="8" l="1"/>
  <c r="I519" i="8"/>
  <c r="A521" i="8"/>
  <c r="A522" i="3"/>
  <c r="E520" i="8"/>
  <c r="F520" i="8"/>
  <c r="B520" i="8"/>
  <c r="C520" i="8"/>
  <c r="D520" i="8"/>
  <c r="G520" i="8"/>
  <c r="H520" i="8" l="1"/>
  <c r="I520" i="8"/>
  <c r="A522" i="8"/>
  <c r="A523" i="3"/>
  <c r="B521" i="8"/>
  <c r="C521" i="8"/>
  <c r="D521" i="8"/>
  <c r="E521" i="8"/>
  <c r="F521" i="8"/>
  <c r="G521" i="8"/>
  <c r="H521" i="8" l="1"/>
  <c r="I521" i="8"/>
  <c r="A523" i="8"/>
  <c r="A524" i="3"/>
  <c r="B522" i="8"/>
  <c r="C522" i="8"/>
  <c r="D522" i="8"/>
  <c r="E522" i="8"/>
  <c r="F522" i="8"/>
  <c r="G522" i="8"/>
  <c r="H522" i="8" l="1"/>
  <c r="I522" i="8"/>
  <c r="A524" i="8"/>
  <c r="A525" i="3"/>
  <c r="E523" i="8"/>
  <c r="F523" i="8"/>
  <c r="G523" i="8"/>
  <c r="B523" i="8"/>
  <c r="C523" i="8"/>
  <c r="D523" i="8"/>
  <c r="H523" i="8" l="1"/>
  <c r="I523" i="8"/>
  <c r="A525" i="8"/>
  <c r="A526" i="3"/>
  <c r="D524" i="8"/>
  <c r="E524" i="8"/>
  <c r="F524" i="8"/>
  <c r="G524" i="8"/>
  <c r="B524" i="8"/>
  <c r="C524" i="8"/>
  <c r="B525" i="8" l="1"/>
  <c r="C525" i="8"/>
  <c r="D525" i="8"/>
  <c r="E525" i="8"/>
  <c r="F525" i="8"/>
  <c r="G525" i="8"/>
  <c r="H524" i="8"/>
  <c r="I524" i="8"/>
  <c r="A526" i="8"/>
  <c r="A527" i="3"/>
  <c r="A527" i="8" l="1"/>
  <c r="A528" i="3"/>
  <c r="B526" i="8"/>
  <c r="C526" i="8"/>
  <c r="D526" i="8"/>
  <c r="E526" i="8"/>
  <c r="F526" i="8"/>
  <c r="G526" i="8"/>
  <c r="I525" i="8"/>
  <c r="H525" i="8"/>
  <c r="H526" i="8" l="1"/>
  <c r="I526" i="8"/>
  <c r="A528" i="8"/>
  <c r="A529" i="3"/>
  <c r="E527" i="8"/>
  <c r="F527" i="8"/>
  <c r="G527" i="8"/>
  <c r="B527" i="8"/>
  <c r="C527" i="8"/>
  <c r="D527" i="8"/>
  <c r="H527" i="8" l="1"/>
  <c r="I527" i="8"/>
  <c r="A529" i="8"/>
  <c r="A530" i="3"/>
  <c r="B528" i="8"/>
  <c r="C528" i="8"/>
  <c r="D528" i="8"/>
  <c r="E528" i="8"/>
  <c r="F528" i="8"/>
  <c r="G528" i="8"/>
  <c r="H528" i="8" l="1"/>
  <c r="I528" i="8"/>
  <c r="B529" i="8"/>
  <c r="C529" i="8"/>
  <c r="D529" i="8"/>
  <c r="E529" i="8"/>
  <c r="F529" i="8"/>
  <c r="G529" i="8"/>
  <c r="A530" i="8"/>
  <c r="A531" i="3"/>
  <c r="A531" i="8" l="1"/>
  <c r="A532" i="3"/>
  <c r="B530" i="8"/>
  <c r="C530" i="8"/>
  <c r="D530" i="8"/>
  <c r="E530" i="8"/>
  <c r="F530" i="8"/>
  <c r="G530" i="8"/>
  <c r="H529" i="8"/>
  <c r="I529" i="8"/>
  <c r="H530" i="8" l="1"/>
  <c r="I530" i="8"/>
  <c r="A532" i="8"/>
  <c r="A533" i="3"/>
  <c r="E531" i="8"/>
  <c r="F531" i="8"/>
  <c r="G531" i="8"/>
  <c r="B531" i="8"/>
  <c r="C531" i="8"/>
  <c r="D531" i="8"/>
  <c r="H531" i="8" l="1"/>
  <c r="I531" i="8"/>
  <c r="A533" i="8"/>
  <c r="A534" i="3"/>
  <c r="B532" i="8"/>
  <c r="C532" i="8"/>
  <c r="D532" i="8"/>
  <c r="F532" i="8"/>
  <c r="G532" i="8"/>
  <c r="E532" i="8"/>
  <c r="H532" i="8" l="1"/>
  <c r="I532" i="8"/>
  <c r="A534" i="8"/>
  <c r="A535" i="3"/>
  <c r="B533" i="8"/>
  <c r="C533" i="8"/>
  <c r="D533" i="8"/>
  <c r="E533" i="8"/>
  <c r="F533" i="8"/>
  <c r="G533" i="8"/>
  <c r="H533" i="8" l="1"/>
  <c r="I533" i="8"/>
  <c r="A535" i="8"/>
  <c r="A536" i="3"/>
  <c r="B534" i="8"/>
  <c r="C534" i="8"/>
  <c r="D534" i="8"/>
  <c r="E534" i="8"/>
  <c r="F534" i="8"/>
  <c r="G534" i="8"/>
  <c r="E535" i="8" l="1"/>
  <c r="F535" i="8"/>
  <c r="G535" i="8"/>
  <c r="B535" i="8"/>
  <c r="C535" i="8"/>
  <c r="D535" i="8"/>
  <c r="H534" i="8"/>
  <c r="I534" i="8"/>
  <c r="A536" i="8"/>
  <c r="A537" i="3"/>
  <c r="H535" i="8" l="1"/>
  <c r="I535" i="8"/>
  <c r="D536" i="8"/>
  <c r="E536" i="8"/>
  <c r="F536" i="8"/>
  <c r="G536" i="8"/>
  <c r="B536" i="8"/>
  <c r="C536" i="8"/>
  <c r="A537" i="8"/>
  <c r="A538" i="3"/>
  <c r="A538" i="8" l="1"/>
  <c r="A539" i="3"/>
  <c r="B537" i="8"/>
  <c r="C537" i="8"/>
  <c r="D537" i="8"/>
  <c r="E537" i="8"/>
  <c r="F537" i="8"/>
  <c r="G537" i="8"/>
  <c r="H536" i="8"/>
  <c r="I536" i="8"/>
  <c r="A539" i="8" l="1"/>
  <c r="A540" i="3"/>
  <c r="H537" i="8"/>
  <c r="I537" i="8"/>
  <c r="B538" i="8"/>
  <c r="C538" i="8"/>
  <c r="D538" i="8"/>
  <c r="E538" i="8"/>
  <c r="F538" i="8"/>
  <c r="G538" i="8"/>
  <c r="H538" i="8" l="1"/>
  <c r="I538" i="8"/>
  <c r="A540" i="8"/>
  <c r="A541" i="3"/>
  <c r="E539" i="8"/>
  <c r="F539" i="8"/>
  <c r="G539" i="8"/>
  <c r="B539" i="8"/>
  <c r="C539" i="8"/>
  <c r="D539" i="8"/>
  <c r="A541" i="8" l="1"/>
  <c r="A542" i="3"/>
  <c r="H539" i="8"/>
  <c r="I539" i="8"/>
  <c r="B540" i="8"/>
  <c r="C540" i="8"/>
  <c r="D540" i="8"/>
  <c r="G540" i="8"/>
  <c r="E540" i="8"/>
  <c r="F540" i="8"/>
  <c r="H540" i="8" l="1"/>
  <c r="I540" i="8"/>
  <c r="A542" i="8"/>
  <c r="A543" i="3"/>
  <c r="B541" i="8"/>
  <c r="C541" i="8"/>
  <c r="D541" i="8"/>
  <c r="E541" i="8"/>
  <c r="F541" i="8"/>
  <c r="G541" i="8"/>
  <c r="H541" i="8" l="1"/>
  <c r="I541" i="8"/>
  <c r="A543" i="8"/>
  <c r="A544" i="3"/>
  <c r="B542" i="8"/>
  <c r="C542" i="8"/>
  <c r="D542" i="8"/>
  <c r="E542" i="8"/>
  <c r="F542" i="8"/>
  <c r="G542" i="8"/>
  <c r="A544" i="8" l="1"/>
  <c r="A545" i="3"/>
  <c r="H542" i="8"/>
  <c r="I542" i="8"/>
  <c r="E543" i="8"/>
  <c r="F543" i="8"/>
  <c r="G543" i="8"/>
  <c r="B543" i="8"/>
  <c r="C543" i="8"/>
  <c r="D543" i="8"/>
  <c r="H543" i="8" l="1"/>
  <c r="I543" i="8"/>
  <c r="A545" i="8"/>
  <c r="A546" i="3"/>
  <c r="E544" i="8"/>
  <c r="F544" i="8"/>
  <c r="G544" i="8"/>
  <c r="D544" i="8"/>
  <c r="B544" i="8"/>
  <c r="C544" i="8"/>
  <c r="H544" i="8" l="1"/>
  <c r="I544" i="8"/>
  <c r="A546" i="8"/>
  <c r="A547" i="3"/>
  <c r="B545" i="8"/>
  <c r="C545" i="8"/>
  <c r="D545" i="8"/>
  <c r="E545" i="8"/>
  <c r="F545" i="8"/>
  <c r="G545" i="8"/>
  <c r="H545" i="8" l="1"/>
  <c r="I545" i="8"/>
  <c r="A547" i="8"/>
  <c r="A548" i="3"/>
  <c r="B546" i="8"/>
  <c r="C546" i="8"/>
  <c r="D546" i="8"/>
  <c r="E546" i="8"/>
  <c r="F546" i="8"/>
  <c r="G546" i="8"/>
  <c r="A548" i="8" l="1"/>
  <c r="A549" i="3"/>
  <c r="H546" i="8"/>
  <c r="I546" i="8"/>
  <c r="E547" i="8"/>
  <c r="F547" i="8"/>
  <c r="G547" i="8"/>
  <c r="B547" i="8"/>
  <c r="C547" i="8"/>
  <c r="D547" i="8"/>
  <c r="H547" i="8" l="1"/>
  <c r="I547" i="8"/>
  <c r="A549" i="8"/>
  <c r="A550" i="3"/>
  <c r="D548" i="8"/>
  <c r="E548" i="8"/>
  <c r="F548" i="8"/>
  <c r="G548" i="8"/>
  <c r="B548" i="8"/>
  <c r="C548" i="8"/>
  <c r="A550" i="8" l="1"/>
  <c r="A551" i="3"/>
  <c r="H548" i="8"/>
  <c r="I548" i="8"/>
  <c r="B549" i="8"/>
  <c r="C549" i="8"/>
  <c r="D549" i="8"/>
  <c r="E549" i="8"/>
  <c r="F549" i="8"/>
  <c r="G549" i="8"/>
  <c r="H549" i="8" l="1"/>
  <c r="I549" i="8"/>
  <c r="A551" i="8"/>
  <c r="A552" i="3"/>
  <c r="B550" i="8"/>
  <c r="C550" i="8"/>
  <c r="D550" i="8"/>
  <c r="E550" i="8"/>
  <c r="F550" i="8"/>
  <c r="G550" i="8"/>
  <c r="H550" i="8" l="1"/>
  <c r="I550" i="8"/>
  <c r="A552" i="8"/>
  <c r="A553" i="3"/>
  <c r="E551" i="8"/>
  <c r="F551" i="8"/>
  <c r="G551" i="8"/>
  <c r="B551" i="8"/>
  <c r="C551" i="8"/>
  <c r="D551" i="8"/>
  <c r="H551" i="8" l="1"/>
  <c r="I551" i="8"/>
  <c r="A553" i="8"/>
  <c r="A554" i="3"/>
  <c r="B552" i="8"/>
  <c r="C552" i="8"/>
  <c r="D552" i="8"/>
  <c r="E552" i="8"/>
  <c r="F552" i="8"/>
  <c r="G552" i="8"/>
  <c r="B553" i="8" l="1"/>
  <c r="C553" i="8"/>
  <c r="D553" i="8"/>
  <c r="E553" i="8"/>
  <c r="F553" i="8"/>
  <c r="G553" i="8"/>
  <c r="A554" i="8"/>
  <c r="A555" i="3"/>
  <c r="H552" i="8"/>
  <c r="I552" i="8"/>
  <c r="B554" i="8" l="1"/>
  <c r="C554" i="8"/>
  <c r="D554" i="8"/>
  <c r="E554" i="8"/>
  <c r="F554" i="8"/>
  <c r="G554" i="8"/>
  <c r="A555" i="8"/>
  <c r="A556" i="3"/>
  <c r="I553" i="8"/>
  <c r="H553" i="8"/>
  <c r="E555" i="8" l="1"/>
  <c r="F555" i="8"/>
  <c r="G555" i="8"/>
  <c r="B555" i="8"/>
  <c r="C555" i="8"/>
  <c r="D555" i="8"/>
  <c r="A556" i="8"/>
  <c r="A557" i="3"/>
  <c r="H554" i="8"/>
  <c r="I554" i="8"/>
  <c r="D556" i="8" l="1"/>
  <c r="E556" i="8"/>
  <c r="F556" i="8"/>
  <c r="G556" i="8"/>
  <c r="B556" i="8"/>
  <c r="C556" i="8"/>
  <c r="A557" i="8"/>
  <c r="A558" i="3"/>
  <c r="H555" i="8"/>
  <c r="I555" i="8"/>
  <c r="A558" i="8" l="1"/>
  <c r="A559" i="3"/>
  <c r="B557" i="8"/>
  <c r="C557" i="8"/>
  <c r="D557" i="8"/>
  <c r="E557" i="8"/>
  <c r="F557" i="8"/>
  <c r="G557" i="8"/>
  <c r="H556" i="8"/>
  <c r="I556" i="8"/>
  <c r="H557" i="8" l="1"/>
  <c r="I557" i="8"/>
  <c r="A559" i="8"/>
  <c r="A560" i="3"/>
  <c r="B558" i="8"/>
  <c r="C558" i="8"/>
  <c r="D558" i="8"/>
  <c r="E558" i="8"/>
  <c r="F558" i="8"/>
  <c r="G558" i="8"/>
  <c r="H558" i="8" l="1"/>
  <c r="I558" i="8"/>
  <c r="A560" i="8"/>
  <c r="A561" i="3"/>
  <c r="E559" i="8"/>
  <c r="F559" i="8"/>
  <c r="G559" i="8"/>
  <c r="B559" i="8"/>
  <c r="C559" i="8"/>
  <c r="D559" i="8"/>
  <c r="A561" i="8" l="1"/>
  <c r="A562" i="3"/>
  <c r="H559" i="8"/>
  <c r="I559" i="8"/>
  <c r="D560" i="8"/>
  <c r="E560" i="8"/>
  <c r="F560" i="8"/>
  <c r="G560" i="8"/>
  <c r="C560" i="8"/>
  <c r="B560" i="8"/>
  <c r="H560" i="8" l="1"/>
  <c r="I560" i="8"/>
  <c r="A562" i="8"/>
  <c r="A563" i="3"/>
  <c r="B561" i="8"/>
  <c r="C561" i="8"/>
  <c r="D561" i="8"/>
  <c r="E561" i="8"/>
  <c r="F561" i="8"/>
  <c r="G561" i="8"/>
  <c r="A563" i="8" l="1"/>
  <c r="A564" i="3"/>
  <c r="I561" i="8"/>
  <c r="H561" i="8"/>
  <c r="B562" i="8"/>
  <c r="C562" i="8"/>
  <c r="D562" i="8"/>
  <c r="E562" i="8"/>
  <c r="F562" i="8"/>
  <c r="G562" i="8"/>
  <c r="H562" i="8" l="1"/>
  <c r="I562" i="8"/>
  <c r="A564" i="8"/>
  <c r="A565" i="3"/>
  <c r="E563" i="8"/>
  <c r="F563" i="8"/>
  <c r="G563" i="8"/>
  <c r="B563" i="8"/>
  <c r="C563" i="8"/>
  <c r="D563" i="8"/>
  <c r="H563" i="8" l="1"/>
  <c r="I563" i="8"/>
  <c r="A565" i="8"/>
  <c r="A566" i="3"/>
  <c r="B564" i="8"/>
  <c r="C564" i="8"/>
  <c r="D564" i="8"/>
  <c r="E564" i="8"/>
  <c r="F564" i="8"/>
  <c r="G564" i="8"/>
  <c r="H564" i="8" l="1"/>
  <c r="I564" i="8"/>
  <c r="A566" i="8"/>
  <c r="A567" i="3"/>
  <c r="B565" i="8"/>
  <c r="C565" i="8"/>
  <c r="D565" i="8"/>
  <c r="E565" i="8"/>
  <c r="F565" i="8"/>
  <c r="G565" i="8"/>
  <c r="H565" i="8" l="1"/>
  <c r="I565" i="8"/>
  <c r="A567" i="8"/>
  <c r="A568" i="3"/>
  <c r="B566" i="8"/>
  <c r="C566" i="8"/>
  <c r="D566" i="8"/>
  <c r="E566" i="8"/>
  <c r="F566" i="8"/>
  <c r="G566" i="8"/>
  <c r="H566" i="8" l="1"/>
  <c r="I566" i="8"/>
  <c r="A568" i="8"/>
  <c r="A569" i="3"/>
  <c r="E567" i="8"/>
  <c r="F567" i="8"/>
  <c r="G567" i="8"/>
  <c r="B567" i="8"/>
  <c r="C567" i="8"/>
  <c r="D567" i="8"/>
  <c r="A569" i="8" l="1"/>
  <c r="A570" i="3"/>
  <c r="H567" i="8"/>
  <c r="I567" i="8"/>
  <c r="B568" i="8"/>
  <c r="C568" i="8"/>
  <c r="D568" i="8"/>
  <c r="E568" i="8"/>
  <c r="G568" i="8"/>
  <c r="F568" i="8"/>
  <c r="H568" i="8" l="1"/>
  <c r="I568" i="8"/>
  <c r="A570" i="8"/>
  <c r="A571" i="3"/>
  <c r="B569" i="8"/>
  <c r="C569" i="8"/>
  <c r="D569" i="8"/>
  <c r="E569" i="8"/>
  <c r="F569" i="8"/>
  <c r="G569" i="8"/>
  <c r="B570" i="8" l="1"/>
  <c r="C570" i="8"/>
  <c r="D570" i="8"/>
  <c r="E570" i="8"/>
  <c r="F570" i="8"/>
  <c r="G570" i="8"/>
  <c r="A571" i="8"/>
  <c r="A572" i="3"/>
  <c r="H569" i="8"/>
  <c r="I569" i="8"/>
  <c r="A572" i="8" l="1"/>
  <c r="A573" i="3"/>
  <c r="E571" i="8"/>
  <c r="F571" i="8"/>
  <c r="G571" i="8"/>
  <c r="B571" i="8"/>
  <c r="C571" i="8"/>
  <c r="D571" i="8"/>
  <c r="I570" i="8"/>
  <c r="H570" i="8"/>
  <c r="H571" i="8" l="1"/>
  <c r="I571" i="8"/>
  <c r="A573" i="8"/>
  <c r="A574" i="3"/>
  <c r="D572" i="8"/>
  <c r="E572" i="8"/>
  <c r="F572" i="8"/>
  <c r="G572" i="8"/>
  <c r="B572" i="8"/>
  <c r="C572" i="8"/>
  <c r="B573" i="8" l="1"/>
  <c r="C573" i="8"/>
  <c r="D573" i="8"/>
  <c r="E573" i="8"/>
  <c r="F573" i="8"/>
  <c r="G573" i="8"/>
  <c r="H572" i="8"/>
  <c r="I572" i="8"/>
  <c r="A574" i="8"/>
  <c r="A575" i="3"/>
  <c r="B574" i="8" l="1"/>
  <c r="C574" i="8"/>
  <c r="D574" i="8"/>
  <c r="E574" i="8"/>
  <c r="F574" i="8"/>
  <c r="G574" i="8"/>
  <c r="A575" i="8"/>
  <c r="A576" i="3"/>
  <c r="H573" i="8"/>
  <c r="I573" i="8"/>
  <c r="A576" i="8" l="1"/>
  <c r="A577" i="3"/>
  <c r="E575" i="8"/>
  <c r="F575" i="8"/>
  <c r="G575" i="8"/>
  <c r="B575" i="8"/>
  <c r="C575" i="8"/>
  <c r="D575" i="8"/>
  <c r="H574" i="8"/>
  <c r="I574" i="8"/>
  <c r="H575" i="8" l="1"/>
  <c r="I575" i="8"/>
  <c r="A577" i="8"/>
  <c r="A578" i="3"/>
  <c r="E576" i="8"/>
  <c r="F576" i="8"/>
  <c r="G576" i="8"/>
  <c r="B576" i="8"/>
  <c r="C576" i="8"/>
  <c r="D576" i="8"/>
  <c r="H576" i="8" l="1"/>
  <c r="I576" i="8"/>
  <c r="C577" i="8"/>
  <c r="D577" i="8"/>
  <c r="E577" i="8"/>
  <c r="F577" i="8"/>
  <c r="G577" i="8"/>
  <c r="B577" i="8"/>
  <c r="A578" i="8"/>
  <c r="A579" i="3"/>
  <c r="B578" i="8" l="1"/>
  <c r="C578" i="8"/>
  <c r="D578" i="8"/>
  <c r="E578" i="8"/>
  <c r="F578" i="8"/>
  <c r="G578" i="8"/>
  <c r="A579" i="8"/>
  <c r="A580" i="3"/>
  <c r="H577" i="8"/>
  <c r="I577" i="8"/>
  <c r="A580" i="8" l="1"/>
  <c r="A581" i="3"/>
  <c r="B579" i="8"/>
  <c r="C579" i="8"/>
  <c r="D579" i="8"/>
  <c r="E579" i="8"/>
  <c r="F579" i="8"/>
  <c r="G579" i="8"/>
  <c r="I578" i="8"/>
  <c r="H578" i="8"/>
  <c r="A581" i="8" l="1"/>
  <c r="A582" i="3"/>
  <c r="H579" i="8"/>
  <c r="I579" i="8"/>
  <c r="E580" i="8"/>
  <c r="F580" i="8"/>
  <c r="G580" i="8"/>
  <c r="B580" i="8"/>
  <c r="C580" i="8"/>
  <c r="D580" i="8"/>
  <c r="I580" i="8" l="1"/>
  <c r="H580" i="8"/>
  <c r="A582" i="8"/>
  <c r="A583" i="3"/>
  <c r="B581" i="8"/>
  <c r="C581" i="8"/>
  <c r="D581" i="8"/>
  <c r="E581" i="8"/>
  <c r="F581" i="8"/>
  <c r="G581" i="8"/>
  <c r="A583" i="8" l="1"/>
  <c r="A584" i="3"/>
  <c r="H581" i="8"/>
  <c r="I581" i="8"/>
  <c r="F582" i="8"/>
  <c r="G582" i="8"/>
  <c r="B582" i="8"/>
  <c r="C582" i="8"/>
  <c r="D582" i="8"/>
  <c r="E582" i="8"/>
  <c r="H582" i="8" l="1"/>
  <c r="I582" i="8"/>
  <c r="A584" i="8"/>
  <c r="A585" i="3"/>
  <c r="B583" i="8"/>
  <c r="C583" i="8"/>
  <c r="D583" i="8"/>
  <c r="E583" i="8"/>
  <c r="F583" i="8"/>
  <c r="G583" i="8"/>
  <c r="H583" i="8" l="1"/>
  <c r="I583" i="8"/>
  <c r="E584" i="8"/>
  <c r="F584" i="8"/>
  <c r="G584" i="8"/>
  <c r="C584" i="8"/>
  <c r="D584" i="8"/>
  <c r="B584" i="8"/>
  <c r="A585" i="8"/>
  <c r="A586" i="3"/>
  <c r="H584" i="8" l="1"/>
  <c r="I584" i="8"/>
  <c r="A586" i="8"/>
  <c r="A587" i="3"/>
  <c r="E585" i="8"/>
  <c r="F585" i="8"/>
  <c r="G585" i="8"/>
  <c r="B585" i="8"/>
  <c r="C585" i="8"/>
  <c r="D585" i="8"/>
  <c r="H585" i="8" l="1"/>
  <c r="I585" i="8"/>
  <c r="A587" i="8"/>
  <c r="A588" i="3"/>
  <c r="C586" i="8"/>
  <c r="D586" i="8"/>
  <c r="E586" i="8"/>
  <c r="F586" i="8"/>
  <c r="B586" i="8"/>
  <c r="G586" i="8"/>
  <c r="I586" i="8" l="1"/>
  <c r="H586" i="8"/>
  <c r="A588" i="8"/>
  <c r="A589" i="3"/>
  <c r="B587" i="8"/>
  <c r="C587" i="8"/>
  <c r="D587" i="8"/>
  <c r="E587" i="8"/>
  <c r="F587" i="8"/>
  <c r="G587" i="8"/>
  <c r="I587" i="8" l="1"/>
  <c r="H587" i="8"/>
  <c r="A589" i="8"/>
  <c r="A590" i="3"/>
  <c r="E588" i="8"/>
  <c r="F588" i="8"/>
  <c r="G588" i="8"/>
  <c r="B588" i="8"/>
  <c r="C588" i="8"/>
  <c r="D588" i="8"/>
  <c r="H588" i="8" l="1"/>
  <c r="I588" i="8"/>
  <c r="A590" i="8"/>
  <c r="A591" i="3"/>
  <c r="F589" i="8"/>
  <c r="G589" i="8"/>
  <c r="B589" i="8"/>
  <c r="C589" i="8"/>
  <c r="D589" i="8"/>
  <c r="E589" i="8"/>
  <c r="H589" i="8" l="1"/>
  <c r="I589" i="8"/>
  <c r="A591" i="8"/>
  <c r="A592" i="3"/>
  <c r="B590" i="8"/>
  <c r="C590" i="8"/>
  <c r="D590" i="8"/>
  <c r="E590" i="8"/>
  <c r="F590" i="8"/>
  <c r="G590" i="8"/>
  <c r="H590" i="8" l="1"/>
  <c r="I590" i="8"/>
  <c r="B591" i="8"/>
  <c r="C591" i="8"/>
  <c r="D591" i="8"/>
  <c r="F591" i="8"/>
  <c r="G591" i="8"/>
  <c r="E591" i="8"/>
  <c r="A592" i="8"/>
  <c r="A593" i="3"/>
  <c r="A593" i="8" l="1"/>
  <c r="A594" i="3"/>
  <c r="H591" i="8"/>
  <c r="I591" i="8"/>
  <c r="E592" i="8"/>
  <c r="F592" i="8"/>
  <c r="G592" i="8"/>
  <c r="B592" i="8"/>
  <c r="C592" i="8"/>
  <c r="D592" i="8"/>
  <c r="H592" i="8" l="1"/>
  <c r="I592" i="8"/>
  <c r="A594" i="8"/>
  <c r="A595" i="3"/>
  <c r="C593" i="8"/>
  <c r="D593" i="8"/>
  <c r="E593" i="8"/>
  <c r="F593" i="8"/>
  <c r="G593" i="8"/>
  <c r="B593" i="8"/>
  <c r="H593" i="8" l="1"/>
  <c r="I593" i="8"/>
  <c r="A595" i="8"/>
  <c r="A596" i="3"/>
  <c r="B594" i="8"/>
  <c r="C594" i="8"/>
  <c r="D594" i="8"/>
  <c r="E594" i="8"/>
  <c r="F594" i="8"/>
  <c r="G594" i="8"/>
  <c r="A596" i="8" l="1"/>
  <c r="A597" i="3"/>
  <c r="I594" i="8"/>
  <c r="H594" i="8"/>
  <c r="B595" i="8"/>
  <c r="C595" i="8"/>
  <c r="D595" i="8"/>
  <c r="E595" i="8"/>
  <c r="F595" i="8"/>
  <c r="G595" i="8"/>
  <c r="H595" i="8" l="1"/>
  <c r="I595" i="8"/>
  <c r="A597" i="8"/>
  <c r="A598" i="3"/>
  <c r="E596" i="8"/>
  <c r="F596" i="8"/>
  <c r="G596" i="8"/>
  <c r="B596" i="8"/>
  <c r="C596" i="8"/>
  <c r="D596" i="8"/>
  <c r="I596" i="8" l="1"/>
  <c r="H596" i="8"/>
  <c r="A598" i="8"/>
  <c r="A599" i="3"/>
  <c r="B597" i="8"/>
  <c r="C597" i="8"/>
  <c r="D597" i="8"/>
  <c r="E597" i="8"/>
  <c r="F597" i="8"/>
  <c r="G597" i="8"/>
  <c r="H597" i="8" l="1"/>
  <c r="I597" i="8"/>
  <c r="F598" i="8"/>
  <c r="G598" i="8"/>
  <c r="B598" i="8"/>
  <c r="C598" i="8"/>
  <c r="D598" i="8"/>
  <c r="E598" i="8"/>
  <c r="A599" i="8"/>
  <c r="A600" i="3"/>
  <c r="A600" i="8" l="1"/>
  <c r="A601" i="3"/>
  <c r="B599" i="8"/>
  <c r="C599" i="8"/>
  <c r="D599" i="8"/>
  <c r="E599" i="8"/>
  <c r="F599" i="8"/>
  <c r="G599" i="8"/>
  <c r="H598" i="8"/>
  <c r="I598" i="8"/>
  <c r="A601" i="8" l="1"/>
  <c r="A602" i="3"/>
  <c r="H599" i="8"/>
  <c r="I599" i="8"/>
  <c r="E600" i="8"/>
  <c r="F600" i="8"/>
  <c r="G600" i="8"/>
  <c r="C600" i="8"/>
  <c r="D600" i="8"/>
  <c r="B600" i="8"/>
  <c r="H600" i="8" l="1"/>
  <c r="I600" i="8"/>
  <c r="A602" i="8"/>
  <c r="A603" i="3"/>
  <c r="E601" i="8"/>
  <c r="F601" i="8"/>
  <c r="G601" i="8"/>
  <c r="B601" i="8"/>
  <c r="C601" i="8"/>
  <c r="D601" i="8"/>
  <c r="H601" i="8" l="1"/>
  <c r="I601" i="8"/>
  <c r="A603" i="8"/>
  <c r="A604" i="3"/>
  <c r="C602" i="8"/>
  <c r="D602" i="8"/>
  <c r="E602" i="8"/>
  <c r="F602" i="8"/>
  <c r="B602" i="8"/>
  <c r="G602" i="8"/>
  <c r="H602" i="8" l="1"/>
  <c r="I602" i="8"/>
  <c r="A604" i="8"/>
  <c r="A605" i="3"/>
  <c r="B603" i="8"/>
  <c r="C603" i="8"/>
  <c r="D603" i="8"/>
  <c r="E603" i="8"/>
  <c r="F603" i="8"/>
  <c r="G603" i="8"/>
  <c r="A605" i="8" l="1"/>
  <c r="A606" i="3"/>
  <c r="I603" i="8"/>
  <c r="H603" i="8"/>
  <c r="E604" i="8"/>
  <c r="F604" i="8"/>
  <c r="G604" i="8"/>
  <c r="B604" i="8"/>
  <c r="C604" i="8"/>
  <c r="D604" i="8"/>
  <c r="H604" i="8" l="1"/>
  <c r="I604" i="8"/>
  <c r="A606" i="8"/>
  <c r="A607" i="3"/>
  <c r="F605" i="8"/>
  <c r="G605" i="8"/>
  <c r="B605" i="8"/>
  <c r="C605" i="8"/>
  <c r="D605" i="8"/>
  <c r="E605" i="8"/>
  <c r="H605" i="8" l="1"/>
  <c r="I605" i="8"/>
  <c r="B606" i="8"/>
  <c r="C606" i="8"/>
  <c r="D606" i="8"/>
  <c r="E606" i="8"/>
  <c r="F606" i="8"/>
  <c r="G606" i="8"/>
  <c r="A607" i="8"/>
  <c r="A608" i="3"/>
  <c r="A608" i="8" l="1"/>
  <c r="A609" i="3"/>
  <c r="H606" i="8"/>
  <c r="I606" i="8"/>
  <c r="B607" i="8"/>
  <c r="C607" i="8"/>
  <c r="D607" i="8"/>
  <c r="F607" i="8"/>
  <c r="G607" i="8"/>
  <c r="E607" i="8"/>
  <c r="H607" i="8" l="1"/>
  <c r="I607" i="8"/>
  <c r="A609" i="8"/>
  <c r="A610" i="3"/>
  <c r="E608" i="8"/>
  <c r="F608" i="8"/>
  <c r="G608" i="8"/>
  <c r="B608" i="8"/>
  <c r="C608" i="8"/>
  <c r="D608" i="8"/>
  <c r="A610" i="8" l="1"/>
  <c r="A611" i="3"/>
  <c r="H608" i="8"/>
  <c r="I608" i="8"/>
  <c r="C609" i="8"/>
  <c r="D609" i="8"/>
  <c r="E609" i="8"/>
  <c r="F609" i="8"/>
  <c r="G609" i="8"/>
  <c r="B609" i="8"/>
  <c r="H609" i="8" l="1"/>
  <c r="I609" i="8"/>
  <c r="A611" i="8"/>
  <c r="A612" i="3"/>
  <c r="B610" i="8"/>
  <c r="C610" i="8"/>
  <c r="D610" i="8"/>
  <c r="E610" i="8"/>
  <c r="F610" i="8"/>
  <c r="G610" i="8"/>
  <c r="I610" i="8" l="1"/>
  <c r="H610" i="8"/>
  <c r="A612" i="8"/>
  <c r="A613" i="3"/>
  <c r="B611" i="8"/>
  <c r="C611" i="8"/>
  <c r="D611" i="8"/>
  <c r="E611" i="8"/>
  <c r="F611" i="8"/>
  <c r="G611" i="8"/>
  <c r="E612" i="8" l="1"/>
  <c r="F612" i="8"/>
  <c r="G612" i="8"/>
  <c r="B612" i="8"/>
  <c r="C612" i="8"/>
  <c r="D612" i="8"/>
  <c r="H611" i="8"/>
  <c r="I611" i="8"/>
  <c r="A613" i="8"/>
  <c r="A614" i="3"/>
  <c r="A614" i="8" l="1"/>
  <c r="A615" i="3"/>
  <c r="B613" i="8"/>
  <c r="C613" i="8"/>
  <c r="D613" i="8"/>
  <c r="F613" i="8"/>
  <c r="G613" i="8"/>
  <c r="E613" i="8"/>
  <c r="I612" i="8"/>
  <c r="H612" i="8"/>
  <c r="H613" i="8" l="1"/>
  <c r="I613" i="8"/>
  <c r="A615" i="8"/>
  <c r="A616" i="3"/>
  <c r="F614" i="8"/>
  <c r="G614" i="8"/>
  <c r="B614" i="8"/>
  <c r="C614" i="8"/>
  <c r="D614" i="8"/>
  <c r="E614" i="8"/>
  <c r="H614" i="8" l="1"/>
  <c r="I614" i="8"/>
  <c r="B615" i="8"/>
  <c r="C615" i="8"/>
  <c r="D615" i="8"/>
  <c r="E615" i="8"/>
  <c r="F615" i="8"/>
  <c r="G615" i="8"/>
  <c r="A616" i="8"/>
  <c r="A617" i="3"/>
  <c r="A617" i="8" l="1"/>
  <c r="A618" i="3"/>
  <c r="E616" i="8"/>
  <c r="F616" i="8"/>
  <c r="G616" i="8"/>
  <c r="C616" i="8"/>
  <c r="D616" i="8"/>
  <c r="B616" i="8"/>
  <c r="H615" i="8"/>
  <c r="I615" i="8"/>
  <c r="H616" i="8" l="1"/>
  <c r="I616" i="8"/>
  <c r="A618" i="8"/>
  <c r="A619" i="3"/>
  <c r="E617" i="8"/>
  <c r="F617" i="8"/>
  <c r="G617" i="8"/>
  <c r="B617" i="8"/>
  <c r="C617" i="8"/>
  <c r="D617" i="8"/>
  <c r="H617" i="8" l="1"/>
  <c r="I617" i="8"/>
  <c r="A619" i="8"/>
  <c r="A620" i="3"/>
  <c r="C618" i="8"/>
  <c r="D618" i="8"/>
  <c r="E618" i="8"/>
  <c r="F618" i="8"/>
  <c r="B618" i="8"/>
  <c r="G618" i="8"/>
  <c r="A620" i="8" l="1"/>
  <c r="A621" i="3"/>
  <c r="H618" i="8"/>
  <c r="I618" i="8"/>
  <c r="B619" i="8"/>
  <c r="C619" i="8"/>
  <c r="D619" i="8"/>
  <c r="E619" i="8"/>
  <c r="F619" i="8"/>
  <c r="G619" i="8"/>
  <c r="I619" i="8" l="1"/>
  <c r="H619" i="8"/>
  <c r="A621" i="8"/>
  <c r="A622" i="3"/>
  <c r="E620" i="8"/>
  <c r="F620" i="8"/>
  <c r="G620" i="8"/>
  <c r="B620" i="8"/>
  <c r="C620" i="8"/>
  <c r="D620" i="8"/>
  <c r="F621" i="8" l="1"/>
  <c r="G621" i="8"/>
  <c r="B621" i="8"/>
  <c r="C621" i="8"/>
  <c r="D621" i="8"/>
  <c r="E621" i="8"/>
  <c r="H620" i="8"/>
  <c r="I620" i="8"/>
  <c r="A622" i="8"/>
  <c r="A623" i="3"/>
  <c r="A623" i="8" l="1"/>
  <c r="A624" i="3"/>
  <c r="B622" i="8"/>
  <c r="C622" i="8"/>
  <c r="D622" i="8"/>
  <c r="E622" i="8"/>
  <c r="F622" i="8"/>
  <c r="G622" i="8"/>
  <c r="H621" i="8"/>
  <c r="I621" i="8"/>
  <c r="H622" i="8" l="1"/>
  <c r="I622" i="8"/>
  <c r="A624" i="8"/>
  <c r="A625" i="3"/>
  <c r="B623" i="8"/>
  <c r="C623" i="8"/>
  <c r="D623" i="8"/>
  <c r="F623" i="8"/>
  <c r="G623" i="8"/>
  <c r="E623" i="8"/>
  <c r="H623" i="8" l="1"/>
  <c r="I623" i="8"/>
  <c r="A625" i="8"/>
  <c r="A626" i="3"/>
  <c r="E624" i="8"/>
  <c r="F624" i="8"/>
  <c r="G624" i="8"/>
  <c r="B624" i="8"/>
  <c r="C624" i="8"/>
  <c r="D624" i="8"/>
  <c r="H624" i="8" l="1"/>
  <c r="I624" i="8"/>
  <c r="A626" i="8"/>
  <c r="A627" i="3"/>
  <c r="C625" i="8"/>
  <c r="D625" i="8"/>
  <c r="E625" i="8"/>
  <c r="F625" i="8"/>
  <c r="G625" i="8"/>
  <c r="B625" i="8"/>
  <c r="H625" i="8" l="1"/>
  <c r="I625" i="8"/>
  <c r="A627" i="8"/>
  <c r="A628" i="3"/>
  <c r="B626" i="8"/>
  <c r="C626" i="8"/>
  <c r="D626" i="8"/>
  <c r="E626" i="8"/>
  <c r="F626" i="8"/>
  <c r="G626" i="8"/>
  <c r="A628" i="8" l="1"/>
  <c r="A629" i="3"/>
  <c r="I626" i="8"/>
  <c r="H626" i="8"/>
  <c r="B627" i="8"/>
  <c r="C627" i="8"/>
  <c r="D627" i="8"/>
  <c r="E627" i="8"/>
  <c r="F627" i="8"/>
  <c r="G627" i="8"/>
  <c r="H627" i="8" l="1"/>
  <c r="I627" i="8"/>
  <c r="A629" i="8"/>
  <c r="A630" i="3"/>
  <c r="E628" i="8"/>
  <c r="F628" i="8"/>
  <c r="G628" i="8"/>
  <c r="B628" i="8"/>
  <c r="C628" i="8"/>
  <c r="D628" i="8"/>
  <c r="I628" i="8" l="1"/>
  <c r="H628" i="8"/>
  <c r="A630" i="8"/>
  <c r="A631" i="3"/>
  <c r="B629" i="8"/>
  <c r="C629" i="8"/>
  <c r="D629" i="8"/>
  <c r="E629" i="8"/>
  <c r="F629" i="8"/>
  <c r="G629" i="8"/>
  <c r="H629" i="8" l="1"/>
  <c r="I629" i="8"/>
  <c r="A631" i="8"/>
  <c r="A632" i="3"/>
  <c r="F630" i="8"/>
  <c r="G630" i="8"/>
  <c r="E630" i="8"/>
  <c r="B630" i="8"/>
  <c r="C630" i="8"/>
  <c r="D630" i="8"/>
  <c r="A632" i="8" l="1"/>
  <c r="A633" i="3"/>
  <c r="H630" i="8"/>
  <c r="I630" i="8"/>
  <c r="B631" i="8"/>
  <c r="C631" i="8"/>
  <c r="D631" i="8"/>
  <c r="E631" i="8"/>
  <c r="F631" i="8"/>
  <c r="G631" i="8"/>
  <c r="H631" i="8" l="1"/>
  <c r="I631" i="8"/>
  <c r="A633" i="8"/>
  <c r="A634" i="3"/>
  <c r="E632" i="8"/>
  <c r="F632" i="8"/>
  <c r="G632" i="8"/>
  <c r="C632" i="8"/>
  <c r="D632" i="8"/>
  <c r="B632" i="8"/>
  <c r="E633" i="8" l="1"/>
  <c r="F633" i="8"/>
  <c r="G633" i="8"/>
  <c r="B633" i="8"/>
  <c r="C633" i="8"/>
  <c r="D633" i="8"/>
  <c r="H632" i="8"/>
  <c r="I632" i="8"/>
  <c r="A634" i="8"/>
  <c r="A635" i="3"/>
  <c r="A635" i="8" l="1"/>
  <c r="A636" i="3"/>
  <c r="H633" i="8"/>
  <c r="I633" i="8"/>
  <c r="C634" i="8"/>
  <c r="D634" i="8"/>
  <c r="E634" i="8"/>
  <c r="F634" i="8"/>
  <c r="B634" i="8"/>
  <c r="G634" i="8"/>
  <c r="H634" i="8" l="1"/>
  <c r="I634" i="8"/>
  <c r="A636" i="8"/>
  <c r="A637" i="3"/>
  <c r="B635" i="8"/>
  <c r="C635" i="8"/>
  <c r="D635" i="8"/>
  <c r="E635" i="8"/>
  <c r="F635" i="8"/>
  <c r="G635" i="8"/>
  <c r="I635" i="8" l="1"/>
  <c r="H635" i="8"/>
  <c r="A637" i="8"/>
  <c r="A638" i="3"/>
  <c r="E636" i="8"/>
  <c r="F636" i="8"/>
  <c r="G636" i="8"/>
  <c r="B636" i="8"/>
  <c r="C636" i="8"/>
  <c r="D636" i="8"/>
  <c r="H636" i="8" l="1"/>
  <c r="I636" i="8"/>
  <c r="A638" i="8"/>
  <c r="A639" i="3"/>
  <c r="F637" i="8"/>
  <c r="G637" i="8"/>
  <c r="B637" i="8"/>
  <c r="C637" i="8"/>
  <c r="D637" i="8"/>
  <c r="E637" i="8"/>
  <c r="H637" i="8" l="1"/>
  <c r="I637" i="8"/>
  <c r="B638" i="8"/>
  <c r="C638" i="8"/>
  <c r="D638" i="8"/>
  <c r="E638" i="8"/>
  <c r="F638" i="8"/>
  <c r="G638" i="8"/>
  <c r="A639" i="8"/>
  <c r="A640" i="3"/>
  <c r="A640" i="8" l="1"/>
  <c r="A641" i="3"/>
  <c r="B639" i="8"/>
  <c r="C639" i="8"/>
  <c r="D639" i="8"/>
  <c r="F639" i="8"/>
  <c r="G639" i="8"/>
  <c r="E639" i="8"/>
  <c r="H638" i="8"/>
  <c r="I638" i="8"/>
  <c r="H639" i="8" l="1"/>
  <c r="I639" i="8"/>
  <c r="A641" i="8"/>
  <c r="A642" i="3"/>
  <c r="E640" i="8"/>
  <c r="F640" i="8"/>
  <c r="G640" i="8"/>
  <c r="B640" i="8"/>
  <c r="C640" i="8"/>
  <c r="D640" i="8"/>
  <c r="H640" i="8" l="1"/>
  <c r="I640" i="8"/>
  <c r="A642" i="8"/>
  <c r="A643" i="3"/>
  <c r="C641" i="8"/>
  <c r="D641" i="8"/>
  <c r="E641" i="8"/>
  <c r="F641" i="8"/>
  <c r="G641" i="8"/>
  <c r="B641" i="8"/>
  <c r="H641" i="8" l="1"/>
  <c r="I641" i="8"/>
  <c r="A643" i="8"/>
  <c r="A644" i="3"/>
  <c r="B642" i="8"/>
  <c r="C642" i="8"/>
  <c r="D642" i="8"/>
  <c r="E642" i="8"/>
  <c r="F642" i="8"/>
  <c r="G642" i="8"/>
  <c r="A644" i="8" l="1"/>
  <c r="A645" i="3"/>
  <c r="I642" i="8"/>
  <c r="H642" i="8"/>
  <c r="B643" i="8"/>
  <c r="C643" i="8"/>
  <c r="D643" i="8"/>
  <c r="E643" i="8"/>
  <c r="F643" i="8"/>
  <c r="G643" i="8"/>
  <c r="H643" i="8" l="1"/>
  <c r="I643" i="8"/>
  <c r="A645" i="8"/>
  <c r="A646" i="3"/>
  <c r="F644" i="8"/>
  <c r="G644" i="8"/>
  <c r="B644" i="8"/>
  <c r="C644" i="8"/>
  <c r="D644" i="8"/>
  <c r="E644" i="8"/>
  <c r="H644" i="8" l="1"/>
  <c r="I644" i="8"/>
  <c r="A646" i="8"/>
  <c r="A647" i="3"/>
  <c r="B645" i="8"/>
  <c r="C645" i="8"/>
  <c r="D645" i="8"/>
  <c r="E645" i="8"/>
  <c r="F645" i="8"/>
  <c r="G645" i="8"/>
  <c r="I645" i="8" l="1"/>
  <c r="H645" i="8"/>
  <c r="A647" i="8"/>
  <c r="A648" i="3"/>
  <c r="B646" i="8"/>
  <c r="C646" i="8"/>
  <c r="D646" i="8"/>
  <c r="E646" i="8"/>
  <c r="F646" i="8"/>
  <c r="G646" i="8"/>
  <c r="H646" i="8" l="1"/>
  <c r="I646" i="8"/>
  <c r="C647" i="8"/>
  <c r="D647" i="8"/>
  <c r="E647" i="8"/>
  <c r="B647" i="8"/>
  <c r="F647" i="8"/>
  <c r="G647" i="8"/>
  <c r="A648" i="8"/>
  <c r="A649" i="3"/>
  <c r="A649" i="8" l="1"/>
  <c r="A650" i="3"/>
  <c r="F648" i="8"/>
  <c r="G648" i="8"/>
  <c r="B648" i="8"/>
  <c r="C648" i="8"/>
  <c r="D648" i="8"/>
  <c r="E648" i="8"/>
  <c r="H647" i="8"/>
  <c r="I647" i="8"/>
  <c r="H648" i="8" l="1"/>
  <c r="I648" i="8"/>
  <c r="A650" i="8"/>
  <c r="A651" i="3"/>
  <c r="E649" i="8"/>
  <c r="F649" i="8"/>
  <c r="G649" i="8"/>
  <c r="B649" i="8"/>
  <c r="C649" i="8"/>
  <c r="D649" i="8"/>
  <c r="I649" i="8" l="1"/>
  <c r="H649" i="8"/>
  <c r="A651" i="8"/>
  <c r="A652" i="3"/>
  <c r="B650" i="8"/>
  <c r="G650" i="8"/>
  <c r="C650" i="8"/>
  <c r="D650" i="8"/>
  <c r="E650" i="8"/>
  <c r="F650" i="8"/>
  <c r="H650" i="8" l="1"/>
  <c r="I650" i="8"/>
  <c r="A652" i="8"/>
  <c r="A653" i="3"/>
  <c r="C651" i="8"/>
  <c r="D651" i="8"/>
  <c r="E651" i="8"/>
  <c r="B651" i="8"/>
  <c r="F651" i="8"/>
  <c r="G651" i="8"/>
  <c r="A653" i="8" l="1"/>
  <c r="A654" i="3"/>
  <c r="H651" i="8"/>
  <c r="I651" i="8"/>
  <c r="F652" i="8"/>
  <c r="G652" i="8"/>
  <c r="B652" i="8"/>
  <c r="C652" i="8"/>
  <c r="D652" i="8"/>
  <c r="E652" i="8"/>
  <c r="H652" i="8" l="1"/>
  <c r="I652" i="8"/>
  <c r="A654" i="8"/>
  <c r="A655" i="3"/>
  <c r="B653" i="8"/>
  <c r="C653" i="8"/>
  <c r="D653" i="8"/>
  <c r="E653" i="8"/>
  <c r="G653" i="8"/>
  <c r="F653" i="8"/>
  <c r="I653" i="8" l="1"/>
  <c r="H653" i="8"/>
  <c r="A655" i="8"/>
  <c r="A656" i="3"/>
  <c r="B654" i="8"/>
  <c r="D654" i="8"/>
  <c r="E654" i="8"/>
  <c r="F654" i="8"/>
  <c r="G654" i="8"/>
  <c r="C654" i="8"/>
  <c r="H654" i="8" l="1"/>
  <c r="I654" i="8"/>
  <c r="A656" i="8"/>
  <c r="A657" i="3"/>
  <c r="C655" i="8"/>
  <c r="D655" i="8"/>
  <c r="E655" i="8"/>
  <c r="B655" i="8"/>
  <c r="F655" i="8"/>
  <c r="G655" i="8"/>
  <c r="A657" i="8" l="1"/>
  <c r="A658" i="3"/>
  <c r="H655" i="8"/>
  <c r="I655" i="8"/>
  <c r="F656" i="8"/>
  <c r="G656" i="8"/>
  <c r="E656" i="8"/>
  <c r="B656" i="8"/>
  <c r="C656" i="8"/>
  <c r="D656" i="8"/>
  <c r="H656" i="8" l="1"/>
  <c r="I656" i="8"/>
  <c r="A658" i="8"/>
  <c r="A659" i="3"/>
  <c r="B657" i="8"/>
  <c r="C657" i="8"/>
  <c r="D657" i="8"/>
  <c r="E657" i="8"/>
  <c r="F657" i="8"/>
  <c r="G657" i="8"/>
  <c r="I657" i="8" l="1"/>
  <c r="H657" i="8"/>
  <c r="A659" i="8"/>
  <c r="A660" i="3"/>
  <c r="B658" i="8"/>
  <c r="E658" i="8"/>
  <c r="F658" i="8"/>
  <c r="G658" i="8"/>
  <c r="C658" i="8"/>
  <c r="D658" i="8"/>
  <c r="H658" i="8" l="1"/>
  <c r="I658" i="8"/>
  <c r="A660" i="8"/>
  <c r="A661" i="3"/>
  <c r="C659" i="8"/>
  <c r="D659" i="8"/>
  <c r="E659" i="8"/>
  <c r="G659" i="8"/>
  <c r="B659" i="8"/>
  <c r="F659" i="8"/>
  <c r="H659" i="8" l="1"/>
  <c r="I659" i="8"/>
  <c r="F660" i="8"/>
  <c r="G660" i="8"/>
  <c r="B660" i="8"/>
  <c r="C660" i="8"/>
  <c r="D660" i="8"/>
  <c r="E660" i="8"/>
  <c r="A661" i="8"/>
  <c r="A662" i="3"/>
  <c r="A662" i="8" l="1"/>
  <c r="A663" i="3"/>
  <c r="H660" i="8"/>
  <c r="I660" i="8"/>
  <c r="B661" i="8"/>
  <c r="C661" i="8"/>
  <c r="D661" i="8"/>
  <c r="E661" i="8"/>
  <c r="F661" i="8"/>
  <c r="G661" i="8"/>
  <c r="I661" i="8" l="1"/>
  <c r="H661" i="8"/>
  <c r="A663" i="8"/>
  <c r="A664" i="3"/>
  <c r="B662" i="8"/>
  <c r="C662" i="8"/>
  <c r="D662" i="8"/>
  <c r="E662" i="8"/>
  <c r="F662" i="8"/>
  <c r="G662" i="8"/>
  <c r="H662" i="8" l="1"/>
  <c r="I662" i="8"/>
  <c r="C663" i="8"/>
  <c r="D663" i="8"/>
  <c r="E663" i="8"/>
  <c r="B663" i="8"/>
  <c r="F663" i="8"/>
  <c r="G663" i="8"/>
  <c r="A664" i="8"/>
  <c r="A665" i="3"/>
  <c r="A665" i="8" l="1"/>
  <c r="A666" i="3"/>
  <c r="F664" i="8"/>
  <c r="G664" i="8"/>
  <c r="B664" i="8"/>
  <c r="C664" i="8"/>
  <c r="D664" i="8"/>
  <c r="E664" i="8"/>
  <c r="H663" i="8"/>
  <c r="I663" i="8"/>
  <c r="H664" i="8" l="1"/>
  <c r="I664" i="8"/>
  <c r="A666" i="8"/>
  <c r="A667" i="3"/>
  <c r="E665" i="8"/>
  <c r="F665" i="8"/>
  <c r="G665" i="8"/>
  <c r="B665" i="8"/>
  <c r="C665" i="8"/>
  <c r="D665" i="8"/>
  <c r="I665" i="8" l="1"/>
  <c r="H665" i="8"/>
  <c r="A667" i="8"/>
  <c r="A668" i="3"/>
  <c r="B666" i="8"/>
  <c r="C666" i="8"/>
  <c r="D666" i="8"/>
  <c r="E666" i="8"/>
  <c r="F666" i="8"/>
  <c r="G666" i="8"/>
  <c r="H666" i="8" l="1"/>
  <c r="I666" i="8"/>
  <c r="C667" i="8"/>
  <c r="D667" i="8"/>
  <c r="E667" i="8"/>
  <c r="B667" i="8"/>
  <c r="F667" i="8"/>
  <c r="G667" i="8"/>
  <c r="A668" i="8"/>
  <c r="A669" i="3"/>
  <c r="H667" i="8" l="1"/>
  <c r="I667" i="8"/>
  <c r="A669" i="8"/>
  <c r="A670" i="3"/>
  <c r="F668" i="8"/>
  <c r="G668" i="8"/>
  <c r="B668" i="8"/>
  <c r="C668" i="8"/>
  <c r="D668" i="8"/>
  <c r="E668" i="8"/>
  <c r="B669" i="8" l="1"/>
  <c r="C669" i="8"/>
  <c r="D669" i="8"/>
  <c r="E669" i="8"/>
  <c r="F669" i="8"/>
  <c r="G669" i="8"/>
  <c r="H668" i="8"/>
  <c r="I668" i="8"/>
  <c r="A670" i="8"/>
  <c r="A671" i="3"/>
  <c r="B670" i="8" l="1"/>
  <c r="D670" i="8"/>
  <c r="E670" i="8"/>
  <c r="F670" i="8"/>
  <c r="G670" i="8"/>
  <c r="C670" i="8"/>
  <c r="A671" i="8"/>
  <c r="A672" i="3"/>
  <c r="I669" i="8"/>
  <c r="H669" i="8"/>
  <c r="A672" i="8" l="1"/>
  <c r="A673" i="3"/>
  <c r="C671" i="8"/>
  <c r="D671" i="8"/>
  <c r="E671" i="8"/>
  <c r="B671" i="8"/>
  <c r="F671" i="8"/>
  <c r="G671" i="8"/>
  <c r="H670" i="8"/>
  <c r="I670" i="8"/>
  <c r="H671" i="8" l="1"/>
  <c r="I671" i="8"/>
  <c r="A673" i="8"/>
  <c r="A674" i="3"/>
  <c r="F672" i="8"/>
  <c r="G672" i="8"/>
  <c r="E672" i="8"/>
  <c r="B672" i="8"/>
  <c r="C672" i="8"/>
  <c r="D672" i="8"/>
  <c r="H672" i="8" l="1"/>
  <c r="I672" i="8"/>
  <c r="B673" i="8"/>
  <c r="C673" i="8"/>
  <c r="D673" i="8"/>
  <c r="E673" i="8"/>
  <c r="F673" i="8"/>
  <c r="G673" i="8"/>
  <c r="A674" i="8"/>
  <c r="A675" i="3"/>
  <c r="A675" i="8" l="1"/>
  <c r="A676" i="3"/>
  <c r="B674" i="8"/>
  <c r="E674" i="8"/>
  <c r="F674" i="8"/>
  <c r="G674" i="8"/>
  <c r="C674" i="8"/>
  <c r="D674" i="8"/>
  <c r="I673" i="8"/>
  <c r="H673" i="8"/>
  <c r="A676" i="8" l="1"/>
  <c r="A677" i="3"/>
  <c r="H674" i="8"/>
  <c r="I674" i="8"/>
  <c r="D675" i="8"/>
  <c r="E675" i="8"/>
  <c r="F675" i="8"/>
  <c r="G675" i="8"/>
  <c r="B675" i="8"/>
  <c r="C675" i="8"/>
  <c r="H675" i="8" l="1"/>
  <c r="I675" i="8"/>
  <c r="A677" i="8"/>
  <c r="A678" i="3"/>
  <c r="B676" i="8"/>
  <c r="C676" i="8"/>
  <c r="D676" i="8"/>
  <c r="E676" i="8"/>
  <c r="F676" i="8"/>
  <c r="G676" i="8"/>
  <c r="H676" i="8" l="1"/>
  <c r="I676" i="8"/>
  <c r="B677" i="8"/>
  <c r="C677" i="8"/>
  <c r="D677" i="8"/>
  <c r="E677" i="8"/>
  <c r="F677" i="8"/>
  <c r="G677" i="8"/>
  <c r="A678" i="8"/>
  <c r="A679" i="3"/>
  <c r="A679" i="8" l="1"/>
  <c r="A680" i="3"/>
  <c r="E678" i="8"/>
  <c r="F678" i="8"/>
  <c r="G678" i="8"/>
  <c r="D678" i="8"/>
  <c r="B678" i="8"/>
  <c r="C678" i="8"/>
  <c r="H677" i="8"/>
  <c r="I677" i="8"/>
  <c r="H678" i="8" l="1"/>
  <c r="I678" i="8"/>
  <c r="A680" i="8"/>
  <c r="A681" i="3"/>
  <c r="E679" i="8"/>
  <c r="F679" i="8"/>
  <c r="G679" i="8"/>
  <c r="B679" i="8"/>
  <c r="C679" i="8"/>
  <c r="D679" i="8"/>
  <c r="H679" i="8" l="1"/>
  <c r="I679" i="8"/>
  <c r="A681" i="8"/>
  <c r="A682" i="3"/>
  <c r="B680" i="8"/>
  <c r="C680" i="8"/>
  <c r="D680" i="8"/>
  <c r="E680" i="8"/>
  <c r="F680" i="8"/>
  <c r="G680" i="8"/>
  <c r="H680" i="8" l="1"/>
  <c r="I680" i="8"/>
  <c r="A682" i="8"/>
  <c r="A683" i="3"/>
  <c r="B681" i="8"/>
  <c r="C681" i="8"/>
  <c r="D681" i="8"/>
  <c r="E681" i="8"/>
  <c r="G681" i="8"/>
  <c r="F681" i="8"/>
  <c r="H681" i="8" l="1"/>
  <c r="I681" i="8"/>
  <c r="A683" i="8"/>
  <c r="A684" i="3"/>
  <c r="E682" i="8"/>
  <c r="F682" i="8"/>
  <c r="G682" i="8"/>
  <c r="B682" i="8"/>
  <c r="C682" i="8"/>
  <c r="D682" i="8"/>
  <c r="H682" i="8" l="1"/>
  <c r="I682" i="8"/>
  <c r="A684" i="8"/>
  <c r="A685" i="3"/>
  <c r="E683" i="8"/>
  <c r="F683" i="8"/>
  <c r="G683" i="8"/>
  <c r="B683" i="8"/>
  <c r="C683" i="8"/>
  <c r="D683" i="8"/>
  <c r="H683" i="8" l="1"/>
  <c r="I683" i="8"/>
  <c r="A685" i="8"/>
  <c r="A686" i="3"/>
  <c r="B684" i="8"/>
  <c r="D684" i="8"/>
  <c r="E684" i="8"/>
  <c r="F684" i="8"/>
  <c r="G684" i="8"/>
  <c r="C684" i="8"/>
  <c r="H684" i="8" l="1"/>
  <c r="I684" i="8"/>
  <c r="A686" i="8"/>
  <c r="A687" i="3"/>
  <c r="B685" i="8"/>
  <c r="C685" i="8"/>
  <c r="D685" i="8"/>
  <c r="F685" i="8"/>
  <c r="G685" i="8"/>
  <c r="E685" i="8"/>
  <c r="A687" i="8" l="1"/>
  <c r="A688" i="3"/>
  <c r="E686" i="8"/>
  <c r="F686" i="8"/>
  <c r="G686" i="8"/>
  <c r="D686" i="8"/>
  <c r="B686" i="8"/>
  <c r="C686" i="8"/>
  <c r="H685" i="8"/>
  <c r="I685" i="8"/>
  <c r="H686" i="8" l="1"/>
  <c r="I686" i="8"/>
  <c r="A688" i="8"/>
  <c r="A689" i="3"/>
  <c r="C687" i="8"/>
  <c r="D687" i="8"/>
  <c r="E687" i="8"/>
  <c r="B687" i="8"/>
  <c r="F687" i="8"/>
  <c r="G687" i="8"/>
  <c r="H687" i="8" l="1"/>
  <c r="I687" i="8"/>
  <c r="A689" i="8"/>
  <c r="A690" i="3"/>
  <c r="G688" i="8"/>
  <c r="B688" i="8"/>
  <c r="C688" i="8"/>
  <c r="D688" i="8"/>
  <c r="E688" i="8"/>
  <c r="F688" i="8"/>
  <c r="A690" i="8" l="1"/>
  <c r="A691" i="3"/>
  <c r="I688" i="8"/>
  <c r="H688" i="8"/>
  <c r="B689" i="8"/>
  <c r="C689" i="8"/>
  <c r="D689" i="8"/>
  <c r="E689" i="8"/>
  <c r="F689" i="8"/>
  <c r="G689" i="8"/>
  <c r="A691" i="8" l="1"/>
  <c r="A692" i="3"/>
  <c r="H689" i="8"/>
  <c r="I689" i="8"/>
  <c r="E690" i="8"/>
  <c r="F690" i="8"/>
  <c r="G690" i="8"/>
  <c r="C690" i="8"/>
  <c r="D690" i="8"/>
  <c r="B690" i="8"/>
  <c r="I690" i="8" l="1"/>
  <c r="H690" i="8"/>
  <c r="A692" i="8"/>
  <c r="A693" i="3"/>
  <c r="B691" i="8"/>
  <c r="C691" i="8"/>
  <c r="D691" i="8"/>
  <c r="E691" i="8"/>
  <c r="F691" i="8"/>
  <c r="G691" i="8"/>
  <c r="H691" i="8" l="1"/>
  <c r="I691" i="8"/>
  <c r="D692" i="8"/>
  <c r="E692" i="8"/>
  <c r="F692" i="8"/>
  <c r="G692" i="8"/>
  <c r="B692" i="8"/>
  <c r="C692" i="8"/>
  <c r="A693" i="8"/>
  <c r="A694" i="3"/>
  <c r="H692" i="8" l="1"/>
  <c r="I692" i="8"/>
  <c r="G693" i="8"/>
  <c r="C693" i="8"/>
  <c r="D693" i="8"/>
  <c r="E693" i="8"/>
  <c r="F693" i="8"/>
  <c r="B693" i="8"/>
  <c r="A694" i="8"/>
  <c r="A695" i="3"/>
  <c r="A695" i="8" l="1"/>
  <c r="A696" i="3"/>
  <c r="H693" i="8"/>
  <c r="I693" i="8"/>
  <c r="F694" i="8"/>
  <c r="G694" i="8"/>
  <c r="B694" i="8"/>
  <c r="C694" i="8"/>
  <c r="D694" i="8"/>
  <c r="E694" i="8"/>
  <c r="H694" i="8" l="1"/>
  <c r="I694" i="8"/>
  <c r="A696" i="8"/>
  <c r="A697" i="3"/>
  <c r="B695" i="8"/>
  <c r="C695" i="8"/>
  <c r="D695" i="8"/>
  <c r="E695" i="8"/>
  <c r="F695" i="8"/>
  <c r="G695" i="8"/>
  <c r="H695" i="8" l="1"/>
  <c r="I695" i="8"/>
  <c r="D696" i="8"/>
  <c r="E696" i="8"/>
  <c r="F696" i="8"/>
  <c r="G696" i="8"/>
  <c r="B696" i="8"/>
  <c r="C696" i="8"/>
  <c r="A697" i="8"/>
  <c r="A698" i="3"/>
  <c r="A698" i="8" l="1"/>
  <c r="A699" i="3"/>
  <c r="G697" i="8"/>
  <c r="C697" i="8"/>
  <c r="D697" i="8"/>
  <c r="E697" i="8"/>
  <c r="F697" i="8"/>
  <c r="B697" i="8"/>
  <c r="H696" i="8"/>
  <c r="I696" i="8"/>
  <c r="H697" i="8" l="1"/>
  <c r="I697" i="8"/>
  <c r="A699" i="8"/>
  <c r="A700" i="3"/>
  <c r="B698" i="8"/>
  <c r="C698" i="8"/>
  <c r="D698" i="8"/>
  <c r="E698" i="8"/>
  <c r="F698" i="8"/>
  <c r="G698" i="8"/>
  <c r="H698" i="8" l="1"/>
  <c r="I698" i="8"/>
  <c r="A700" i="8"/>
  <c r="A701" i="3"/>
  <c r="B699" i="8"/>
  <c r="C699" i="8"/>
  <c r="D699" i="8"/>
  <c r="E699" i="8"/>
  <c r="F699" i="8"/>
  <c r="G699" i="8"/>
  <c r="H699" i="8" l="1"/>
  <c r="I699" i="8"/>
  <c r="A701" i="8"/>
  <c r="A702" i="3"/>
  <c r="D700" i="8"/>
  <c r="E700" i="8"/>
  <c r="F700" i="8"/>
  <c r="G700" i="8"/>
  <c r="B700" i="8"/>
  <c r="C700" i="8"/>
  <c r="H700" i="8" l="1"/>
  <c r="I700" i="8"/>
  <c r="A702" i="8"/>
  <c r="A703" i="3"/>
  <c r="G701" i="8"/>
  <c r="C701" i="8"/>
  <c r="D701" i="8"/>
  <c r="E701" i="8"/>
  <c r="F701" i="8"/>
  <c r="B701" i="8"/>
  <c r="H701" i="8" l="1"/>
  <c r="I701" i="8"/>
  <c r="A703" i="8"/>
  <c r="A704" i="3"/>
  <c r="B702" i="8"/>
  <c r="C702" i="8"/>
  <c r="D702" i="8"/>
  <c r="E702" i="8"/>
  <c r="F702" i="8"/>
  <c r="G702" i="8"/>
  <c r="H702" i="8" l="1"/>
  <c r="I702" i="8"/>
  <c r="A704" i="8"/>
  <c r="A705" i="3"/>
  <c r="B703" i="8"/>
  <c r="C703" i="8"/>
  <c r="D703" i="8"/>
  <c r="E703" i="8"/>
  <c r="F703" i="8"/>
  <c r="G703" i="8"/>
  <c r="H703" i="8" l="1"/>
  <c r="I703" i="8"/>
  <c r="A705" i="8"/>
  <c r="A706" i="3"/>
  <c r="D704" i="8"/>
  <c r="E704" i="8"/>
  <c r="F704" i="8"/>
  <c r="G704" i="8"/>
  <c r="B704" i="8"/>
  <c r="C704" i="8"/>
  <c r="H704" i="8" l="1"/>
  <c r="I704" i="8"/>
  <c r="A706" i="8"/>
  <c r="A707" i="3"/>
  <c r="G705" i="8"/>
  <c r="C705" i="8"/>
  <c r="D705" i="8"/>
  <c r="E705" i="8"/>
  <c r="F705" i="8"/>
  <c r="B705" i="8"/>
  <c r="H705" i="8" l="1"/>
  <c r="I705" i="8"/>
  <c r="A707" i="8"/>
  <c r="A708" i="3"/>
  <c r="F706" i="8"/>
  <c r="G706" i="8"/>
  <c r="B706" i="8"/>
  <c r="C706" i="8"/>
  <c r="D706" i="8"/>
  <c r="E706" i="8"/>
  <c r="H706" i="8" l="1"/>
  <c r="I706" i="8"/>
  <c r="A708" i="8"/>
  <c r="A709" i="3"/>
  <c r="B707" i="8"/>
  <c r="C707" i="8"/>
  <c r="D707" i="8"/>
  <c r="E707" i="8"/>
  <c r="F707" i="8"/>
  <c r="G707" i="8"/>
  <c r="H707" i="8" l="1"/>
  <c r="I707" i="8"/>
  <c r="A709" i="8"/>
  <c r="A710" i="3"/>
  <c r="D708" i="8"/>
  <c r="E708" i="8"/>
  <c r="F708" i="8"/>
  <c r="G708" i="8"/>
  <c r="B708" i="8"/>
  <c r="C708" i="8"/>
  <c r="H708" i="8" l="1"/>
  <c r="I708" i="8"/>
  <c r="A710" i="8"/>
  <c r="A711" i="3"/>
  <c r="G709" i="8"/>
  <c r="C709" i="8"/>
  <c r="D709" i="8"/>
  <c r="E709" i="8"/>
  <c r="F709" i="8"/>
  <c r="B709" i="8"/>
  <c r="H709" i="8" l="1"/>
  <c r="I709" i="8"/>
  <c r="A711" i="8"/>
  <c r="A712" i="3"/>
  <c r="B710" i="8"/>
  <c r="C710" i="8"/>
  <c r="D710" i="8"/>
  <c r="E710" i="8"/>
  <c r="F710" i="8"/>
  <c r="G710" i="8"/>
  <c r="H710" i="8" l="1"/>
  <c r="I710" i="8"/>
  <c r="B711" i="8"/>
  <c r="C711" i="8"/>
  <c r="D711" i="8"/>
  <c r="E711" i="8"/>
  <c r="F711" i="8"/>
  <c r="G711" i="8"/>
  <c r="A712" i="8"/>
  <c r="A713" i="3"/>
  <c r="D712" i="8" l="1"/>
  <c r="E712" i="8"/>
  <c r="F712" i="8"/>
  <c r="G712" i="8"/>
  <c r="B712" i="8"/>
  <c r="C712" i="8"/>
  <c r="A713" i="8"/>
  <c r="A714" i="3"/>
  <c r="H711" i="8"/>
  <c r="I711" i="8"/>
  <c r="H712" i="8" l="1"/>
  <c r="I712" i="8"/>
  <c r="A714" i="8"/>
  <c r="A715" i="3"/>
  <c r="G713" i="8"/>
  <c r="C713" i="8"/>
  <c r="D713" i="8"/>
  <c r="E713" i="8"/>
  <c r="F713" i="8"/>
  <c r="B713" i="8"/>
  <c r="H713" i="8" l="1"/>
  <c r="I713" i="8"/>
  <c r="A715" i="8"/>
  <c r="A716" i="3"/>
  <c r="F714" i="8"/>
  <c r="G714" i="8"/>
  <c r="B714" i="8"/>
  <c r="C714" i="8"/>
  <c r="D714" i="8"/>
  <c r="E714" i="8"/>
  <c r="H714" i="8" l="1"/>
  <c r="I714" i="8"/>
  <c r="A716" i="8"/>
  <c r="A717" i="3"/>
  <c r="B715" i="8"/>
  <c r="C715" i="8"/>
  <c r="D715" i="8"/>
  <c r="E715" i="8"/>
  <c r="F715" i="8"/>
  <c r="G715" i="8"/>
  <c r="H715" i="8" l="1"/>
  <c r="I715" i="8"/>
  <c r="A717" i="8"/>
  <c r="A718" i="3"/>
  <c r="D716" i="8"/>
  <c r="E716" i="8"/>
  <c r="F716" i="8"/>
  <c r="G716" i="8"/>
  <c r="B716" i="8"/>
  <c r="C716" i="8"/>
  <c r="H716" i="8" l="1"/>
  <c r="I716" i="8"/>
  <c r="A718" i="8"/>
  <c r="A719" i="3"/>
  <c r="G717" i="8"/>
  <c r="C717" i="8"/>
  <c r="D717" i="8"/>
  <c r="E717" i="8"/>
  <c r="F717" i="8"/>
  <c r="B717" i="8"/>
  <c r="A719" i="8" l="1"/>
  <c r="A720" i="3"/>
  <c r="F718" i="8"/>
  <c r="G718" i="8"/>
  <c r="B718" i="8"/>
  <c r="C718" i="8"/>
  <c r="D718" i="8"/>
  <c r="E718" i="8"/>
  <c r="H717" i="8"/>
  <c r="I717" i="8"/>
  <c r="H718" i="8" l="1"/>
  <c r="I718" i="8"/>
  <c r="A720" i="8"/>
  <c r="A721" i="3"/>
  <c r="B719" i="8"/>
  <c r="C719" i="8"/>
  <c r="D719" i="8"/>
  <c r="E719" i="8"/>
  <c r="F719" i="8"/>
  <c r="G719" i="8"/>
  <c r="H719" i="8" l="1"/>
  <c r="I719" i="8"/>
  <c r="A721" i="8"/>
  <c r="A722" i="3"/>
  <c r="D720" i="8"/>
  <c r="E720" i="8"/>
  <c r="F720" i="8"/>
  <c r="G720" i="8"/>
  <c r="B720" i="8"/>
  <c r="C720" i="8"/>
  <c r="H720" i="8" l="1"/>
  <c r="I720" i="8"/>
  <c r="A722" i="8"/>
  <c r="A723" i="3"/>
  <c r="C721" i="8"/>
  <c r="D721" i="8"/>
  <c r="E721" i="8"/>
  <c r="F721" i="8"/>
  <c r="G721" i="8"/>
  <c r="B721" i="8"/>
  <c r="A723" i="8" l="1"/>
  <c r="A724" i="3"/>
  <c r="H721" i="8"/>
  <c r="I721" i="8"/>
  <c r="B722" i="8"/>
  <c r="C722" i="8"/>
  <c r="D722" i="8"/>
  <c r="G722" i="8"/>
  <c r="E722" i="8"/>
  <c r="F722" i="8"/>
  <c r="I722" i="8" l="1"/>
  <c r="H722" i="8"/>
  <c r="A724" i="8"/>
  <c r="A725" i="3"/>
  <c r="B723" i="8"/>
  <c r="C723" i="8"/>
  <c r="D723" i="8"/>
  <c r="E723" i="8"/>
  <c r="F723" i="8"/>
  <c r="G723" i="8"/>
  <c r="A725" i="8" l="1"/>
  <c r="A726" i="3"/>
  <c r="H723" i="8"/>
  <c r="I723" i="8"/>
  <c r="E724" i="8"/>
  <c r="F724" i="8"/>
  <c r="G724" i="8"/>
  <c r="B724" i="8"/>
  <c r="C724" i="8"/>
  <c r="D724" i="8"/>
  <c r="I724" i="8" l="1"/>
  <c r="H724" i="8"/>
  <c r="A726" i="8"/>
  <c r="A727" i="3"/>
  <c r="B725" i="8"/>
  <c r="C725" i="8"/>
  <c r="D725" i="8"/>
  <c r="E725" i="8"/>
  <c r="F725" i="8"/>
  <c r="G725" i="8"/>
  <c r="H725" i="8" l="1"/>
  <c r="I725" i="8"/>
  <c r="A727" i="8"/>
  <c r="A728" i="3"/>
  <c r="F726" i="8"/>
  <c r="G726" i="8"/>
  <c r="B726" i="8"/>
  <c r="C726" i="8"/>
  <c r="D726" i="8"/>
  <c r="E726" i="8"/>
  <c r="H726" i="8" l="1"/>
  <c r="I726" i="8"/>
  <c r="A728" i="8"/>
  <c r="A729" i="3"/>
  <c r="B727" i="8"/>
  <c r="C727" i="8"/>
  <c r="D727" i="8"/>
  <c r="E727" i="8"/>
  <c r="F727" i="8"/>
  <c r="G727" i="8"/>
  <c r="H727" i="8" l="1"/>
  <c r="I727" i="8"/>
  <c r="A729" i="8"/>
  <c r="A730" i="3"/>
  <c r="E728" i="8"/>
  <c r="F728" i="8"/>
  <c r="G728" i="8"/>
  <c r="C728" i="8"/>
  <c r="D728" i="8"/>
  <c r="B728" i="8"/>
  <c r="H728" i="8" l="1"/>
  <c r="I728" i="8"/>
  <c r="A730" i="8"/>
  <c r="A731" i="3"/>
  <c r="E729" i="8"/>
  <c r="F729" i="8"/>
  <c r="G729" i="8"/>
  <c r="B729" i="8"/>
  <c r="C729" i="8"/>
  <c r="D729" i="8"/>
  <c r="H729" i="8" l="1"/>
  <c r="I729" i="8"/>
  <c r="C730" i="8"/>
  <c r="D730" i="8"/>
  <c r="E730" i="8"/>
  <c r="F730" i="8"/>
  <c r="B730" i="8"/>
  <c r="G730" i="8"/>
  <c r="A731" i="8"/>
  <c r="A732" i="3"/>
  <c r="B731" i="8" l="1"/>
  <c r="C731" i="8"/>
  <c r="D731" i="8"/>
  <c r="E731" i="8"/>
  <c r="F731" i="8"/>
  <c r="G731" i="8"/>
  <c r="A732" i="8"/>
  <c r="A733" i="3"/>
  <c r="H730" i="8"/>
  <c r="I730" i="8"/>
  <c r="A733" i="8" l="1"/>
  <c r="A734" i="3"/>
  <c r="E732" i="8"/>
  <c r="F732" i="8"/>
  <c r="G732" i="8"/>
  <c r="B732" i="8"/>
  <c r="C732" i="8"/>
  <c r="D732" i="8"/>
  <c r="I731" i="8"/>
  <c r="H731" i="8"/>
  <c r="H732" i="8" l="1"/>
  <c r="I732" i="8"/>
  <c r="A734" i="8"/>
  <c r="A735" i="3"/>
  <c r="F733" i="8"/>
  <c r="G733" i="8"/>
  <c r="B733" i="8"/>
  <c r="C733" i="8"/>
  <c r="D733" i="8"/>
  <c r="E733" i="8"/>
  <c r="B734" i="8" l="1"/>
  <c r="C734" i="8"/>
  <c r="D734" i="8"/>
  <c r="E734" i="8"/>
  <c r="F734" i="8"/>
  <c r="G734" i="8"/>
  <c r="H733" i="8"/>
  <c r="I733" i="8"/>
  <c r="A735" i="8"/>
  <c r="K7" i="4"/>
  <c r="L6" i="4"/>
  <c r="H8" i="4"/>
  <c r="K9" i="4"/>
  <c r="I8" i="4"/>
  <c r="G6" i="4"/>
  <c r="J8" i="4"/>
  <c r="S17" i="1"/>
  <c r="J7" i="4"/>
  <c r="H10" i="4"/>
  <c r="I6" i="4"/>
  <c r="K6" i="4"/>
  <c r="G9" i="4"/>
  <c r="D6" i="4"/>
  <c r="H6" i="4"/>
  <c r="S18" i="1"/>
  <c r="J6" i="4"/>
  <c r="I7" i="4"/>
  <c r="K8" i="4"/>
  <c r="H7" i="4"/>
  <c r="G8" i="4"/>
  <c r="G7" i="4"/>
  <c r="J9" i="4"/>
  <c r="H9" i="4"/>
  <c r="I9" i="4"/>
  <c r="G11" i="4"/>
  <c r="K12" i="4"/>
  <c r="J11" i="4"/>
  <c r="G13" i="4"/>
  <c r="I11" i="4"/>
  <c r="K10" i="4"/>
  <c r="H12" i="4"/>
  <c r="J10" i="4"/>
  <c r="G10" i="4"/>
  <c r="I10" i="4"/>
  <c r="K11" i="4"/>
  <c r="G14" i="4"/>
  <c r="I12" i="4"/>
  <c r="I13" i="4"/>
  <c r="G12" i="4"/>
  <c r="K13" i="4"/>
  <c r="H11" i="4"/>
  <c r="J12" i="4"/>
  <c r="J14" i="4"/>
  <c r="J16" i="4"/>
  <c r="J13" i="4"/>
  <c r="I14" i="4"/>
  <c r="H13" i="4"/>
  <c r="K14" i="4"/>
  <c r="K18" i="4"/>
  <c r="J15" i="4"/>
  <c r="H15" i="4"/>
  <c r="K16" i="4"/>
  <c r="H14" i="4"/>
  <c r="I15" i="4"/>
  <c r="K15" i="4"/>
  <c r="G15" i="4"/>
  <c r="H17" i="4"/>
  <c r="H18" i="4"/>
  <c r="I16" i="4"/>
  <c r="J19" i="4"/>
  <c r="J17" i="4"/>
  <c r="I17" i="4"/>
  <c r="H19" i="4"/>
  <c r="K17" i="4"/>
  <c r="K20" i="4"/>
  <c r="I19" i="4"/>
  <c r="G17" i="4"/>
  <c r="G20" i="4"/>
  <c r="K19" i="4"/>
  <c r="H16" i="4"/>
  <c r="G16" i="4"/>
  <c r="G18" i="4"/>
  <c r="J18" i="4"/>
  <c r="I18" i="4"/>
  <c r="G19" i="4"/>
  <c r="K21" i="4"/>
  <c r="H20" i="4"/>
  <c r="G21" i="4"/>
  <c r="J20" i="4"/>
  <c r="I20" i="4"/>
  <c r="I22" i="4"/>
  <c r="I23" i="4"/>
  <c r="G24" i="4"/>
  <c r="K22" i="4"/>
  <c r="J25" i="4"/>
  <c r="G22" i="4"/>
  <c r="I21" i="4"/>
  <c r="G25" i="4"/>
  <c r="H21" i="4"/>
  <c r="J21" i="4"/>
  <c r="H22" i="4"/>
  <c r="J22" i="4"/>
  <c r="I24" i="4"/>
  <c r="K23" i="4"/>
  <c r="H24" i="4"/>
  <c r="K24" i="4"/>
  <c r="I26" i="4"/>
  <c r="J23" i="4"/>
  <c r="H23" i="4"/>
  <c r="G23" i="4"/>
  <c r="J24" i="4"/>
  <c r="H25" i="4"/>
  <c r="K26" i="4"/>
  <c r="H26" i="4"/>
  <c r="I25" i="4"/>
  <c r="J26" i="4"/>
  <c r="K25" i="4"/>
  <c r="K28" i="4"/>
  <c r="G26" i="4"/>
  <c r="K27" i="4"/>
  <c r="J28" i="4"/>
  <c r="G27" i="4"/>
  <c r="I27" i="4"/>
  <c r="G29" i="4"/>
  <c r="H27" i="4"/>
  <c r="J27" i="4"/>
  <c r="I28" i="4"/>
  <c r="G30" i="4"/>
  <c r="J30" i="4"/>
  <c r="H29" i="4"/>
  <c r="K29" i="4"/>
  <c r="J29" i="4"/>
  <c r="G28" i="4"/>
  <c r="I29" i="4"/>
  <c r="I30" i="4"/>
  <c r="H28" i="4"/>
  <c r="K30" i="4"/>
  <c r="H30" i="4"/>
  <c r="G32" i="4"/>
  <c r="G33" i="4"/>
  <c r="J31" i="4"/>
  <c r="I34" i="4"/>
  <c r="K35" i="4"/>
  <c r="I31" i="4"/>
  <c r="J32" i="4"/>
  <c r="K34" i="4"/>
  <c r="G31" i="4"/>
  <c r="I35" i="4"/>
  <c r="J36" i="4"/>
  <c r="H31" i="4"/>
  <c r="K31" i="4"/>
  <c r="I32" i="4"/>
  <c r="G34" i="4"/>
  <c r="H32" i="4"/>
  <c r="I37" i="4"/>
  <c r="J34" i="4"/>
  <c r="K36" i="4"/>
  <c r="H33" i="4"/>
  <c r="K33" i="4"/>
  <c r="K32" i="4"/>
  <c r="H34" i="4"/>
  <c r="J35" i="4"/>
  <c r="I33" i="4"/>
  <c r="J33" i="4"/>
  <c r="G35" i="4"/>
  <c r="H37" i="4"/>
  <c r="G36" i="4"/>
  <c r="I36" i="4"/>
  <c r="J37" i="4"/>
  <c r="H35" i="4"/>
  <c r="H36" i="4"/>
  <c r="G39" i="4"/>
  <c r="G38" i="4"/>
  <c r="K37" i="4"/>
  <c r="G37" i="4"/>
  <c r="I38" i="4"/>
  <c r="H39" i="4"/>
  <c r="K38" i="4"/>
  <c r="J39" i="4"/>
  <c r="J38" i="4"/>
  <c r="J42" i="4"/>
  <c r="H38" i="4"/>
  <c r="I41" i="4"/>
  <c r="K39" i="4"/>
  <c r="G43" i="4"/>
  <c r="I39" i="4"/>
  <c r="K40" i="4"/>
  <c r="K46" i="4"/>
  <c r="J41" i="4"/>
  <c r="H40" i="4"/>
  <c r="I40" i="4"/>
  <c r="G40" i="4"/>
  <c r="K41" i="4"/>
  <c r="K42" i="4"/>
  <c r="J40" i="4"/>
  <c r="H41" i="4"/>
  <c r="G41" i="4"/>
  <c r="G44" i="4"/>
  <c r="G42" i="4"/>
  <c r="H42" i="4"/>
  <c r="I42" i="4"/>
  <c r="K43" i="4"/>
  <c r="I43" i="4"/>
  <c r="J46" i="4"/>
  <c r="J43" i="4"/>
  <c r="I45" i="4"/>
  <c r="H44" i="4"/>
  <c r="K44" i="4"/>
  <c r="H43" i="4"/>
  <c r="G46" i="4"/>
  <c r="H45" i="4"/>
  <c r="G45" i="4"/>
  <c r="J45" i="4"/>
  <c r="I44" i="4"/>
  <c r="J44" i="4"/>
  <c r="I46" i="4"/>
  <c r="H46" i="4"/>
  <c r="K45" i="4"/>
  <c r="G49" i="4"/>
  <c r="H48" i="4"/>
  <c r="H47" i="4"/>
  <c r="G48" i="4"/>
  <c r="G47" i="4"/>
  <c r="J47" i="4"/>
  <c r="G50" i="4"/>
  <c r="I49" i="4"/>
  <c r="K48" i="4"/>
  <c r="I47" i="4"/>
  <c r="J50" i="4"/>
  <c r="J48" i="4"/>
  <c r="K47" i="4"/>
  <c r="G53" i="4"/>
  <c r="H50" i="4"/>
  <c r="H49" i="4"/>
  <c r="I48" i="4"/>
  <c r="I50" i="4"/>
  <c r="K49" i="4"/>
  <c r="K51" i="4"/>
  <c r="J52" i="4"/>
  <c r="J49" i="4"/>
  <c r="K50" i="4"/>
  <c r="H51" i="4"/>
  <c r="I53" i="4"/>
  <c r="H52" i="4"/>
  <c r="G51" i="4"/>
  <c r="I51" i="4"/>
  <c r="H53" i="4"/>
  <c r="J51" i="4"/>
  <c r="I52" i="4"/>
  <c r="K52" i="4"/>
  <c r="G52" i="4"/>
  <c r="I55" i="4"/>
  <c r="K53" i="4"/>
  <c r="I56" i="4"/>
  <c r="J53" i="4"/>
  <c r="H55" i="4"/>
  <c r="J54" i="4"/>
  <c r="K56" i="4"/>
  <c r="J57" i="4"/>
  <c r="H54" i="4"/>
  <c r="G55" i="4"/>
  <c r="I54" i="4"/>
  <c r="K58" i="4"/>
  <c r="J56" i="4"/>
  <c r="G54" i="4"/>
  <c r="K54" i="4"/>
  <c r="J55" i="4"/>
  <c r="K55" i="4"/>
  <c r="I59" i="4"/>
  <c r="K57" i="4"/>
  <c r="G60" i="4"/>
  <c r="G56" i="4"/>
  <c r="H56" i="4"/>
  <c r="I57" i="4"/>
  <c r="J61" i="4"/>
  <c r="G57" i="4"/>
  <c r="H57" i="4"/>
  <c r="J58" i="4"/>
  <c r="J59" i="4"/>
  <c r="H61" i="4"/>
  <c r="G59" i="4"/>
  <c r="I60" i="4"/>
  <c r="I62" i="4"/>
  <c r="H62" i="4"/>
  <c r="H58" i="4"/>
  <c r="G58" i="4"/>
  <c r="K60" i="4"/>
  <c r="J60" i="4"/>
  <c r="I58" i="4"/>
  <c r="H59" i="4"/>
  <c r="K59" i="4"/>
  <c r="G63" i="4"/>
  <c r="H60" i="4"/>
  <c r="G61" i="4"/>
  <c r="K64" i="4"/>
  <c r="K61" i="4"/>
  <c r="J62" i="4"/>
  <c r="I65" i="4"/>
  <c r="I61" i="4"/>
  <c r="K62" i="4"/>
  <c r="K65" i="4"/>
  <c r="H63" i="4"/>
  <c r="I64" i="4"/>
  <c r="G62" i="4"/>
  <c r="J63" i="4"/>
  <c r="G65" i="4"/>
  <c r="K63" i="4"/>
  <c r="I63" i="4"/>
  <c r="G66" i="4"/>
  <c r="J64" i="4"/>
  <c r="I67" i="4"/>
  <c r="J65" i="4"/>
  <c r="G64" i="4"/>
  <c r="K66" i="4"/>
  <c r="H66" i="4"/>
  <c r="G68" i="4"/>
  <c r="H65" i="4"/>
  <c r="H64" i="4"/>
  <c r="J66" i="4"/>
  <c r="I66" i="4"/>
  <c r="J68" i="4"/>
  <c r="K67" i="4"/>
  <c r="I68" i="4"/>
  <c r="H67" i="4"/>
  <c r="J67" i="4"/>
  <c r="K68" i="4"/>
  <c r="H71" i="4"/>
  <c r="I71" i="4"/>
  <c r="G67" i="4"/>
  <c r="J69" i="4"/>
  <c r="I69" i="4"/>
  <c r="H68" i="4"/>
  <c r="G69" i="4"/>
  <c r="H69" i="4"/>
  <c r="K69" i="4"/>
  <c r="I73" i="4"/>
  <c r="J70" i="4"/>
  <c r="K70" i="4"/>
  <c r="G72" i="4"/>
  <c r="J71" i="4"/>
  <c r="H70" i="4"/>
  <c r="G70" i="4"/>
  <c r="K71" i="4"/>
  <c r="I70" i="4"/>
  <c r="K72" i="4"/>
  <c r="I72" i="4"/>
  <c r="G71" i="4"/>
  <c r="K75" i="4"/>
  <c r="H72" i="4"/>
  <c r="J72" i="4"/>
  <c r="K73" i="4"/>
  <c r="H73" i="4"/>
  <c r="G73" i="4"/>
  <c r="J73" i="4"/>
  <c r="I75" i="4"/>
  <c r="K76" i="4"/>
  <c r="J74" i="4"/>
  <c r="H75" i="4"/>
  <c r="K77" i="4"/>
  <c r="H74" i="4"/>
  <c r="K74" i="4"/>
  <c r="I74" i="4"/>
  <c r="G74" i="4"/>
  <c r="G75" i="4"/>
  <c r="J75" i="4"/>
  <c r="H76" i="4"/>
  <c r="H77" i="4"/>
  <c r="I76" i="4"/>
  <c r="G79" i="4"/>
  <c r="G77" i="4"/>
  <c r="J76" i="4"/>
  <c r="G76" i="4"/>
  <c r="J77" i="4"/>
  <c r="G80" i="4"/>
  <c r="G78" i="4"/>
  <c r="K82" i="4"/>
  <c r="K78" i="4"/>
  <c r="G81" i="4"/>
  <c r="K79" i="4"/>
  <c r="I78" i="4"/>
  <c r="I79" i="4"/>
  <c r="H78" i="4"/>
  <c r="I77" i="4"/>
  <c r="J78" i="4"/>
  <c r="H79" i="4"/>
  <c r="K80" i="4"/>
  <c r="J79" i="4"/>
  <c r="J80" i="4"/>
  <c r="J83" i="4"/>
  <c r="H80" i="4"/>
  <c r="I80" i="4"/>
  <c r="I84" i="4"/>
  <c r="G84" i="4"/>
  <c r="G83" i="4"/>
  <c r="K81" i="4"/>
  <c r="H81" i="4"/>
  <c r="I83" i="4"/>
  <c r="K83" i="4"/>
  <c r="I81" i="4"/>
  <c r="J81" i="4"/>
  <c r="H82" i="4"/>
  <c r="J85" i="4"/>
  <c r="J82" i="4"/>
  <c r="G82" i="4"/>
  <c r="I82" i="4"/>
  <c r="K86" i="4"/>
  <c r="K84" i="4"/>
  <c r="H83" i="4"/>
  <c r="H84" i="4"/>
  <c r="J84" i="4"/>
  <c r="I85" i="4"/>
  <c r="K85" i="4"/>
  <c r="G87" i="4"/>
  <c r="G85" i="4"/>
  <c r="I89" i="4"/>
  <c r="H85" i="4"/>
  <c r="I88" i="4"/>
  <c r="J87" i="4"/>
  <c r="H87" i="4"/>
  <c r="J86" i="4"/>
  <c r="K87" i="4"/>
  <c r="G86" i="4"/>
  <c r="H86" i="4"/>
  <c r="I86" i="4"/>
  <c r="J88" i="4"/>
  <c r="I87" i="4"/>
  <c r="K88" i="4"/>
  <c r="G88" i="4"/>
  <c r="H89" i="4"/>
  <c r="J91" i="4"/>
  <c r="G89" i="4"/>
  <c r="H88" i="4"/>
  <c r="K89" i="4"/>
  <c r="J89" i="4"/>
  <c r="K90" i="4"/>
  <c r="J90" i="4"/>
  <c r="I93" i="4"/>
  <c r="I90" i="4"/>
  <c r="I91" i="4"/>
  <c r="H90" i="4"/>
  <c r="G90" i="4"/>
  <c r="G91" i="4"/>
  <c r="K91" i="4"/>
  <c r="G94" i="4"/>
  <c r="K93" i="4"/>
  <c r="H91" i="4"/>
  <c r="J93" i="4"/>
  <c r="H92" i="4"/>
  <c r="J92" i="4"/>
  <c r="K92" i="4"/>
  <c r="G92" i="4"/>
  <c r="I92" i="4"/>
  <c r="J94" i="4"/>
  <c r="H93" i="4"/>
  <c r="G93" i="4"/>
  <c r="J95" i="4"/>
  <c r="I94" i="4"/>
  <c r="H94" i="4"/>
  <c r="K94" i="4"/>
  <c r="I95" i="4"/>
  <c r="K98" i="4"/>
  <c r="K95" i="4"/>
  <c r="H95" i="4"/>
  <c r="G95" i="4"/>
  <c r="I100" i="4"/>
  <c r="K97" i="4"/>
  <c r="G96" i="4"/>
  <c r="J97" i="4"/>
  <c r="J96" i="4"/>
  <c r="H97" i="4"/>
  <c r="G99" i="4"/>
  <c r="I96" i="4"/>
  <c r="H96" i="4"/>
  <c r="G97" i="4"/>
  <c r="I97" i="4"/>
  <c r="K96" i="4"/>
  <c r="G98" i="4"/>
  <c r="I99" i="4"/>
  <c r="H98" i="4"/>
  <c r="I98" i="4"/>
  <c r="G100" i="4"/>
  <c r="J98" i="4"/>
  <c r="J99" i="4"/>
  <c r="K99" i="4"/>
  <c r="H99" i="4"/>
  <c r="J100" i="4"/>
  <c r="G101" i="4"/>
  <c r="J101" i="4"/>
  <c r="H100" i="4"/>
  <c r="G103" i="4"/>
  <c r="K100" i="4"/>
  <c r="I101" i="4"/>
  <c r="H103" i="4"/>
  <c r="H101" i="4"/>
  <c r="K101" i="4"/>
  <c r="J104" i="4"/>
  <c r="I102" i="4"/>
  <c r="G102" i="4"/>
  <c r="G104" i="4"/>
  <c r="J103" i="4"/>
  <c r="G107" i="4"/>
  <c r="H102" i="4"/>
  <c r="I103" i="4"/>
  <c r="G106" i="4"/>
  <c r="K103" i="4"/>
  <c r="K102" i="4"/>
  <c r="J102" i="4"/>
  <c r="K105" i="4"/>
  <c r="K104" i="4"/>
  <c r="I105" i="4"/>
  <c r="J109" i="4"/>
  <c r="I104" i="4"/>
  <c r="I106" i="4"/>
  <c r="H105" i="4"/>
  <c r="H106" i="4"/>
  <c r="H104" i="4"/>
  <c r="J105" i="4"/>
  <c r="J106" i="4"/>
  <c r="G105" i="4"/>
  <c r="I107" i="4"/>
  <c r="K106" i="4"/>
  <c r="K109" i="4"/>
  <c r="G109" i="4"/>
  <c r="H109" i="4"/>
  <c r="H107" i="4"/>
  <c r="K108" i="4"/>
  <c r="K107" i="4"/>
  <c r="G108" i="4"/>
  <c r="H108" i="4"/>
  <c r="I109" i="4"/>
  <c r="J108" i="4"/>
  <c r="J107" i="4"/>
  <c r="I108" i="4"/>
  <c r="E6" i="5" a="1"/>
  <c r="E6" i="5" s="1"/>
  <c r="F6" i="5" s="1"/>
  <c r="R2" i="4" l="1"/>
  <c r="E6" i="4"/>
  <c r="E7" i="4"/>
  <c r="F7" i="4" s="1"/>
  <c r="B735" i="8"/>
  <c r="C735" i="8"/>
  <c r="D735" i="8"/>
  <c r="F735" i="8"/>
  <c r="G735" i="8"/>
  <c r="E735" i="8"/>
  <c r="L2" i="5"/>
  <c r="G6" i="5"/>
  <c r="H6" i="5"/>
  <c r="I6" i="5" s="1"/>
  <c r="S19" i="1"/>
  <c r="A21" i="1" s="1"/>
  <c r="H734" i="8"/>
  <c r="I734" i="8"/>
  <c r="H735" i="8" l="1"/>
  <c r="I735" i="8"/>
  <c r="M33" i="1" s="1"/>
  <c r="F6" i="4"/>
  <c r="Q7" i="4"/>
  <c r="Q6" i="4"/>
  <c r="Q8" i="4"/>
  <c r="K22" i="8" l="1"/>
  <c r="K18" i="8" a="1"/>
  <c r="K18" i="8" s="1"/>
  <c r="H6" i="8"/>
  <c r="K6" i="8"/>
  <c r="S22" i="1" l="1"/>
  <c r="A25" i="1" s="1"/>
  <c r="M32" i="1"/>
  <c r="K10" i="8"/>
  <c r="K14" i="8"/>
  <c r="M1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ZY LAPTOP</author>
  </authors>
  <commentList>
    <comment ref="B5" authorId="0" shapeId="0" xr:uid="{6BE74E24-09CC-4E3D-9FB1-4FF9F37F5806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Weigh yourself at the same time each morning, before eating. Blue = you type here.</t>
        </r>
      </text>
    </comment>
    <comment ref="C5" authorId="0" shapeId="0" xr:uid="{22930DFA-2982-4A9D-9A5A-BBCFB92A009C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Calculated: today's weight minus your previous logged weight.</t>
        </r>
      </text>
    </comment>
    <comment ref="D5" authorId="0" shapeId="0" xr:uid="{96E13F2B-88B5-4287-8B21-6C6D82345175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Calculated: rolling average of the last 7 logged days. This is the number to judge progress by.</t>
        </r>
      </text>
    </comment>
    <comment ref="E5" authorId="0" shapeId="0" xr:uid="{81A4D890-4927-4D0D-AF18-E1F2DD1CAAF6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Total kcal eaten. Target is set in Settings (B11).</t>
        </r>
      </text>
    </comment>
    <comment ref="F5" authorId="0" shapeId="0" xr:uid="{549F2AFE-3C7F-4DC2-8553-9793BCAB9335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Total protein in grams. Target is set in Settings (B12).</t>
        </r>
      </text>
    </comment>
    <comment ref="G5" authorId="0" shapeId="0" xr:uid="{537A2BE3-7FB6-4064-8493-8C0C1DC978D5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Litres of water. Goal is set in Settings (B13).</t>
        </r>
      </text>
    </comment>
    <comment ref="H5" authorId="0" shapeId="0" xr:uid="{42629587-533D-4C55-9756-864A264A8F29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Daily step count. Goal is set in Settings (B14).</t>
        </r>
      </text>
    </comment>
    <comment ref="I5" authorId="0" shapeId="0" xr:uid="{442EAC53-8EE0-464F-AA0B-5F12E7A0A5BF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Minutes of cardio (walking, running, cycling, swimming).</t>
        </r>
      </text>
    </comment>
    <comment ref="J5" authorId="0" shapeId="0" xr:uid="{6518CB52-7F3A-4728-8BD2-BD5DEEF4936C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Yes or No - pick from the dropdown. Counts towards the workout habit.</t>
        </r>
      </text>
    </comment>
    <comment ref="K5" authorId="0" shapeId="0" xr:uid="{247FC257-8105-4427-BF30-48AF18D71027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Hours slept. Goal is set in Settings (B15).</t>
        </r>
      </text>
    </comment>
    <comment ref="L5" authorId="0" shapeId="0" xr:uid="{A09AE422-23FE-43A8-97AD-B9402B17F235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Anything worth remembering: illness, travel, a big meal, a great session.</t>
        </r>
      </text>
    </comment>
    <comment ref="M5" authorId="0" shapeId="0" xr:uid="{A2CDEC29-1972-41BC-97FB-7F06B66F95F8}">
      <text>
        <r>
          <rPr>
            <b/>
            <sz val="9"/>
            <color indexed="81"/>
            <rFont val="Tahoma"/>
            <charset val="1"/>
          </rPr>
          <t>ZY LAPTOP:</t>
        </r>
        <r>
          <rPr>
            <sz val="9"/>
            <color indexed="81"/>
            <rFont val="Tahoma"/>
            <charset val="1"/>
          </rPr>
          <t xml:space="preserve">
Calculated from your weight and the height in Settings (B7).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<sst xmlns="http://schemas.openxmlformats.org/spreadsheetml/2006/main" count="539" uniqueCount="457">
  <si>
    <t>WEIGHT LOSS ANALYTICS</t>
  </si>
  <si>
    <t>STARTING WEIGHT</t>
  </si>
  <si>
    <t>CURRENT WEIGHT</t>
  </si>
  <si>
    <t>GOAL WEIGHT</t>
  </si>
  <si>
    <t>TOTAL LOST</t>
  </si>
  <si>
    <t>REMAINING TO GOAL</t>
  </si>
  <si>
    <t>AVG WEEKLY LOSS</t>
  </si>
  <si>
    <t>AVG DAILY CHANGE</t>
  </si>
  <si>
    <t>CURRENT BMI</t>
  </si>
  <si>
    <t>DAYS SINCE START</t>
  </si>
  <si>
    <t>GOAL COMPLETION</t>
  </si>
  <si>
    <t>EST. GOAL DATE</t>
  </si>
  <si>
    <t>CONSISTENCY (7d)</t>
  </si>
  <si>
    <t>BMR — REST BURN</t>
  </si>
  <si>
    <t>MAINTENANCE (TDEE)</t>
  </si>
  <si>
    <t>DAILY CALORIE TARGET</t>
  </si>
  <si>
    <t>BMI CLASS</t>
  </si>
  <si>
    <t>AUTOMATIC INSIGHTS</t>
  </si>
  <si>
    <t>SETTINGS &amp; PROFILE</t>
  </si>
  <si>
    <t>Edit the blue values - every sheet, metric and projection updates automatically.</t>
  </si>
  <si>
    <t>Start Date</t>
  </si>
  <si>
    <t>Starting Weight (kg)</t>
  </si>
  <si>
    <t>Goal Weight (kg)</t>
  </si>
  <si>
    <t>First milestone = 10% of starting weight (clinical standard). Change it anytime.</t>
  </si>
  <si>
    <t>Height (cm)</t>
  </si>
  <si>
    <t>Age (years)</t>
  </si>
  <si>
    <t>Sex</t>
  </si>
  <si>
    <t>Male</t>
  </si>
  <si>
    <t>Used for the BMR formula - pick from the dropdown.</t>
  </si>
  <si>
    <t>Activity Level</t>
  </si>
  <si>
    <t>Lightly Active</t>
  </si>
  <si>
    <t>Sedentary / Lightly Active / Moderately Active / Very Active / Extremely Active</t>
  </si>
  <si>
    <t>Daily Calorie Target (kcal)</t>
  </si>
  <si>
    <t>Auto-suggested (maintenance - 750 kcal). Type your own number to override.</t>
  </si>
  <si>
    <t>Daily Protein Target (g)</t>
  </si>
  <si>
    <t>Auto: 1.2 g per kg of goal weight. Overwrite if you prefer.</t>
  </si>
  <si>
    <t>Daily Water Goal (L)</t>
  </si>
  <si>
    <t>Daily Step Goal</t>
  </si>
  <si>
    <t>Sleep Goal (h)</t>
  </si>
  <si>
    <t>CALCULATED HEALTH METRICS</t>
  </si>
  <si>
    <t>Current Weight (auto, kg)</t>
  </si>
  <si>
    <t>Latest weigh-in from the Daily Tracking sheet.</t>
  </si>
  <si>
    <t>Starting BMI</t>
  </si>
  <si>
    <t>Weight / height squared.</t>
  </si>
  <si>
    <t>Current BMI</t>
  </si>
  <si>
    <t>Updates with every weigh-in.</t>
  </si>
  <si>
    <t>BMI Classification</t>
  </si>
  <si>
    <t>WHO classification.</t>
  </si>
  <si>
    <t>Healthy Weight Range</t>
  </si>
  <si>
    <t>BMI 18.5-24.9 for your height.</t>
  </si>
  <si>
    <t>BMR - Resting Burn (kcal/day)</t>
  </si>
  <si>
    <t>Mifflin-St Jeor equation; recalculates as your weight drops.</t>
  </si>
  <si>
    <t>Maintenance - TDEE (kcal/day)</t>
  </si>
  <si>
    <t>BMR x activity factor: calories to stay at current weight.</t>
  </si>
  <si>
    <t>Planned Daily Deficit (kcal)</t>
  </si>
  <si>
    <t>Maintenance minus your calorie target.</t>
  </si>
  <si>
    <t>Expected Loss at Target</t>
  </si>
  <si>
    <t>Based on ~7,700 kcal per kg of body fat.</t>
  </si>
  <si>
    <t>HOW TO USE</t>
  </si>
  <si>
    <t>1. Check your profile above - start date, weights, height, age, sex and activity level (blue cells).</t>
  </si>
  <si>
    <t>2. Log each day in 'Daily Tracking' - only the white columns need input; everything else is automatic.</t>
  </si>
  <si>
    <t>3. Weigh in at the same time each day (ideally mornings) for the cleanest trend line.</t>
  </si>
  <si>
    <t>4. The Dashboard, Weekly, Monthly, Habit and Projection sheets fill in as your data accumulates.</t>
  </si>
  <si>
    <t>5. Add body measurements every 1-2 weeks in 'Body Measurements'.</t>
  </si>
  <si>
    <t>6. Projections need ~2-3 weeks of weigh-ins before they become meaningful.</t>
  </si>
  <si>
    <t>DAILY TRACKING</t>
  </si>
  <si>
    <t>Log your day in the white columns. Grey columns calculate themselves.</t>
  </si>
  <si>
    <t>Date</t>
  </si>
  <si>
    <t>Weight (kg)</t>
  </si>
  <si>
    <t>Daily Change</t>
  </si>
  <si>
    <t>7-Day Avg</t>
  </si>
  <si>
    <t>Calories</t>
  </si>
  <si>
    <t>Protein (g)</t>
  </si>
  <si>
    <t>Water (L)</t>
  </si>
  <si>
    <t>Steps</t>
  </si>
  <si>
    <t>Cardio (min)</t>
  </si>
  <si>
    <t>Strength</t>
  </si>
  <si>
    <t>Sleep (h)</t>
  </si>
  <si>
    <t>Notes</t>
  </si>
  <si>
    <t>BMI</t>
  </si>
  <si>
    <t>WEEKLY ANALYSIS</t>
  </si>
  <si>
    <t>Automatic weekly roll-up of your daily log.</t>
  </si>
  <si>
    <t>Week</t>
  </si>
  <si>
    <t>Start</t>
  </si>
  <si>
    <t>End</t>
  </si>
  <si>
    <t>Avg Weight</t>
  </si>
  <si>
    <t>Lost (kg)</t>
  </si>
  <si>
    <t>% Change</t>
  </si>
  <si>
    <t>Avg Calories</t>
  </si>
  <si>
    <t>Avg Protein</t>
  </si>
  <si>
    <t>Avg Steps</t>
  </si>
  <si>
    <t>Avg Sleep</t>
  </si>
  <si>
    <t>Avg Water</t>
  </si>
  <si>
    <t>Strength Days</t>
  </si>
  <si>
    <t>Days Logged</t>
  </si>
  <si>
    <t>HIGHLIGHTS</t>
  </si>
  <si>
    <t>Best week (most lost)</t>
  </si>
  <si>
    <t>Worst week (least lost)</t>
  </si>
  <si>
    <t>Average weekly loss</t>
  </si>
  <si>
    <t>MONTHLY ANALYSIS</t>
  </si>
  <si>
    <t>Month-over-month performance comparison.</t>
  </si>
  <si>
    <t>Month</t>
  </si>
  <si>
    <t>From</t>
  </si>
  <si>
    <t>To</t>
  </si>
  <si>
    <t>Start Weight</t>
  </si>
  <si>
    <t>End Weight</t>
  </si>
  <si>
    <t>% Lost</t>
  </si>
  <si>
    <t>Avg Daily Loss</t>
  </si>
  <si>
    <t>Avg Weekly Loss</t>
  </si>
  <si>
    <t>BODY MEASUREMENTS</t>
  </si>
  <si>
    <t>Measure every 1–2 weeks. Change columns compare to your first entry.</t>
  </si>
  <si>
    <t>Waist (cm)</t>
  </si>
  <si>
    <t>Chest (cm)</t>
  </si>
  <si>
    <t>Arms (cm)</t>
  </si>
  <si>
    <t>Thighs (cm)</t>
  </si>
  <si>
    <t>Neck (cm)</t>
  </si>
  <si>
    <t>Δ Waist</t>
  </si>
  <si>
    <t>Δ Chest</t>
  </si>
  <si>
    <t>Δ Arms</t>
  </si>
  <si>
    <t>Δ Thighs</t>
  </si>
  <si>
    <t>Δ Neck</t>
  </si>
  <si>
    <t>GOAL PLANNER &amp; PREDICTIONS</t>
  </si>
  <si>
    <t>Projections from your recent 4-week trend (falls back to all-time trend with limited data).</t>
  </si>
  <si>
    <t>Current Weight</t>
  </si>
  <si>
    <t>Trend (per week)</t>
  </si>
  <si>
    <t>Projected Next Week</t>
  </si>
  <si>
    <t>Projected Next Month</t>
  </si>
  <si>
    <t>Projected in 3 Months</t>
  </si>
  <si>
    <t>Estimated Goal Date</t>
  </si>
  <si>
    <t>Time Remaining</t>
  </si>
  <si>
    <t>Weeks of Data</t>
  </si>
  <si>
    <t>Projection Week</t>
  </si>
  <si>
    <t>Projected Weight</t>
  </si>
  <si>
    <t>Goal</t>
  </si>
  <si>
    <t>+1 wk</t>
  </si>
  <si>
    <t>+2 wk</t>
  </si>
  <si>
    <t>+3 wk</t>
  </si>
  <si>
    <t>+4 wk</t>
  </si>
  <si>
    <t>+5 wk</t>
  </si>
  <si>
    <t>+6 wk</t>
  </si>
  <si>
    <t>+7 wk</t>
  </si>
  <si>
    <t>+8 wk</t>
  </si>
  <si>
    <t>+9 wk</t>
  </si>
  <si>
    <t>+10 wk</t>
  </si>
  <si>
    <t>+11 wk</t>
  </si>
  <si>
    <t>+12 wk</t>
  </si>
  <si>
    <t>HABIT &amp; CONSISTENCY TRACKER</t>
  </si>
  <si>
    <t>Auto-scored from your daily log against the goals in Settings.</t>
  </si>
  <si>
    <t>Weight Logged</t>
  </si>
  <si>
    <t>Calories Tracked</t>
  </si>
  <si>
    <t>Water Goal</t>
  </si>
  <si>
    <t>Step Goal</t>
  </si>
  <si>
    <t>Workout Done</t>
  </si>
  <si>
    <t>Sleep Goal</t>
  </si>
  <si>
    <t>Daily Score</t>
  </si>
  <si>
    <t>Streak (wt)</t>
  </si>
  <si>
    <t>Weekly Consistency</t>
  </si>
  <si>
    <t>Monthly Consistency</t>
  </si>
  <si>
    <t>Overall Consistency</t>
  </si>
  <si>
    <t>Current Streak (days)</t>
  </si>
  <si>
    <t>Longest Streak (days)</t>
  </si>
  <si>
    <t>chart: weight</t>
  </si>
  <si>
    <t>chart: 7d avg</t>
  </si>
  <si>
    <t>chart: BMI</t>
  </si>
  <si>
    <t>chart: lost</t>
  </si>
  <si>
    <t>chart: avg wt</t>
  </si>
  <si>
    <t>Daily Weight</t>
  </si>
  <si>
    <t>7-Day Average</t>
  </si>
  <si>
    <t>WEIGHT LOSS TRACKER</t>
  </si>
  <si>
    <t>How this workbook works — read once, then start logging.</t>
  </si>
  <si>
    <t>1. START HERE</t>
  </si>
  <si>
    <t>Settings</t>
  </si>
  <si>
    <t>Enter your height, start date, start weight, goal weight, age, sex, activity level and daily habit goals. Everything else in the workbook is driven from here.</t>
  </si>
  <si>
    <t>Daily Tracking</t>
  </si>
  <si>
    <t>Log one row per day: weight, calories, protein, water, steps, cardio, strength, sleep and a note. Dates are already filled in for 2 years.</t>
  </si>
  <si>
    <t>Body Measurements</t>
  </si>
  <si>
    <t>Add waist, chest, arms, thighs and neck every 1–2 weeks. Changes vs your first entry are calculated for you.</t>
  </si>
  <si>
    <t>Meal &amp; Workout Log</t>
  </si>
  <si>
    <t>Optional detail behind the daily numbers — individual meals and training sessions.</t>
  </si>
  <si>
    <t>2. WHAT CALCULATES ITSELF</t>
  </si>
  <si>
    <t>Dashboard</t>
  </si>
  <si>
    <t>Headline numbers, insights and charts. Nothing to type here.</t>
  </si>
  <si>
    <t>Weekly / Monthly Analysis</t>
  </si>
  <si>
    <t>Roll-ups of your daily log: average weight, loss per period, averages for calories, protein, steps, sleep and water.</t>
  </si>
  <si>
    <t>Habit Tracker</t>
  </si>
  <si>
    <t>Scores six habits per day straight from your Daily Tracking entries — do not type in the grid, it fills itself.</t>
  </si>
  <si>
    <t>Goal Planner</t>
  </si>
  <si>
    <t>Required weekly rate, projected finish date and a 12-week projection curve.</t>
  </si>
  <si>
    <t>Milestones</t>
  </si>
  <si>
    <t>Every 5 kg from start to goal, with the date you hit it detected automatically.</t>
  </si>
  <si>
    <t>3. COLOUR LEGEND</t>
  </si>
  <si>
    <t>Type here</t>
  </si>
  <si>
    <t>Blue figures on a white background are your inputs — the only cells you need to fill in.</t>
  </si>
  <si>
    <t>Calculated</t>
  </si>
  <si>
    <t>Grey-shaded columns are formulas. They are locked so they cannot be overwritten by accident.</t>
  </si>
  <si>
    <t>Good</t>
  </si>
  <si>
    <t>Green means moving towards your goal (weight down, habit hit).</t>
  </si>
  <si>
    <t>Off track</t>
  </si>
  <si>
    <t>Red means moving away from your goal — check your calories and consistency that week.</t>
  </si>
  <si>
    <t>+  −  toggle</t>
  </si>
  <si>
    <t>Some sheets have collapsed helper columns that feed the charts. Click the + above the column letters to see them.</t>
  </si>
  <si>
    <t>4. YOUR PLAN AT A GLANCE</t>
  </si>
  <si>
    <t>Tracking window</t>
  </si>
  <si>
    <t>Start → goal</t>
  </si>
  <si>
    <t>Required pace</t>
  </si>
  <si>
    <t>Tip</t>
  </si>
  <si>
    <t>Weigh yourself at the same time each morning. Day-to-day swings are mostly water — trust the 7-day average and the weekly trend, not a single reading.</t>
  </si>
  <si>
    <t>MILESTONES</t>
  </si>
  <si>
    <t>Every 5 kg from your start weight down to your goal. Achieved dates are detected from your daily log.</t>
  </si>
  <si>
    <t>Milestone (kg)</t>
  </si>
  <si>
    <t>Lost from start</t>
  </si>
  <si>
    <t>% of goal</t>
  </si>
  <si>
    <t>Target date (est.)</t>
  </si>
  <si>
    <t>Achieved on</t>
  </si>
  <si>
    <t>Days taken</t>
  </si>
  <si>
    <t>Status</t>
  </si>
  <si>
    <t>Reward / note</t>
  </si>
  <si>
    <t>MEAL &amp; WORKOUT LOG</t>
  </si>
  <si>
    <t>Optional detail behind your daily totals. Log individual meals on the left, training sessions on the right.</t>
  </si>
  <si>
    <t>MEALS</t>
  </si>
  <si>
    <t>WORKOUTS</t>
  </si>
  <si>
    <t>Meal</t>
  </si>
  <si>
    <t>Food / description</t>
  </si>
  <si>
    <t>Type</t>
  </si>
  <si>
    <t>Exercise / session</t>
  </si>
  <si>
    <t>Duration (min)</t>
  </si>
  <si>
    <t>Intensity</t>
  </si>
  <si>
    <t>Calories burned</t>
  </si>
  <si>
    <t>PERFORMANCE METRICS</t>
  </si>
  <si>
    <t>Days logged</t>
  </si>
  <si>
    <t>Current 7-day average</t>
  </si>
  <si>
    <t>Logging consistency</t>
  </si>
  <si>
    <t>Trend, last 14 days</t>
  </si>
  <si>
    <t>Total lost so far</t>
  </si>
  <si>
    <t>Projected weight in 12 weeks</t>
  </si>
  <si>
    <t>Weeks to goal at current trend</t>
  </si>
  <si>
    <t>Average daily calories</t>
  </si>
  <si>
    <t>Habit score, last 30 days</t>
  </si>
  <si>
    <t>Average daily steps</t>
  </si>
  <si>
    <t>Protection</t>
  </si>
  <si>
    <t>Formula cells are locked so they cannot be typed over. Only the blue input cells accept entries. To change the layout yourself: Review tab &gt; Unprotect Sheet (no password).</t>
  </si>
  <si>
    <t>Sheets</t>
  </si>
  <si>
    <t>Longest logging streak (days)</t>
  </si>
  <si>
    <t>MOBILE APP SPECIFICATION</t>
  </si>
  <si>
    <t>Hand this to a developer or paste it into an app builder. It describes every field, rule and screen behind this workbook.</t>
  </si>
  <si>
    <t>1. PRODUCT OVERVIEW</t>
  </si>
  <si>
    <t>Purpose</t>
  </si>
  <si>
    <t>A personal weight-loss tracker. The user logs a daily weigh-in plus optional food, training, sleep, water and step data; the app scores their habits, rolls the data up by week and month, projects when they will hit their goal weight, and awards milestones every 5 kg.</t>
  </si>
  <si>
    <t>Primary user</t>
  </si>
  <si>
    <t>One individual tracking their own weight loss over a 2-year horizon. Single-user app; no sharing, no coaching, no social features in v1.</t>
  </si>
  <si>
    <t>Core loop</t>
  </si>
  <si>
    <t>Open app → one-tap weigh-in on the Today screen → optionally add meals/workout → see updated trend, habit score and projected goal date.</t>
  </si>
  <si>
    <t>Platforms</t>
  </si>
  <si>
    <t>iOS and Android phone (portrait only). Tablet/desktop layouts not required for v1.</t>
  </si>
  <si>
    <t>Units &amp; locale</t>
  </si>
  <si>
    <t>Metric by default: kg, cm, litres, kcal, minutes, hours. Decimal separator follows device locale (this workbook renders French format, e.g. 157,0). Imperial (lb/ft-in/fl oz) should be a profile toggle that converts on display only — always store metric.</t>
  </si>
  <si>
    <t>Time horizon</t>
  </si>
  <si>
    <t>Plan spans 730 days from the start date. Current data: start 13 Sept 2026, start weight 157,0 kg, goal 100,0 kg, required pace ≈ 0,55 kg/week.</t>
  </si>
  <si>
    <t>2. SCREENS</t>
  </si>
  <si>
    <t>Tab</t>
  </si>
  <si>
    <t>Replaces sheet</t>
  </si>
  <si>
    <t>Contents and behaviour</t>
  </si>
  <si>
    <t>Today (home)</t>
  </si>
  <si>
    <t>Tab 1</t>
  </si>
  <si>
    <t>Date (defaults to today, swipe to change). Weight entry as the hero field with a big numeric keypad. Then optional: calories, protein (g), water (L), steps, cardio (min), strength (yes/no), sleep (h), notes. Shows today's habit ticks as the fields are filled. Save button writes one weigh_in row. If a row already exists for that date, edit it instead of creating a duplicate.</t>
  </si>
  <si>
    <t>Progress (dashboard)</t>
  </si>
  <si>
    <t>Tab 2</t>
  </si>
  <si>
    <t>Scrolling cards: current weight, total lost, remaining to goal, goal completion %, average weekly loss, current BMI + classification, estimated goal date, 7-day consistency. Below: the weight-trend chart with the goal line, then the automatic insight messages (see section 5).</t>
  </si>
  <si>
    <t>Trends</t>
  </si>
  <si>
    <t>Tab 3</t>
  </si>
  <si>
    <t>Segmented control: Week / Month. Week view lists each week with average weight, kg lost, % change, average calories/protein/steps/sleep/water, cardio minutes, strength days, days logged. Month view lists start weight, end weight, kg lost, % lost, average daily and weekly loss, days logged. Charts: weekly loss bars, weekly average weight line, monthly loss bars.</t>
  </si>
  <si>
    <t>Habits</t>
  </si>
  <si>
    <t>Tab 4</t>
  </si>
  <si>
    <t>Calendar heat map of the daily habit score, current and longest weigh-in streak, and a 7-day / 30-day consistency figure. Habit ticks are derived from the logged data — never manually editable (this is a rule, not a preference: manual ticks would desynchronise the score from the log).</t>
  </si>
  <si>
    <t>Body</t>
  </si>
  <si>
    <t>Tab 5</t>
  </si>
  <si>
    <t>Periodic (roughly fortnightly) entry of waist, chest, arms, thighs and neck in cm, each shown with the change versus the first measurement. Optional progress-photo attachment per entry.</t>
  </si>
  <si>
    <t>Every 5 kg from the start weight down to goal. Each shows kg lost, % of goal, estimated target date, the date actually achieved, days taken, a status badge (Achieved / Pending / Overdue) and a free-text reward. Push a celebration notification when one is first achieved.</t>
  </si>
  <si>
    <t>Food &amp; training log</t>
  </si>
  <si>
    <t>Tab 1 (sub)</t>
  </si>
  <si>
    <t>Reached from Today. Meals: date, meal type (Breakfast/Lunch/Dinner/Snack), description, calories, protein, notes. Workouts: date, type (Cardio/Strength/Mobility/Sport/Walk), session, duration, intensity (Low/Medium/High), calories burned, notes. Daily totals roll into the weigh-in row for that date.</t>
  </si>
  <si>
    <t>Settings / profile</t>
  </si>
  <si>
    <t>Tab 6</t>
  </si>
  <si>
    <t>Start date, starting weight, goal weight, height, age, sex, activity level, and the five daily targets (calories, protein, water, steps, sleep). Read-only block underneath showing the calculated health metrics (section 4).</t>
  </si>
  <si>
    <t>Onboarding</t>
  </si>
  <si>
    <t>—</t>
  </si>
  <si>
    <t>Read Me</t>
  </si>
  <si>
    <t>First-run wizard collecting the profile fields in order, explaining which numbers the app calculates for the user, and offering a suggested calorie target they can override.</t>
  </si>
  <si>
    <t>3. DATA MODEL</t>
  </si>
  <si>
    <t>Required</t>
  </si>
  <si>
    <t>Rules, defaults and validation</t>
  </si>
  <si>
    <t>profile  (1 record)</t>
  </si>
  <si>
    <t>start_date</t>
  </si>
  <si>
    <t>date</t>
  </si>
  <si>
    <t>yes</t>
  </si>
  <si>
    <t>Set once at onboarding. Anchors every week, month and projection calculation.</t>
  </si>
  <si>
    <t>start_weight_kg</t>
  </si>
  <si>
    <t>decimal(1)</t>
  </si>
  <si>
    <t>30–400. The baseline for total lost, % of goal and milestones.</t>
  </si>
  <si>
    <t>goal_weight_kg</t>
  </si>
  <si>
    <t>30–400, must be below start_weight_kg. Suggest 10% below starting weight as the first target (clinical standard).</t>
  </si>
  <si>
    <t>height_cm</t>
  </si>
  <si>
    <t>integer</t>
  </si>
  <si>
    <t>100–250. Drives BMI and BMR.</t>
  </si>
  <si>
    <t>age_years</t>
  </si>
  <si>
    <t>14–100. Drives BMR.</t>
  </si>
  <si>
    <t>sex</t>
  </si>
  <si>
    <t>enum</t>
  </si>
  <si>
    <t>Male | Female. Used only for the BMR constant (+5 / −161).</t>
  </si>
  <si>
    <t>activity_level</t>
  </si>
  <si>
    <t>Sedentary | Lightly Active | Moderately Active | Very Active | Extremely Active → factors 1.2 / 1.375 / 1.55 / 1.725 / 1.9.</t>
  </si>
  <si>
    <t>target_calories</t>
  </si>
  <si>
    <t>Default = TDEE − 750 rounded to the nearest 50, floored at 1500 kcal. User may override.</t>
  </si>
  <si>
    <t>target_protein_g</t>
  </si>
  <si>
    <t>Default = 1.2 g per kg of goal weight, rounded. User may override.</t>
  </si>
  <si>
    <t>target_water_l / target_steps / target_sleep_h</t>
  </si>
  <si>
    <t>numbers</t>
  </si>
  <si>
    <t>Habit thresholds. Current values: 3 L, 8 000 steps, 7 h. A habit counts as met when the logged value is greater than or equal to the target.</t>
  </si>
  <si>
    <t>units</t>
  </si>
  <si>
    <t>metric | imperial. Display only — storage is always metric.</t>
  </si>
  <si>
    <t>weigh_in  (one per day)</t>
  </si>
  <si>
    <t>log_date</t>
  </si>
  <si>
    <t>Primary key. Unique — one record per calendar day; saving again edits the existing record. Cannot be in the future.</t>
  </si>
  <si>
    <t>weight_kg</t>
  </si>
  <si>
    <t>no</t>
  </si>
  <si>
    <t>30–400. A day with no weight still counts as a logged day if any other field is filled, but only a weight drives the trend.</t>
  </si>
  <si>
    <t>calories</t>
  </si>
  <si>
    <t>0–10 000. Either typed directly or summed from the meal entries for that date.</t>
  </si>
  <si>
    <t>protein_g</t>
  </si>
  <si>
    <t>0–500.</t>
  </si>
  <si>
    <t>water_l</t>
  </si>
  <si>
    <t>0–15.</t>
  </si>
  <si>
    <t>steps</t>
  </si>
  <si>
    <t>0–100 000. Ideal candidate for an Apple Health / Google Fit import.</t>
  </si>
  <si>
    <t>cardio_min</t>
  </si>
  <si>
    <t>0–600.</t>
  </si>
  <si>
    <t>strength_done</t>
  </si>
  <si>
    <t>boolean</t>
  </si>
  <si>
    <t>Yes/No toggle.</t>
  </si>
  <si>
    <t>sleep_h</t>
  </si>
  <si>
    <t>0–24.</t>
  </si>
  <si>
    <t>notes</t>
  </si>
  <si>
    <t>text</t>
  </si>
  <si>
    <t>Free text, 280 characters.</t>
  </si>
  <si>
    <t>meal_entry</t>
  </si>
  <si>
    <t>log_date / meal_type / description / calories / protein_g / notes</t>
  </si>
  <si>
    <t>mixed</t>
  </si>
  <si>
    <t>date + type</t>
  </si>
  <si>
    <t>meal_type ∈ Breakfast | Lunch | Dinner | Snack. Many entries per day. Sum of calories and protein per date feeds the weigh_in totals for that day unless the user typed them manually.</t>
  </si>
  <si>
    <t>workout_entry</t>
  </si>
  <si>
    <t>log_date / type / session / duration_min / intensity / calories_burned / notes</t>
  </si>
  <si>
    <t>type ∈ Cardio | Strength | Mobility | Sport | Walk. intensity ∈ Low | Medium | High. Cardio and Walk minutes feed cardio_min; a Strength entry sets strength_done for that date.</t>
  </si>
  <si>
    <t>measurement</t>
  </si>
  <si>
    <t>log_date / waist_cm / chest_cm / arms_cm / thighs_cm / neck_cm / photo</t>
  </si>
  <si>
    <t>Roughly fortnightly. Each metric is displayed alongside its change versus the earliest recorded measurement.</t>
  </si>
  <si>
    <t>milestone  (derived + 1 input)</t>
  </si>
  <si>
    <t>target_kg / kg_from_start / pct_of_goal / target_date / achieved_date / days_taken / status / reward</t>
  </si>
  <si>
    <t>generated</t>
  </si>
  <si>
    <t>Generated every 5 kg from floor(start_weight/5)*5 down to goal_weight. Only 'reward' is user input. See section 4 for achieved_date and status logic.</t>
  </si>
  <si>
    <t>Where shown</t>
  </si>
  <si>
    <t>Current weight</t>
  </si>
  <si>
    <t>Progress, Settings</t>
  </si>
  <si>
    <t>The most recent non-empty weight, not the highest date — gaps in logging must not break it. Falls back to start_weight when nothing is logged yet.</t>
  </si>
  <si>
    <t>Daily change</t>
  </si>
  <si>
    <t>Today, Trends</t>
  </si>
  <si>
    <t>weight today − previous logged weight (for the very first entry, − start_weight). Negative = loss; display in green, gains in red.</t>
  </si>
  <si>
    <t>7-day average</t>
  </si>
  <si>
    <t>Progress chart</t>
  </si>
  <si>
    <t>Mean of the last 7 calendar days including today. This, not the raw weigh-in, is the line the user should judge progress by.</t>
  </si>
  <si>
    <t>weight_kg / (height_cm / 100)².</t>
  </si>
  <si>
    <t>BMI classification</t>
  </si>
  <si>
    <t>Progress</t>
  </si>
  <si>
    <t>WHO bands: &lt;18.5 Underweight, &lt;25 Healthy range, &lt;30 Overweight, &lt;35 Obesity class I, &lt;40 Obesity class II, else Obesity class III.</t>
  </si>
  <si>
    <t>Healthy weight range</t>
  </si>
  <si>
    <t>BMI 18.5 to 24.9 converted back to kg for the user's height (currently 58,6–78,9 kg).</t>
  </si>
  <si>
    <t>BMR (resting burn)</t>
  </si>
  <si>
    <t>Mifflin-St Jeor: 10 × current weight + 6.25 × height − 5 × age + (5 if male, −161 if female). Recalculates as weight drops — do not freeze it at the starting weight.</t>
  </si>
  <si>
    <t>TDEE (maintenance)</t>
  </si>
  <si>
    <t>BMR × activity factor.</t>
  </si>
  <si>
    <t>Planned daily deficit</t>
  </si>
  <si>
    <t>TDEE − target_calories.</t>
  </si>
  <si>
    <t>Expected loss at target</t>
  </si>
  <si>
    <t>deficit × 7 / 7700, expressed as kg per week (7 700 kcal ≈ 1 kg of body fat).</t>
  </si>
  <si>
    <t>Weekly roll-up</t>
  </si>
  <si>
    <t>Weeks are fixed 7-day buckets counted from start_date (week 1 = start_date to start_date+6), not calendar weeks. Per week: average weight, kg lost versus the previous week's average, % change, average calories/protein/steps/sleep/water, total cardio minutes, count of strength days, days logged.</t>
  </si>
  <si>
    <t>Monthly roll-up</t>
  </si>
  <si>
    <t>Calendar months. Start weight = first logged weight in the month, end weight = last logged weight, lost = start − end, % lost, average daily loss = lost / days logged, average weekly loss = average daily × 7.</t>
  </si>
  <si>
    <t>Trend (kg per week)</t>
  </si>
  <si>
    <t>Mean of the last 7 days minus the mean of the 7 days before that. Requires at least 14 days of data; show 'not enough data' rather than a misleading number before that.</t>
  </si>
  <si>
    <t>Projected weight</t>
  </si>
  <si>
    <t>current 7-day average + (trend per day × days ahead), floored at goal_weight. Offer +1 week, +1 month, +3 months.</t>
  </si>
  <si>
    <t>Estimated goal date</t>
  </si>
  <si>
    <t>Progress, Milestones</t>
  </si>
  <si>
    <t>If the trend is flat or upward, show a dash — never extrapolate a goal date from a non-downward trend. Otherwise: today + (current − goal) / daily loss rate.</t>
  </si>
  <si>
    <t>Goal completion %</t>
  </si>
  <si>
    <t>(start_weight − current) / (start_weight − goal_weight), clamped to 0–100%.</t>
  </si>
  <si>
    <t>Habit ticks</t>
  </si>
  <si>
    <t>Six booleans per day: weight logged, calories logged, water ≥ target, steps ≥ target, workout done (cardio minutes &gt; 0 or strength = yes), sleep ≥ target. Future dates produce no tick at all rather than a zero.</t>
  </si>
  <si>
    <t>Daily habit score</t>
  </si>
  <si>
    <t>Mean of the six ticks for that day, shown as a percentage. 7-day and 30-day rolling averages drive the consistency figures.</t>
  </si>
  <si>
    <t>Streak</t>
  </si>
  <si>
    <t>Consecutive days with a weight logged, reset to 0 on a miss. Track both current and longest.</t>
  </si>
  <si>
    <t>Milestone achieved date</t>
  </si>
  <si>
    <t>The earliest log_date whose weight is less than or equal to the milestone target. Empty until reached — once set it must never change, even if the user regains weight.</t>
  </si>
  <si>
    <t>Milestone status</t>
  </si>
  <si>
    <t>Achieved if an achieved_date exists; Overdue if the estimated target date has passed and it has not been reached; otherwise Pending.</t>
  </si>
  <si>
    <t>5. AUTOMATIC INSIGHT MESSAGES</t>
  </si>
  <si>
    <t>This week</t>
  </si>
  <si>
    <t>Locked until 2 weeks of weigh-ins: "Log at least two weeks of weigh-ins to unlock weekly insights." Then either "You lost X kg this week — keep it up!" or "You gained X kg this week. One week never defines a journey."</t>
  </si>
  <si>
    <t>Loss rate</t>
  </si>
  <si>
    <t>Locked until 3 weigh-ins. Then the average rate in kg/week and kg/day, or a prompt to review calories and activity if the trend is not downward.</t>
  </si>
  <si>
    <t>Goal projection</t>
  </si>
  <si>
    <t>"You are projected to reach your goal in about X weeks (date)." Replaced by a congratulation when the goal is reached, and by a locked message while the trend is not downward.</t>
  </si>
  <si>
    <t>Momentum</t>
  </si>
  <si>
    <t>Compares this month's rate with last month's: accelerating, slowing, or steady (within 0.005 kg/day). Locked until roughly 2 months of data.</t>
  </si>
  <si>
    <t>Habit consistency</t>
  </si>
  <si>
    <t>"Habit consistency over the last 7 days: NN%."</t>
  </si>
  <si>
    <t>Tone rule</t>
  </si>
  <si>
    <t>6. NOTIFICATIONS</t>
  </si>
  <si>
    <t>Daily weigh-in reminder</t>
  </si>
  <si>
    <t>User-set time, default 07:00. Suppressed if today's weight is already logged.</t>
  </si>
  <si>
    <t>Evening log reminder</t>
  </si>
  <si>
    <t>Default 21:00, only if fewer than 3 of the 6 habits are ticked for the day.</t>
  </si>
  <si>
    <t>Weekly summary</t>
  </si>
  <si>
    <t>Every 7 days from start_date: kg lost this week, habit consistency, next milestone and how far away it is.</t>
  </si>
  <si>
    <t>Milestone reached</t>
  </si>
  <si>
    <t>Fired once, the first time a milestone's achieved_date is set. Deep-links to the Milestones screen and shows the reward the user wrote for it.</t>
  </si>
  <si>
    <t>7. NON-FUNCTIONAL REQUIREMENTS</t>
  </si>
  <si>
    <t>Offline first</t>
  </si>
  <si>
    <t>All logging must work with no connection; sync when available. The daily weigh-in is the one action that can never fail.</t>
  </si>
  <si>
    <t>Storage</t>
  </si>
  <si>
    <t>Local database (SQLite / Room / Core Data) as the source of truth, optional cloud backup per user account.</t>
  </si>
  <si>
    <t>Health integrations</t>
  </si>
  <si>
    <t>Optional read of weight, steps and sleep from Apple Health / Google Fit; optional write-back of weight. Manual entry must always remain possible.</t>
  </si>
  <si>
    <t>Export</t>
  </si>
  <si>
    <t>CSV and PDF export of the full log — this is how a user leaves the app with their data, and mirrors the workbook they are coming from.</t>
  </si>
  <si>
    <t>Privacy</t>
  </si>
  <si>
    <t>Body weight and measurements are health data: no third-party analytics on them, device-level encryption at rest, biometric app lock as an option.</t>
  </si>
  <si>
    <t>Accessibility</t>
  </si>
  <si>
    <t>Dynamic type, minimum 44 pt tap targets, and colour never used as the sole signal — pair the green/red trend colours with an arrow or a sign.</t>
  </si>
  <si>
    <t>8. BUILD NOTES</t>
  </si>
  <si>
    <t>MVP scope</t>
  </si>
  <si>
    <t>Screens 1, 2 and 6 (Today, Progress, Settings) plus the weigh_in entity and the calculations in section 4. Everything else can follow.</t>
  </si>
  <si>
    <t>Phase 2</t>
  </si>
  <si>
    <t>Habits, Trends, Milestones, meal and workout logging, health-app integration.</t>
  </si>
  <si>
    <t>Data seed</t>
  </si>
  <si>
    <t>Import the existing workbook as the initial dataset: profile from the Settings sheet, weigh-ins from Daily Tracking (columns A–L), measurements from Body Measurements.</t>
  </si>
  <si>
    <t>Deliberate design decisions</t>
  </si>
  <si>
    <t>Habit ticks are derived, not editable. Projections are hidden rather than guessed when data is thin. The 7-day average, not the daily weigh-in, is the headline trend. Milestone achieved dates are immutable once set.</t>
  </si>
  <si>
    <t>Open questions for the owner</t>
  </si>
  <si>
    <t>(1) Should calories come only from meal entries, or stay a directly typeable daily number? (2) Is a second user / coach view ever needed? (3) Imperial units required at launch? (4) Should the plan auto-extend past 730 days?</t>
  </si>
  <si>
    <t>App Spec</t>
  </si>
  <si>
    <t>A written specification of this tracker as a mobile app: every field, rule, screen and notification. Hand it to a developer or paste it into an app builder.</t>
  </si>
  <si>
    <t>4. CALCULATIONS</t>
  </si>
  <si>
    <t>Definition — the exact logic behind every derived number</t>
  </si>
  <si>
    <t>Shown on the Progress screen, one line each, in this order.</t>
  </si>
  <si>
    <t>Never shame the user: gains are always paired with a neutralising sentence, and no red alarm styling is used on weight gain — only on missed habits. Every insight also has an explicit locked state, so the screen is never empty for a new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</si>
</sst>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164" formatCode="0.0"/>
    <numFmt numFmtId="165" formatCode="0.0&quot; kg&quot;"/>
    <numFmt numFmtId="166" formatCode="0.00&quot; kg&quot;"/>
    <numFmt numFmtId="167" formatCode="\+0.000;\-0.000;0.000"/>
    <numFmt numFmtId="168" formatCode="#,##0&quot; kcal&quot;"/>
    <numFmt numFmtId="169" formatCode="\+#,##0;\-#,##0;0"/>
    <numFmt numFmtId="170" formatCode="ddd\ dd/mm"/>
    <numFmt numFmtId="171" formatCode="\+0.0;\-0.0;0.0"/>
    <numFmt numFmtId="172" formatCode="dd/mm"/>
    <numFmt numFmtId="173" formatCode="\+0.00;\-0.00;0.00"/>
    <numFmt numFmtId="174" formatCode="dd\ mmm\ yy"/>
    <numFmt numFmtId="175" formatCode="0.0%"/>
    <numFmt numFmtId="176" formatCode="0.000"/>
    <numFmt numFmtId="177" formatCode="dd\ mmm\ yyyy"/>
    <numFmt numFmtId="178" formatCode="\+0.00&quot; kg&quot;;\-0.00&quot; kg&quot;;0.00&quot; kg&quot;"/>
    <numFmt numFmtId="179" formatCode="dd\ mmm"/>
    <numFmt numFmtId="180" formatCode="\✓;\✗;\✗"/>
    <numFmt numFmtId="181" formatCode="dd/mm/yy"/>
    <numFmt numFmtId="187" formatCode="#,##0&quot;  &quot;"/>
    <numFmt numFmtId="188" formatCode="0.0%&quot;  &quot;"/>
    <numFmt numFmtId="189" formatCode="0.0&quot; kg  &quot;"/>
    <numFmt numFmtId="190" formatCode="0.00&quot; kg/wk  &quot;"/>
    <numFmt numFmtId="191" formatCode="#,##0&quot; kcal  &quot;"/>
    <numFmt numFmtId="192" formatCode="#,##0&quot; steps  &quot;"/>
    <numFmt numFmtId="193" formatCode="\+0.00&quot; kg/wk  &quot;;\-0.00&quot; kg/wk  &quot;;0.00&quot;  &quot;"/>
    <numFmt numFmtId="194" formatCode="0.0&quot; wks  &quot;"/>
  </numFmts>
  <fonts count="61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0"/>
      <color rgb="FF94A3B8"/>
      <name val="Arial"/>
      <charset val="1"/>
    </font>
    <font>
      <b/>
      <sz val="8"/>
      <color rgb="FF94A3B8"/>
      <name val="Arial"/>
      <charset val="1"/>
    </font>
    <font>
      <b/>
      <sz val="17"/>
      <color rgb="FF14B8A6"/>
      <name val="Arial"/>
      <charset val="1"/>
    </font>
    <font>
      <b/>
      <sz val="17"/>
      <color rgb="FFF59E0B"/>
      <name val="Arial"/>
      <charset val="1"/>
    </font>
    <font>
      <b/>
      <sz val="17"/>
      <color rgb="FF10B981"/>
      <name val="Arial"/>
      <charset val="1"/>
    </font>
    <font>
      <b/>
      <sz val="17"/>
      <color rgb="FFEF4444"/>
      <name val="Arial"/>
      <charset val="1"/>
    </font>
    <font>
      <b/>
      <sz val="17"/>
      <color rgb="FF3B82F6"/>
      <name val="Arial"/>
      <charset val="1"/>
    </font>
    <font>
      <b/>
      <sz val="17"/>
      <color rgb="FF8B5CF6"/>
      <name val="Arial"/>
      <charset val="1"/>
    </font>
    <font>
      <b/>
      <sz val="13"/>
      <color rgb="FF8B5CF6"/>
      <name val="Arial"/>
      <charset val="1"/>
    </font>
    <font>
      <b/>
      <sz val="11"/>
      <color rgb="FF14B8A6"/>
      <name val="Arial"/>
      <charset val="1"/>
    </font>
    <font>
      <sz val="10"/>
      <color rgb="FFF1F5F9"/>
      <name val="Arial"/>
      <charset val="1"/>
    </font>
    <font>
      <b/>
      <sz val="18"/>
      <color rgb="FFFFFFFF"/>
      <name val="Arial"/>
      <charset val="1"/>
    </font>
    <font>
      <b/>
      <sz val="11"/>
      <color rgb="FF334155"/>
      <name val="Arial"/>
      <charset val="1"/>
    </font>
    <font>
      <b/>
      <sz val="11"/>
      <color rgb="FF0000FF"/>
      <name val="Arial"/>
      <charset val="1"/>
    </font>
    <font>
      <i/>
      <sz val="9"/>
      <color rgb="FF64748B"/>
      <name val="Arial"/>
      <charset val="1"/>
    </font>
    <font>
      <b/>
      <sz val="12"/>
      <color rgb="FFFFFFFF"/>
      <name val="Arial"/>
      <charset val="1"/>
    </font>
    <font>
      <b/>
      <sz val="10"/>
      <color rgb="FF0F172A"/>
      <name val="Arial"/>
      <charset val="1"/>
    </font>
    <font>
      <b/>
      <sz val="10"/>
      <color rgb="FF0E7490"/>
      <name val="Arial"/>
      <charset val="1"/>
    </font>
    <font>
      <sz val="10"/>
      <color rgb="FF47556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9"/>
      <color rgb="FF64748B"/>
      <name val="Arial"/>
      <charset val="1"/>
    </font>
    <font>
      <b/>
      <sz val="9"/>
      <color rgb="FF94A3B8"/>
      <name val="Arial"/>
      <charset val="1"/>
    </font>
    <font>
      <b/>
      <sz val="14"/>
      <color rgb="FF14B8A6"/>
      <name val="Arial"/>
      <charset val="1"/>
    </font>
    <font>
      <b/>
      <sz val="14"/>
      <color rgb="FF3B82F6"/>
      <name val="Arial"/>
      <charset val="1"/>
    </font>
    <font>
      <b/>
      <sz val="14"/>
      <color rgb="FF8B5CF6"/>
      <name val="Arial"/>
      <charset val="1"/>
    </font>
    <font>
      <b/>
      <sz val="14"/>
      <color rgb="FFF59E0B"/>
      <name val="Arial"/>
      <charset val="1"/>
    </font>
    <font>
      <b/>
      <sz val="14"/>
      <color rgb="FF94A3B8"/>
      <name val="Arial"/>
      <charset val="1"/>
    </font>
    <font>
      <b/>
      <sz val="15"/>
      <color rgb="FF14B8A6"/>
      <name val="Arial"/>
      <charset val="1"/>
    </font>
    <font>
      <b/>
      <sz val="15"/>
      <color rgb="FF3B82F6"/>
      <name val="Arial"/>
      <charset val="1"/>
    </font>
    <font>
      <b/>
      <sz val="15"/>
      <color rgb="FF8B5CF6"/>
      <name val="Arial"/>
      <charset val="1"/>
    </font>
    <font>
      <b/>
      <sz val="15"/>
      <color rgb="FF10B981"/>
      <name val="Arial"/>
      <charset val="1"/>
    </font>
    <font>
      <b/>
      <sz val="15"/>
      <color rgb="FFF59E0B"/>
      <name val="Arial"/>
      <charset val="1"/>
    </font>
    <font>
      <sz val="10"/>
      <color rgb="FF334155"/>
      <name val="Arial"/>
      <charset val="1"/>
    </font>
    <font>
      <b/>
      <sz val="17"/>
      <color rgb="FFF8FAFC"/>
      <name val="Arial"/>
      <charset val="1"/>
    </font>
    <font>
      <sz val="11"/>
      <color rgb="FFFFFFFF"/>
      <name val="Calibri"/>
      <family val="2"/>
      <charset val="1"/>
    </font>
    <font>
      <sz val="11"/>
      <color rgb="FF94A3B8"/>
      <name val="Calibri"/>
      <family val="2"/>
      <charset val="1"/>
    </font>
    <font>
      <b/>
      <sz val="20"/>
      <color rgb="FFFFFFFF"/>
      <name val="Arial"/>
    </font>
    <font>
      <sz val="10"/>
      <color rgb="FF94A3B8"/>
      <name val="Arial"/>
    </font>
    <font>
      <b/>
      <sz val="11"/>
      <color rgb="FFFFFFFF"/>
      <name val="Arial"/>
    </font>
    <font>
      <b/>
      <sz val="10"/>
      <color rgb="FF0F172A"/>
      <name val="Arial"/>
    </font>
    <font>
      <sz val="10"/>
      <color rgb="FF334155"/>
      <name val="Arial"/>
    </font>
    <font>
      <b/>
      <sz val="10"/>
      <color rgb="FFFFFFFF"/>
      <name val="Arial"/>
    </font>
    <font>
      <b/>
      <sz val="10"/>
      <color rgb="FF0000FF"/>
      <name val="Arial"/>
    </font>
    <font>
      <b/>
      <sz val="10"/>
      <color rgb="FF334155"/>
      <name val="Arial"/>
    </font>
    <font>
      <b/>
      <sz val="10"/>
      <color rgb="FF166534"/>
      <name val="Arial"/>
    </font>
    <font>
      <b/>
      <sz val="10"/>
      <color rgb="FFB91C1C"/>
      <name val="Arial"/>
    </font>
    <font>
      <b/>
      <sz val="10"/>
      <color rgb="FF0E7490"/>
      <name val="Arial"/>
    </font>
    <font>
      <b/>
      <sz val="10"/>
      <color rgb="FFF59E0B"/>
      <name val="Arial"/>
    </font>
    <font>
      <i/>
      <sz val="10"/>
      <color rgb="FF475569"/>
      <name val="Arial"/>
    </font>
    <font>
      <sz val="11"/>
      <color theme="1"/>
      <name val="Arial"/>
    </font>
    <font>
      <b/>
      <sz val="18"/>
      <color rgb="FFFFFFFF"/>
      <name val="Arial"/>
    </font>
    <font>
      <sz val="10"/>
      <color theme="1"/>
      <name val="Arial"/>
    </font>
    <font>
      <sz val="10"/>
      <color rgb="FF0000FF"/>
      <name val="Arial"/>
    </font>
    <font>
      <b/>
      <sz val="10"/>
      <color rgb="FF38BDF8"/>
      <name val="Arial"/>
    </font>
    <font>
      <b/>
      <sz val="11"/>
      <color rgb="FFF1F5F9"/>
      <name val="Arial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rgb="FF64748B"/>
      <name val="Arial"/>
    </font>
  </fonts>
  <fills count="16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EFF6FF"/>
        <bgColor rgb="FFF1F5F9"/>
      </patternFill>
    </fill>
    <fill>
      <patternFill patternType="solid">
        <fgColor rgb="FF0E7490"/>
        <bgColor rgb="FF047857"/>
      </patternFill>
    </fill>
    <fill>
      <patternFill patternType="solid">
        <fgColor rgb="FFF1F5F9"/>
        <bgColor rgb="FFEFF6FF"/>
      </patternFill>
    </fill>
    <fill>
      <patternFill patternType="solid">
        <fgColor rgb="FFFAFCFF"/>
        <bgColor rgb="FFFFFFFF"/>
      </patternFill>
    </fill>
    <fill>
      <patternFill patternType="solid">
        <fgColor rgb="FFDCFCE7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0E74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334155"/>
      </top>
      <bottom/>
      <diagonal/>
    </border>
    <border>
      <left/>
      <right/>
      <top/>
      <bottom style="thin">
        <color rgb="FF334155"/>
      </bottom>
      <diagonal/>
    </border>
    <border>
      <left style="thin">
        <color rgb="FF334155"/>
      </left>
      <right/>
      <top style="thin">
        <color rgb="FF334155"/>
      </top>
      <bottom/>
      <diagonal/>
    </border>
    <border>
      <left style="thin">
        <color rgb="FF334155"/>
      </left>
      <right/>
      <top/>
      <bottom/>
      <diagonal/>
    </border>
    <border>
      <left style="thin">
        <color rgb="FF334155"/>
      </left>
      <right/>
      <top/>
      <bottom style="thin">
        <color rgb="FF334155"/>
      </bottom>
      <diagonal/>
    </border>
    <border>
      <left/>
      <right style="thin">
        <color rgb="FF334155"/>
      </right>
      <top style="thin">
        <color rgb="FF334155"/>
      </top>
      <bottom/>
      <diagonal/>
    </border>
    <border>
      <left/>
      <right style="thin">
        <color rgb="FF334155"/>
      </right>
      <top/>
      <bottom/>
      <diagonal/>
    </border>
    <border>
      <left/>
      <right style="thin">
        <color rgb="FF334155"/>
      </right>
      <top/>
      <bottom style="thin">
        <color rgb="FF334155"/>
      </bottom>
      <diagonal/>
    </border>
    <border>
      <left style="thin">
        <color rgb="FFCBD5E1"/>
      </left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1E293B"/>
      </top>
      <bottom/>
      <diagonal/>
    </border>
    <border>
      <left/>
      <right/>
      <top style="thin">
        <color rgb="FF1E293B"/>
      </top>
      <bottom style="thin">
        <color rgb="FF1E293B"/>
      </bottom>
      <diagonal/>
    </border>
  </borders>
  <cellStyleXfs count="1">
    <xf numFmtId="0" fontId="0" fillId="0" borderId="0"/>
  </cellStyleXfs>
  <cellXfs count="266">
    <xf numFmtId="0" fontId="0" fillId="0" borderId="0" xfId="0"/>
    <xf numFmtId="0" fontId="52" fillId="9" borderId="0" xfId="0" applyFont="1" applyFill="1" applyProtection="1"/>
    <xf numFmtId="0" fontId="39" fillId="9" borderId="0" xfId="0" applyFont="1" applyFill="1" applyProtection="1"/>
    <xf numFmtId="0" fontId="0" fillId="0" borderId="0" xfId="0" applyProtection="1"/>
    <xf numFmtId="0" fontId="40" fillId="9" borderId="0" xfId="0" applyFont="1" applyFill="1" applyProtection="1"/>
    <xf numFmtId="0" fontId="52" fillId="11" borderId="0" xfId="0" applyFont="1" applyFill="1" applyProtection="1"/>
    <xf numFmtId="0" fontId="52" fillId="0" borderId="0" xfId="0" applyFont="1" applyProtection="1"/>
    <xf numFmtId="0" fontId="41" fillId="10" borderId="0" xfId="0" applyFont="1" applyFill="1" applyAlignment="1" applyProtection="1">
      <alignment horizontal="left"/>
    </xf>
    <xf numFmtId="0" fontId="41" fillId="10" borderId="0" xfId="0" applyFont="1" applyFill="1" applyProtection="1"/>
    <xf numFmtId="0" fontId="52" fillId="0" borderId="0" xfId="0" applyFont="1" applyAlignment="1" applyProtection="1">
      <alignment vertical="center"/>
    </xf>
    <xf numFmtId="0" fontId="42" fillId="0" borderId="0" xfId="0" applyFont="1" applyAlignment="1" applyProtection="1">
      <alignment vertical="center"/>
    </xf>
    <xf numFmtId="0" fontId="43" fillId="0" borderId="0" xfId="0" applyFont="1" applyAlignment="1" applyProtection="1">
      <alignment vertical="center" wrapText="1"/>
    </xf>
    <xf numFmtId="0" fontId="52" fillId="0" borderId="0" xfId="0" applyFont="1" applyAlignment="1" applyProtection="1">
      <alignment vertical="center" wrapText="1"/>
    </xf>
    <xf numFmtId="0" fontId="41" fillId="10" borderId="0" xfId="0" applyFont="1" applyFill="1" applyAlignment="1" applyProtection="1">
      <alignment horizontal="left" vertical="center"/>
    </xf>
    <xf numFmtId="0" fontId="41" fillId="10" borderId="0" xfId="0" applyFont="1" applyFill="1" applyAlignment="1" applyProtection="1">
      <alignment vertical="center" wrapText="1"/>
    </xf>
    <xf numFmtId="0" fontId="45" fillId="11" borderId="0" xfId="0" applyFont="1" applyFill="1" applyAlignment="1" applyProtection="1">
      <alignment horizontal="center" vertical="center"/>
    </xf>
    <xf numFmtId="0" fontId="46" fillId="12" borderId="0" xfId="0" applyFont="1" applyFill="1" applyAlignment="1" applyProtection="1">
      <alignment horizontal="center" vertical="center"/>
    </xf>
    <xf numFmtId="0" fontId="47" fillId="8" borderId="0" xfId="0" applyFont="1" applyFill="1" applyAlignment="1" applyProtection="1">
      <alignment horizontal="center" vertical="center"/>
    </xf>
    <xf numFmtId="0" fontId="48" fillId="13" borderId="0" xfId="0" applyFont="1" applyFill="1" applyAlignment="1" applyProtection="1">
      <alignment horizontal="center" vertical="center"/>
    </xf>
    <xf numFmtId="0" fontId="49" fillId="0" borderId="0" xfId="0" applyFont="1" applyAlignment="1" applyProtection="1">
      <alignment horizontal="center" vertical="center"/>
    </xf>
    <xf numFmtId="0" fontId="50" fillId="0" borderId="0" xfId="0" applyFont="1" applyAlignment="1" applyProtection="1">
      <alignment vertical="top"/>
    </xf>
    <xf numFmtId="0" fontId="51" fillId="0" borderId="0" xfId="0" applyFont="1" applyAlignment="1" applyProtection="1">
      <alignment vertical="top" wrapText="1"/>
    </xf>
    <xf numFmtId="0" fontId="1" fillId="2" borderId="0" xfId="0" applyFont="1" applyFill="1" applyAlignment="1" applyProtection="1">
      <alignment horizontal="left" vertical="center"/>
    </xf>
    <xf numFmtId="0" fontId="2" fillId="2" borderId="0" xfId="0" applyFont="1" applyFill="1" applyAlignment="1" applyProtection="1">
      <alignment horizontal="left" vertical="center"/>
    </xf>
    <xf numFmtId="0" fontId="0" fillId="2" borderId="0" xfId="0" applyFill="1" applyProtection="1"/>
    <xf numFmtId="164" fontId="0" fillId="0" borderId="0" xfId="0" applyNumberFormat="1" applyProtection="1"/>
    <xf numFmtId="0" fontId="3" fillId="3" borderId="4" xfId="0" applyFont="1" applyFill="1" applyBorder="1" applyAlignment="1" applyProtection="1">
      <alignment horizontal="center" vertic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7" xfId="0" applyFont="1" applyFill="1" applyBorder="1" applyAlignment="1" applyProtection="1">
      <alignment horizontal="center" vertical="center" wrapText="1"/>
    </xf>
    <xf numFmtId="165" fontId="36" fillId="3" borderId="5" xfId="0" applyNumberFormat="1" applyFont="1" applyFill="1" applyBorder="1" applyAlignment="1" applyProtection="1">
      <alignment horizontal="center" vertical="center" wrapText="1"/>
    </xf>
    <xf numFmtId="165" fontId="36" fillId="3" borderId="0" xfId="0" applyNumberFormat="1" applyFont="1" applyFill="1" applyBorder="1" applyAlignment="1" applyProtection="1">
      <alignment horizontal="center" vertical="center" wrapText="1"/>
    </xf>
    <xf numFmtId="165" fontId="4" fillId="3" borderId="5" xfId="0" applyNumberFormat="1" applyFont="1" applyFill="1" applyBorder="1" applyAlignment="1" applyProtection="1">
      <alignment horizontal="center" vertical="center" wrapText="1"/>
    </xf>
    <xf numFmtId="165" fontId="4" fillId="3" borderId="0" xfId="0" applyNumberFormat="1" applyFont="1" applyFill="1" applyBorder="1" applyAlignment="1" applyProtection="1">
      <alignment horizontal="center" vertical="center" wrapText="1"/>
    </xf>
    <xf numFmtId="165" fontId="5" fillId="3" borderId="5" xfId="0" applyNumberFormat="1" applyFont="1" applyFill="1" applyBorder="1" applyAlignment="1" applyProtection="1">
      <alignment horizontal="center" vertical="center" wrapText="1"/>
    </xf>
    <xf numFmtId="165" fontId="5" fillId="3" borderId="0" xfId="0" applyNumberFormat="1" applyFont="1" applyFill="1" applyBorder="1" applyAlignment="1" applyProtection="1">
      <alignment horizontal="center" vertical="center" wrapText="1"/>
    </xf>
    <xf numFmtId="165" fontId="6" fillId="3" borderId="5" xfId="0" applyNumberFormat="1" applyFont="1" applyFill="1" applyBorder="1" applyAlignment="1" applyProtection="1">
      <alignment horizontal="center" vertical="center" wrapText="1"/>
    </xf>
    <xf numFmtId="165" fontId="6" fillId="3" borderId="0" xfId="0" applyNumberFormat="1" applyFont="1" applyFill="1" applyBorder="1" applyAlignment="1" applyProtection="1">
      <alignment horizontal="center" vertical="center" wrapText="1"/>
    </xf>
    <xf numFmtId="165" fontId="6" fillId="3" borderId="8" xfId="0" applyNumberFormat="1" applyFont="1" applyFill="1" applyBorder="1" applyAlignment="1" applyProtection="1">
      <alignment horizontal="center" vertical="center" wrapText="1"/>
    </xf>
    <xf numFmtId="165" fontId="36" fillId="3" borderId="6" xfId="0" applyNumberFormat="1" applyFont="1" applyFill="1" applyBorder="1" applyAlignment="1" applyProtection="1">
      <alignment horizontal="center" vertical="center" wrapText="1"/>
    </xf>
    <xf numFmtId="165" fontId="36" fillId="3" borderId="3" xfId="0" applyNumberFormat="1" applyFont="1" applyFill="1" applyBorder="1" applyAlignment="1" applyProtection="1">
      <alignment horizontal="center" vertical="center" wrapText="1"/>
    </xf>
    <xf numFmtId="165" fontId="4" fillId="3" borderId="6" xfId="0" applyNumberFormat="1" applyFont="1" applyFill="1" applyBorder="1" applyAlignment="1" applyProtection="1">
      <alignment horizontal="center" vertical="center" wrapText="1"/>
    </xf>
    <xf numFmtId="165" fontId="4" fillId="3" borderId="3" xfId="0" applyNumberFormat="1" applyFont="1" applyFill="1" applyBorder="1" applyAlignment="1" applyProtection="1">
      <alignment horizontal="center" vertical="center" wrapText="1"/>
    </xf>
    <xf numFmtId="165" fontId="5" fillId="3" borderId="6" xfId="0" applyNumberFormat="1" applyFont="1" applyFill="1" applyBorder="1" applyAlignment="1" applyProtection="1">
      <alignment horizontal="center" vertical="center" wrapText="1"/>
    </xf>
    <xf numFmtId="165" fontId="5" fillId="3" borderId="3" xfId="0" applyNumberFormat="1" applyFont="1" applyFill="1" applyBorder="1" applyAlignment="1" applyProtection="1">
      <alignment horizontal="center" vertical="center" wrapText="1"/>
    </xf>
    <xf numFmtId="165" fontId="6" fillId="3" borderId="6" xfId="0" applyNumberFormat="1" applyFont="1" applyFill="1" applyBorder="1" applyAlignment="1" applyProtection="1">
      <alignment horizontal="center" vertical="center" wrapText="1"/>
    </xf>
    <xf numFmtId="165" fontId="6" fillId="3" borderId="3" xfId="0" applyNumberFormat="1" applyFont="1" applyFill="1" applyBorder="1" applyAlignment="1" applyProtection="1">
      <alignment horizontal="center" vertical="center" wrapText="1"/>
    </xf>
    <xf numFmtId="165" fontId="6" fillId="3" borderId="9" xfId="0" applyNumberFormat="1" applyFont="1" applyFill="1" applyBorder="1" applyAlignment="1" applyProtection="1">
      <alignment horizontal="center" vertical="center" wrapText="1"/>
    </xf>
    <xf numFmtId="14" fontId="0" fillId="0" borderId="0" xfId="0" applyNumberFormat="1" applyProtection="1"/>
    <xf numFmtId="165" fontId="7" fillId="3" borderId="5" xfId="0" applyNumberFormat="1" applyFont="1" applyFill="1" applyBorder="1" applyAlignment="1" applyProtection="1">
      <alignment horizontal="center" vertical="center" wrapText="1"/>
    </xf>
    <xf numFmtId="165" fontId="7" fillId="3" borderId="0" xfId="0" applyNumberFormat="1" applyFont="1" applyFill="1" applyBorder="1" applyAlignment="1" applyProtection="1">
      <alignment horizontal="center" vertical="center" wrapText="1"/>
    </xf>
    <xf numFmtId="166" fontId="8" fillId="3" borderId="5" xfId="0" applyNumberFormat="1" applyFont="1" applyFill="1" applyBorder="1" applyAlignment="1" applyProtection="1">
      <alignment horizontal="center" vertical="center" wrapText="1"/>
    </xf>
    <xf numFmtId="166" fontId="8" fillId="3" borderId="0" xfId="0" applyNumberFormat="1" applyFont="1" applyFill="1" applyBorder="1" applyAlignment="1" applyProtection="1">
      <alignment horizontal="center" vertical="center" wrapText="1"/>
    </xf>
    <xf numFmtId="167" fontId="8" fillId="3" borderId="5" xfId="0" applyNumberFormat="1" applyFont="1" applyFill="1" applyBorder="1" applyAlignment="1" applyProtection="1">
      <alignment horizontal="center" vertical="center" wrapText="1"/>
    </xf>
    <xf numFmtId="167" fontId="8" fillId="3" borderId="0" xfId="0" applyNumberFormat="1" applyFont="1" applyFill="1" applyBorder="1" applyAlignment="1" applyProtection="1">
      <alignment horizontal="center" vertical="center" wrapText="1"/>
    </xf>
    <xf numFmtId="164" fontId="9" fillId="3" borderId="5" xfId="0" applyNumberFormat="1" applyFont="1" applyFill="1" applyBorder="1" applyAlignment="1" applyProtection="1">
      <alignment horizontal="center" vertical="center" wrapText="1"/>
    </xf>
    <xf numFmtId="164" fontId="9" fillId="3" borderId="0" xfId="0" applyNumberFormat="1" applyFont="1" applyFill="1" applyBorder="1" applyAlignment="1" applyProtection="1">
      <alignment horizontal="center" vertical="center" wrapText="1"/>
    </xf>
    <xf numFmtId="164" fontId="9" fillId="3" borderId="8" xfId="0" applyNumberFormat="1" applyFont="1" applyFill="1" applyBorder="1" applyAlignment="1" applyProtection="1">
      <alignment horizontal="center" vertical="center" wrapText="1"/>
    </xf>
    <xf numFmtId="165" fontId="7" fillId="3" borderId="6" xfId="0" applyNumberFormat="1" applyFont="1" applyFill="1" applyBorder="1" applyAlignment="1" applyProtection="1">
      <alignment horizontal="center" vertical="center" wrapText="1"/>
    </xf>
    <xf numFmtId="165" fontId="7" fillId="3" borderId="3" xfId="0" applyNumberFormat="1" applyFont="1" applyFill="1" applyBorder="1" applyAlignment="1" applyProtection="1">
      <alignment horizontal="center" vertical="center" wrapText="1"/>
    </xf>
    <xf numFmtId="166" fontId="8" fillId="3" borderId="6" xfId="0" applyNumberFormat="1" applyFont="1" applyFill="1" applyBorder="1" applyAlignment="1" applyProtection="1">
      <alignment horizontal="center" vertical="center" wrapText="1"/>
    </xf>
    <xf numFmtId="166" fontId="8" fillId="3" borderId="3" xfId="0" applyNumberFormat="1" applyFont="1" applyFill="1" applyBorder="1" applyAlignment="1" applyProtection="1">
      <alignment horizontal="center" vertical="center" wrapText="1"/>
    </xf>
    <xf numFmtId="167" fontId="8" fillId="3" borderId="6" xfId="0" applyNumberFormat="1" applyFont="1" applyFill="1" applyBorder="1" applyAlignment="1" applyProtection="1">
      <alignment horizontal="center" vertical="center" wrapText="1"/>
    </xf>
    <xf numFmtId="167" fontId="8" fillId="3" borderId="3" xfId="0" applyNumberFormat="1" applyFont="1" applyFill="1" applyBorder="1" applyAlignment="1" applyProtection="1">
      <alignment horizontal="center" vertical="center" wrapText="1"/>
    </xf>
    <xf numFmtId="164" fontId="9" fillId="3" borderId="6" xfId="0" applyNumberFormat="1" applyFont="1" applyFill="1" applyBorder="1" applyAlignment="1" applyProtection="1">
      <alignment horizontal="center" vertical="center" wrapText="1"/>
    </xf>
    <xf numFmtId="164" fontId="9" fillId="3" borderId="3" xfId="0" applyNumberFormat="1" applyFont="1" applyFill="1" applyBorder="1" applyAlignment="1" applyProtection="1">
      <alignment horizontal="center" vertical="center" wrapText="1"/>
    </xf>
    <xf numFmtId="164" fontId="9" fillId="3" borderId="9" xfId="0" applyNumberFormat="1" applyFont="1" applyFill="1" applyBorder="1" applyAlignment="1" applyProtection="1">
      <alignment horizontal="center" vertical="center" wrapText="1"/>
    </xf>
    <xf numFmtId="1" fontId="36" fillId="3" borderId="5" xfId="0" applyNumberFormat="1" applyFont="1" applyFill="1" applyBorder="1" applyAlignment="1" applyProtection="1">
      <alignment horizontal="center" vertical="center" wrapText="1"/>
    </xf>
    <xf numFmtId="1" fontId="36" fillId="3" borderId="0" xfId="0" applyNumberFormat="1" applyFont="1" applyFill="1" applyBorder="1" applyAlignment="1" applyProtection="1">
      <alignment horizontal="center" vertical="center" wrapText="1"/>
    </xf>
    <xf numFmtId="9" fontId="6" fillId="3" borderId="5" xfId="0" applyNumberFormat="1" applyFont="1" applyFill="1" applyBorder="1" applyAlignment="1" applyProtection="1">
      <alignment horizontal="center" vertical="center" wrapText="1"/>
    </xf>
    <xf numFmtId="9" fontId="6" fillId="3" borderId="0" xfId="0" applyNumberFormat="1" applyFont="1" applyFill="1" applyBorder="1" applyAlignment="1" applyProtection="1">
      <alignment horizontal="center" vertical="center" wrapText="1"/>
    </xf>
    <xf numFmtId="14" fontId="5" fillId="3" borderId="5" xfId="0" applyNumberFormat="1" applyFont="1" applyFill="1" applyBorder="1" applyAlignment="1" applyProtection="1">
      <alignment horizontal="center" vertical="center" wrapText="1"/>
    </xf>
    <xf numFmtId="14" fontId="5" fillId="3" borderId="0" xfId="0" applyNumberFormat="1" applyFont="1" applyFill="1" applyBorder="1" applyAlignment="1" applyProtection="1">
      <alignment horizontal="center" vertical="center" wrapText="1"/>
    </xf>
    <xf numFmtId="9" fontId="4" fillId="3" borderId="5" xfId="0" applyNumberFormat="1" applyFont="1" applyFill="1" applyBorder="1" applyAlignment="1" applyProtection="1">
      <alignment horizontal="center" vertical="center" wrapText="1"/>
    </xf>
    <xf numFmtId="9" fontId="4" fillId="3" borderId="0" xfId="0" applyNumberFormat="1" applyFont="1" applyFill="1" applyBorder="1" applyAlignment="1" applyProtection="1">
      <alignment horizontal="center" vertical="center" wrapText="1"/>
    </xf>
    <xf numFmtId="9" fontId="4" fillId="3" borderId="8" xfId="0" applyNumberFormat="1" applyFont="1" applyFill="1" applyBorder="1" applyAlignment="1" applyProtection="1">
      <alignment horizontal="center" vertical="center" wrapText="1"/>
    </xf>
    <xf numFmtId="1" fontId="36" fillId="3" borderId="6" xfId="0" applyNumberFormat="1" applyFont="1" applyFill="1" applyBorder="1" applyAlignment="1" applyProtection="1">
      <alignment horizontal="center" vertical="center" wrapText="1"/>
    </xf>
    <xf numFmtId="1" fontId="36" fillId="3" borderId="3" xfId="0" applyNumberFormat="1" applyFont="1" applyFill="1" applyBorder="1" applyAlignment="1" applyProtection="1">
      <alignment horizontal="center" vertical="center" wrapText="1"/>
    </xf>
    <xf numFmtId="9" fontId="6" fillId="3" borderId="6" xfId="0" applyNumberFormat="1" applyFont="1" applyFill="1" applyBorder="1" applyAlignment="1" applyProtection="1">
      <alignment horizontal="center" vertical="center" wrapText="1"/>
    </xf>
    <xf numFmtId="9" fontId="6" fillId="3" borderId="3" xfId="0" applyNumberFormat="1" applyFont="1" applyFill="1" applyBorder="1" applyAlignment="1" applyProtection="1">
      <alignment horizontal="center" vertical="center" wrapText="1"/>
    </xf>
    <xf numFmtId="14" fontId="5" fillId="3" borderId="6" xfId="0" applyNumberFormat="1" applyFont="1" applyFill="1" applyBorder="1" applyAlignment="1" applyProtection="1">
      <alignment horizontal="center" vertical="center" wrapText="1"/>
    </xf>
    <xf numFmtId="14" fontId="5" fillId="3" borderId="3" xfId="0" applyNumberFormat="1" applyFont="1" applyFill="1" applyBorder="1" applyAlignment="1" applyProtection="1">
      <alignment horizontal="center" vertical="center" wrapText="1"/>
    </xf>
    <xf numFmtId="9" fontId="4" fillId="3" borderId="6" xfId="0" applyNumberFormat="1" applyFont="1" applyFill="1" applyBorder="1" applyAlignment="1" applyProtection="1">
      <alignment horizontal="center" vertical="center" wrapText="1"/>
    </xf>
    <xf numFmtId="9" fontId="4" fillId="3" borderId="3" xfId="0" applyNumberFormat="1" applyFont="1" applyFill="1" applyBorder="1" applyAlignment="1" applyProtection="1">
      <alignment horizontal="center" vertical="center" wrapText="1"/>
    </xf>
    <xf numFmtId="9" fontId="4" fillId="3" borderId="9" xfId="0" applyNumberFormat="1" applyFont="1" applyFill="1" applyBorder="1" applyAlignment="1" applyProtection="1">
      <alignment horizontal="center" vertical="center" wrapText="1"/>
    </xf>
    <xf numFmtId="168" fontId="36" fillId="3" borderId="5" xfId="0" applyNumberFormat="1" applyFont="1" applyFill="1" applyBorder="1" applyAlignment="1" applyProtection="1">
      <alignment horizontal="center" vertical="center" wrapText="1"/>
    </xf>
    <xf numFmtId="168" fontId="36" fillId="3" borderId="0" xfId="0" applyNumberFormat="1" applyFont="1" applyFill="1" applyBorder="1" applyAlignment="1" applyProtection="1">
      <alignment horizontal="center" vertical="center" wrapText="1"/>
    </xf>
    <xf numFmtId="168" fontId="8" fillId="3" borderId="5" xfId="0" applyNumberFormat="1" applyFont="1" applyFill="1" applyBorder="1" applyAlignment="1" applyProtection="1">
      <alignment horizontal="center" vertical="center" wrapText="1"/>
    </xf>
    <xf numFmtId="168" fontId="8" fillId="3" borderId="0" xfId="0" applyNumberFormat="1" applyFont="1" applyFill="1" applyBorder="1" applyAlignment="1" applyProtection="1">
      <alignment horizontal="center" vertical="center" wrapText="1"/>
    </xf>
    <xf numFmtId="168" fontId="6" fillId="3" borderId="5" xfId="0" applyNumberFormat="1" applyFont="1" applyFill="1" applyBorder="1" applyAlignment="1" applyProtection="1">
      <alignment horizontal="center" vertical="center" wrapText="1"/>
    </xf>
    <xf numFmtId="168" fontId="6" fillId="3" borderId="0" xfId="0" applyNumberFormat="1" applyFont="1" applyFill="1" applyBorder="1" applyAlignment="1" applyProtection="1">
      <alignment horizontal="center" vertical="center" wrapText="1"/>
    </xf>
    <xf numFmtId="0" fontId="10" fillId="3" borderId="5" xfId="0" applyFont="1" applyFill="1" applyBorder="1" applyAlignment="1" applyProtection="1">
      <alignment horizontal="center" vertical="center" wrapText="1"/>
    </xf>
    <xf numFmtId="0" fontId="10" fillId="3" borderId="0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168" fontId="36" fillId="3" borderId="6" xfId="0" applyNumberFormat="1" applyFont="1" applyFill="1" applyBorder="1" applyAlignment="1" applyProtection="1">
      <alignment horizontal="center" vertical="center" wrapText="1"/>
    </xf>
    <xf numFmtId="168" fontId="36" fillId="3" borderId="3" xfId="0" applyNumberFormat="1" applyFont="1" applyFill="1" applyBorder="1" applyAlignment="1" applyProtection="1">
      <alignment horizontal="center" vertical="center" wrapText="1"/>
    </xf>
    <xf numFmtId="168" fontId="8" fillId="3" borderId="6" xfId="0" applyNumberFormat="1" applyFont="1" applyFill="1" applyBorder="1" applyAlignment="1" applyProtection="1">
      <alignment horizontal="center" vertical="center" wrapText="1"/>
    </xf>
    <xf numFmtId="168" fontId="8" fillId="3" borderId="3" xfId="0" applyNumberFormat="1" applyFont="1" applyFill="1" applyBorder="1" applyAlignment="1" applyProtection="1">
      <alignment horizontal="center" vertical="center" wrapText="1"/>
    </xf>
    <xf numFmtId="168" fontId="6" fillId="3" borderId="6" xfId="0" applyNumberFormat="1" applyFont="1" applyFill="1" applyBorder="1" applyAlignment="1" applyProtection="1">
      <alignment horizontal="center" vertical="center" wrapText="1"/>
    </xf>
    <xf numFmtId="168" fontId="6" fillId="3" borderId="3" xfId="0" applyNumberFormat="1" applyFont="1" applyFill="1" applyBorder="1" applyAlignment="1" applyProtection="1">
      <alignment horizontal="center" vertical="center" wrapText="1"/>
    </xf>
    <xf numFmtId="0" fontId="10" fillId="3" borderId="6" xfId="0" applyFont="1" applyFill="1" applyBorder="1" applyAlignment="1" applyProtection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 applyProtection="1">
      <alignment horizontal="center" vertical="center" wrapText="1"/>
    </xf>
    <xf numFmtId="0" fontId="11" fillId="2" borderId="0" xfId="0" applyFont="1" applyFill="1" applyAlignment="1" applyProtection="1">
      <alignment horizontal="left" vertical="center"/>
    </xf>
    <xf numFmtId="0" fontId="12" fillId="2" borderId="0" xfId="0" applyFont="1" applyFill="1" applyAlignment="1" applyProtection="1">
      <alignment horizontal="left" vertical="center"/>
    </xf>
    <xf numFmtId="0" fontId="56" fillId="9" borderId="0" xfId="0" applyFont="1" applyFill="1" applyAlignment="1" applyProtection="1">
      <alignment vertical="center"/>
    </xf>
    <xf numFmtId="0" fontId="0" fillId="9" borderId="0" xfId="0" applyFill="1" applyProtection="1"/>
    <xf numFmtId="0" fontId="13" fillId="2" borderId="0" xfId="0" applyFont="1" applyFill="1" applyAlignment="1" applyProtection="1">
      <alignment horizontal="left" vertical="center"/>
    </xf>
    <xf numFmtId="0" fontId="14" fillId="0" borderId="0" xfId="0" applyFont="1" applyAlignment="1" applyProtection="1">
      <alignment horizontal="left" vertical="center"/>
    </xf>
    <xf numFmtId="0" fontId="16" fillId="0" borderId="0" xfId="0" applyFont="1" applyAlignment="1" applyProtection="1">
      <alignment horizontal="left" vertical="center"/>
    </xf>
    <xf numFmtId="0" fontId="17" fillId="5" borderId="0" xfId="0" applyFont="1" applyFill="1" applyAlignment="1" applyProtection="1">
      <alignment horizontal="left" vertical="center"/>
    </xf>
    <xf numFmtId="0" fontId="18" fillId="0" borderId="0" xfId="0" applyFont="1" applyAlignment="1" applyProtection="1">
      <alignment horizontal="left" vertical="center"/>
    </xf>
    <xf numFmtId="164" fontId="19" fillId="6" borderId="1" xfId="0" applyNumberFormat="1" applyFont="1" applyFill="1" applyBorder="1" applyAlignment="1" applyProtection="1">
      <alignment horizontal="center" vertical="center" wrapText="1"/>
    </xf>
    <xf numFmtId="0" fontId="19" fillId="6" borderId="1" xfId="0" applyFont="1" applyFill="1" applyBorder="1" applyAlignment="1" applyProtection="1">
      <alignment horizontal="center" vertical="center" wrapText="1"/>
    </xf>
    <xf numFmtId="3" fontId="19" fillId="6" borderId="1" xfId="0" applyNumberFormat="1" applyFont="1" applyFill="1" applyBorder="1" applyAlignment="1" applyProtection="1">
      <alignment horizontal="center" vertical="center" wrapText="1"/>
    </xf>
    <xf numFmtId="169" fontId="19" fillId="6" borderId="1" xfId="0" applyNumberFormat="1" applyFont="1" applyFill="1" applyBorder="1" applyAlignment="1" applyProtection="1">
      <alignment horizontal="center" vertical="center" wrapText="1"/>
    </xf>
    <xf numFmtId="0" fontId="19" fillId="0" borderId="0" xfId="0" applyFont="1" applyProtection="1"/>
    <xf numFmtId="0" fontId="20" fillId="0" borderId="0" xfId="0" applyFont="1" applyProtection="1"/>
    <xf numFmtId="14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1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3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1" fillId="5" borderId="1" xfId="0" applyFont="1" applyFill="1" applyBorder="1" applyAlignment="1" applyProtection="1">
      <alignment horizontal="center" vertical="center" wrapText="1"/>
    </xf>
    <xf numFmtId="0" fontId="21" fillId="5" borderId="10" xfId="0" applyFont="1" applyFill="1" applyBorder="1" applyAlignment="1" applyProtection="1">
      <alignment horizontal="center" vertical="center" wrapText="1"/>
    </xf>
    <xf numFmtId="170" fontId="22" fillId="7" borderId="1" xfId="0" applyNumberFormat="1" applyFont="1" applyFill="1" applyBorder="1" applyAlignment="1" applyProtection="1">
      <alignment horizontal="center" vertical="center" wrapText="1"/>
    </xf>
    <xf numFmtId="164" fontId="22" fillId="7" borderId="1" xfId="0" applyNumberFormat="1" applyFont="1" applyFill="1" applyBorder="1" applyAlignment="1" applyProtection="1">
      <alignment horizontal="center" vertical="center" wrapText="1"/>
    </xf>
    <xf numFmtId="171" fontId="35" fillId="6" borderId="1" xfId="0" applyNumberFormat="1" applyFont="1" applyFill="1" applyBorder="1" applyAlignment="1" applyProtection="1">
      <alignment horizontal="center" vertical="center" wrapText="1"/>
    </xf>
    <xf numFmtId="164" fontId="22" fillId="6" borderId="1" xfId="0" applyNumberFormat="1" applyFont="1" applyFill="1" applyBorder="1" applyAlignment="1" applyProtection="1">
      <alignment horizontal="center" vertical="center" wrapText="1"/>
    </xf>
    <xf numFmtId="3" fontId="22" fillId="7" borderId="1" xfId="0" applyNumberFormat="1" applyFont="1" applyFill="1" applyBorder="1" applyAlignment="1" applyProtection="1">
      <alignment horizontal="center" vertical="center" wrapText="1"/>
    </xf>
    <xf numFmtId="1" fontId="22" fillId="7" borderId="1" xfId="0" applyNumberFormat="1" applyFont="1" applyFill="1" applyBorder="1" applyAlignment="1" applyProtection="1">
      <alignment horizontal="center" vertical="center" wrapText="1"/>
    </xf>
    <xf numFmtId="0" fontId="22" fillId="7" borderId="1" xfId="0" applyFont="1" applyFill="1" applyBorder="1" applyAlignment="1" applyProtection="1">
      <alignment horizontal="center" vertical="center" wrapText="1"/>
    </xf>
    <xf numFmtId="181" fontId="0" fillId="0" borderId="0" xfId="0" applyNumberFormat="1" applyProtection="1"/>
    <xf numFmtId="170" fontId="22" fillId="0" borderId="1" xfId="0" applyNumberFormat="1" applyFont="1" applyBorder="1" applyAlignment="1" applyProtection="1">
      <alignment horizontal="center" vertical="center" wrapText="1"/>
    </xf>
    <xf numFmtId="164" fontId="22" fillId="0" borderId="1" xfId="0" applyNumberFormat="1" applyFont="1" applyBorder="1" applyAlignment="1" applyProtection="1">
      <alignment horizontal="center" vertical="center" wrapText="1"/>
    </xf>
    <xf numFmtId="3" fontId="22" fillId="0" borderId="1" xfId="0" applyNumberFormat="1" applyFont="1" applyBorder="1" applyAlignment="1" applyProtection="1">
      <alignment horizontal="center" vertical="center" wrapText="1"/>
    </xf>
    <xf numFmtId="1" fontId="22" fillId="0" borderId="1" xfId="0" applyNumberFormat="1" applyFont="1" applyBorder="1" applyAlignment="1" applyProtection="1">
      <alignment horizontal="center" vertical="center" wrapText="1"/>
    </xf>
    <xf numFmtId="0" fontId="22" fillId="0" borderId="1" xfId="0" applyFont="1" applyBorder="1" applyAlignment="1" applyProtection="1">
      <alignment horizontal="center" vertical="center" wrapText="1"/>
    </xf>
    <xf numFmtId="164" fontId="22" fillId="7" borderId="1" xfId="0" applyNumberFormat="1" applyFont="1" applyFill="1" applyBorder="1" applyAlignment="1" applyProtection="1">
      <alignment horizontal="center" vertical="center" wrapText="1"/>
      <protection locked="0"/>
    </xf>
    <xf numFmtId="164" fontId="22" fillId="0" borderId="1" xfId="0" applyNumberFormat="1" applyFont="1" applyBorder="1" applyAlignment="1" applyProtection="1">
      <alignment horizontal="center" vertical="center" wrapText="1"/>
      <protection locked="0"/>
    </xf>
    <xf numFmtId="3" fontId="22" fillId="7" borderId="1" xfId="0" applyNumberFormat="1" applyFont="1" applyFill="1" applyBorder="1" applyAlignment="1" applyProtection="1">
      <alignment horizontal="center" vertical="center" wrapText="1"/>
      <protection locked="0"/>
    </xf>
    <xf numFmtId="1" fontId="22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7" borderId="1" xfId="0" applyFont="1" applyFill="1" applyBorder="1" applyAlignment="1" applyProtection="1">
      <alignment horizontal="center" vertical="center" wrapText="1"/>
      <protection locked="0"/>
    </xf>
    <xf numFmtId="0" fontId="22" fillId="7" borderId="1" xfId="0" applyFont="1" applyFill="1" applyBorder="1" applyAlignment="1" applyProtection="1">
      <alignment horizontal="left" vertical="center"/>
      <protection locked="0"/>
    </xf>
    <xf numFmtId="3" fontId="22" fillId="0" borderId="1" xfId="0" applyNumberFormat="1" applyFont="1" applyBorder="1" applyAlignment="1" applyProtection="1">
      <alignment horizontal="center" vertical="center" wrapText="1"/>
      <protection locked="0"/>
    </xf>
    <xf numFmtId="1" fontId="22" fillId="0" borderId="1" xfId="0" applyNumberFormat="1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left" vertical="center"/>
      <protection locked="0"/>
    </xf>
    <xf numFmtId="0" fontId="53" fillId="9" borderId="0" xfId="0" applyFont="1" applyFill="1" applyProtection="1"/>
    <xf numFmtId="0" fontId="40" fillId="9" borderId="0" xfId="0" applyFont="1" applyFill="1" applyProtection="1"/>
    <xf numFmtId="0" fontId="44" fillId="10" borderId="11" xfId="0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0" fontId="55" fillId="11" borderId="0" xfId="0" applyFont="1" applyFill="1" applyAlignment="1" applyProtection="1">
      <alignment vertical="center"/>
    </xf>
    <xf numFmtId="14" fontId="55" fillId="14" borderId="11" xfId="0" applyNumberFormat="1" applyFont="1" applyFill="1" applyBorder="1" applyAlignment="1" applyProtection="1">
      <alignment horizontal="center" vertical="center"/>
      <protection locked="0"/>
    </xf>
    <xf numFmtId="0" fontId="55" fillId="14" borderId="11" xfId="0" applyFont="1" applyFill="1" applyBorder="1" applyAlignment="1" applyProtection="1">
      <alignment horizontal="center" vertical="center"/>
      <protection locked="0"/>
    </xf>
    <xf numFmtId="0" fontId="55" fillId="14" borderId="11" xfId="0" applyFont="1" applyFill="1" applyBorder="1" applyAlignment="1" applyProtection="1">
      <alignment vertical="center"/>
      <protection locked="0"/>
    </xf>
    <xf numFmtId="3" fontId="55" fillId="14" borderId="11" xfId="0" applyNumberFormat="1" applyFont="1" applyFill="1" applyBorder="1" applyAlignment="1" applyProtection="1">
      <alignment horizontal="center" vertical="center"/>
      <protection locked="0"/>
    </xf>
    <xf numFmtId="14" fontId="55" fillId="0" borderId="11" xfId="0" applyNumberFormat="1" applyFont="1" applyBorder="1" applyAlignment="1" applyProtection="1">
      <alignment horizontal="center" vertical="center"/>
      <protection locked="0"/>
    </xf>
    <xf numFmtId="0" fontId="55" fillId="0" borderId="11" xfId="0" applyFont="1" applyBorder="1" applyAlignment="1" applyProtection="1">
      <alignment horizontal="center" vertical="center"/>
      <protection locked="0"/>
    </xf>
    <xf numFmtId="0" fontId="55" fillId="0" borderId="11" xfId="0" applyFont="1" applyBorder="1" applyAlignment="1" applyProtection="1">
      <alignment vertical="center"/>
      <protection locked="0"/>
    </xf>
    <xf numFmtId="3" fontId="55" fillId="0" borderId="11" xfId="0" applyNumberFormat="1" applyFont="1" applyBorder="1" applyAlignment="1" applyProtection="1">
      <alignment horizontal="center" vertical="center"/>
      <protection locked="0"/>
    </xf>
    <xf numFmtId="0" fontId="21" fillId="2" borderId="0" xfId="0" applyFont="1" applyFill="1" applyAlignment="1" applyProtection="1">
      <alignment horizontal="center" vertical="center" wrapText="1"/>
    </xf>
    <xf numFmtId="172" fontId="22" fillId="7" borderId="1" xfId="0" applyNumberFormat="1" applyFont="1" applyFill="1" applyBorder="1" applyAlignment="1" applyProtection="1">
      <alignment horizontal="center" vertical="center" wrapText="1"/>
    </xf>
    <xf numFmtId="173" fontId="22" fillId="7" borderId="1" xfId="0" applyNumberFormat="1" applyFont="1" applyFill="1" applyBorder="1" applyAlignment="1" applyProtection="1">
      <alignment horizontal="center" vertical="center" wrapText="1"/>
    </xf>
    <xf numFmtId="10" fontId="22" fillId="7" borderId="1" xfId="0" applyNumberFormat="1" applyFont="1" applyFill="1" applyBorder="1" applyAlignment="1" applyProtection="1">
      <alignment horizontal="center" vertical="center" wrapText="1"/>
    </xf>
    <xf numFmtId="0" fontId="23" fillId="0" borderId="0" xfId="0" applyFont="1" applyAlignment="1" applyProtection="1">
      <alignment horizontal="left" vertical="center"/>
    </xf>
    <xf numFmtId="0" fontId="19" fillId="0" borderId="0" xfId="0" applyFont="1" applyAlignment="1" applyProtection="1">
      <alignment horizontal="left" vertical="center"/>
    </xf>
    <xf numFmtId="172" fontId="22" fillId="0" borderId="1" xfId="0" applyNumberFormat="1" applyFont="1" applyBorder="1" applyAlignment="1" applyProtection="1">
      <alignment horizontal="center" vertical="center" wrapText="1"/>
    </xf>
    <xf numFmtId="173" fontId="22" fillId="0" borderId="1" xfId="0" applyNumberFormat="1" applyFont="1" applyBorder="1" applyAlignment="1" applyProtection="1">
      <alignment horizontal="center" vertical="center" wrapText="1"/>
    </xf>
    <xf numFmtId="10" fontId="22" fillId="0" borderId="1" xfId="0" applyNumberFormat="1" applyFont="1" applyBorder="1" applyAlignment="1" applyProtection="1">
      <alignment horizontal="center" vertical="center" wrapText="1"/>
    </xf>
    <xf numFmtId="174" fontId="22" fillId="7" borderId="1" xfId="0" applyNumberFormat="1" applyFont="1" applyFill="1" applyBorder="1" applyAlignment="1" applyProtection="1">
      <alignment horizontal="center" vertical="center" wrapText="1"/>
    </xf>
    <xf numFmtId="175" fontId="22" fillId="7" borderId="1" xfId="0" applyNumberFormat="1" applyFont="1" applyFill="1" applyBorder="1" applyAlignment="1" applyProtection="1">
      <alignment horizontal="center" vertical="center" wrapText="1"/>
    </xf>
    <xf numFmtId="176" fontId="22" fillId="7" borderId="1" xfId="0" applyNumberFormat="1" applyFont="1" applyFill="1" applyBorder="1" applyAlignment="1" applyProtection="1">
      <alignment horizontal="center" vertical="center" wrapText="1"/>
    </xf>
    <xf numFmtId="2" fontId="22" fillId="7" borderId="1" xfId="0" applyNumberFormat="1" applyFont="1" applyFill="1" applyBorder="1" applyAlignment="1" applyProtection="1">
      <alignment horizontal="center" vertical="center" wrapText="1"/>
    </xf>
    <xf numFmtId="174" fontId="22" fillId="0" borderId="1" xfId="0" applyNumberFormat="1" applyFont="1" applyBorder="1" applyAlignment="1" applyProtection="1">
      <alignment horizontal="center" vertical="center" wrapText="1"/>
    </xf>
    <xf numFmtId="175" fontId="22" fillId="0" borderId="1" xfId="0" applyNumberFormat="1" applyFont="1" applyBorder="1" applyAlignment="1" applyProtection="1">
      <alignment horizontal="center" vertical="center" wrapText="1"/>
    </xf>
    <xf numFmtId="176" fontId="22" fillId="0" borderId="1" xfId="0" applyNumberFormat="1" applyFont="1" applyBorder="1" applyAlignment="1" applyProtection="1">
      <alignment horizontal="center" vertical="center" wrapText="1"/>
    </xf>
    <xf numFmtId="2" fontId="22" fillId="0" borderId="1" xfId="0" applyNumberFormat="1" applyFont="1" applyBorder="1" applyAlignment="1" applyProtection="1">
      <alignment horizontal="center" vertical="center" wrapText="1"/>
    </xf>
    <xf numFmtId="171" fontId="22" fillId="6" borderId="1" xfId="0" applyNumberFormat="1" applyFont="1" applyFill="1" applyBorder="1" applyAlignment="1" applyProtection="1">
      <alignment horizontal="center" vertical="center" wrapText="1"/>
    </xf>
    <xf numFmtId="177" fontId="22" fillId="7" borderId="1" xfId="0" applyNumberFormat="1" applyFont="1" applyFill="1" applyBorder="1" applyAlignment="1" applyProtection="1">
      <alignment horizontal="center" vertical="center" wrapText="1"/>
      <protection locked="0"/>
    </xf>
    <xf numFmtId="177" fontId="22" fillId="0" borderId="1" xfId="0" applyNumberFormat="1" applyFont="1" applyBorder="1" applyAlignment="1" applyProtection="1">
      <alignment horizontal="center" vertical="center" wrapText="1"/>
      <protection locked="0"/>
    </xf>
    <xf numFmtId="0" fontId="13" fillId="9" borderId="0" xfId="0" applyFont="1" applyFill="1" applyAlignment="1" applyProtection="1">
      <alignment horizontal="left" vertical="center"/>
    </xf>
    <xf numFmtId="0" fontId="37" fillId="9" borderId="0" xfId="0" applyFont="1" applyFill="1" applyProtection="1"/>
    <xf numFmtId="0" fontId="2" fillId="9" borderId="0" xfId="0" applyFont="1" applyFill="1" applyAlignment="1" applyProtection="1">
      <alignment horizontal="left" vertical="center"/>
    </xf>
    <xf numFmtId="0" fontId="38" fillId="9" borderId="0" xfId="0" applyFont="1" applyFill="1" applyProtection="1"/>
    <xf numFmtId="0" fontId="24" fillId="3" borderId="4" xfId="0" applyFont="1" applyFill="1" applyBorder="1" applyAlignment="1" applyProtection="1">
      <alignment horizontal="center" vertical="center" wrapText="1"/>
    </xf>
    <xf numFmtId="0" fontId="24" fillId="3" borderId="2" xfId="0" applyFont="1" applyFill="1" applyBorder="1" applyAlignment="1" applyProtection="1">
      <alignment horizontal="center" vertical="center" wrapText="1"/>
    </xf>
    <xf numFmtId="0" fontId="24" fillId="3" borderId="7" xfId="0" applyFont="1" applyFill="1" applyBorder="1" applyAlignment="1" applyProtection="1">
      <alignment horizontal="center" vertical="center" wrapText="1"/>
    </xf>
    <xf numFmtId="165" fontId="25" fillId="3" borderId="5" xfId="0" applyNumberFormat="1" applyFont="1" applyFill="1" applyBorder="1" applyAlignment="1" applyProtection="1">
      <alignment horizontal="center" vertical="center" wrapText="1"/>
    </xf>
    <xf numFmtId="165" fontId="25" fillId="3" borderId="0" xfId="0" applyNumberFormat="1" applyFont="1" applyFill="1" applyBorder="1" applyAlignment="1" applyProtection="1">
      <alignment horizontal="center" vertical="center" wrapText="1"/>
    </xf>
    <xf numFmtId="178" fontId="26" fillId="3" borderId="5" xfId="0" applyNumberFormat="1" applyFont="1" applyFill="1" applyBorder="1" applyAlignment="1" applyProtection="1">
      <alignment horizontal="center" vertical="center" wrapText="1"/>
    </xf>
    <xf numFmtId="178" fontId="26" fillId="3" borderId="0" xfId="0" applyNumberFormat="1" applyFont="1" applyFill="1" applyBorder="1" applyAlignment="1" applyProtection="1">
      <alignment horizontal="center" vertical="center" wrapText="1"/>
    </xf>
    <xf numFmtId="165" fontId="27" fillId="3" borderId="5" xfId="0" applyNumberFormat="1" applyFont="1" applyFill="1" applyBorder="1" applyAlignment="1" applyProtection="1">
      <alignment horizontal="center" vertical="center" wrapText="1"/>
    </xf>
    <xf numFmtId="165" fontId="27" fillId="3" borderId="0" xfId="0" applyNumberFormat="1" applyFont="1" applyFill="1" applyBorder="1" applyAlignment="1" applyProtection="1">
      <alignment horizontal="center" vertical="center" wrapText="1"/>
    </xf>
    <xf numFmtId="165" fontId="27" fillId="3" borderId="8" xfId="0" applyNumberFormat="1" applyFont="1" applyFill="1" applyBorder="1" applyAlignment="1" applyProtection="1">
      <alignment horizontal="center" vertical="center" wrapText="1"/>
    </xf>
    <xf numFmtId="165" fontId="25" fillId="3" borderId="6" xfId="0" applyNumberFormat="1" applyFont="1" applyFill="1" applyBorder="1" applyAlignment="1" applyProtection="1">
      <alignment horizontal="center" vertical="center" wrapText="1"/>
    </xf>
    <xf numFmtId="165" fontId="25" fillId="3" borderId="3" xfId="0" applyNumberFormat="1" applyFont="1" applyFill="1" applyBorder="1" applyAlignment="1" applyProtection="1">
      <alignment horizontal="center" vertical="center" wrapText="1"/>
    </xf>
    <xf numFmtId="178" fontId="26" fillId="3" borderId="6" xfId="0" applyNumberFormat="1" applyFont="1" applyFill="1" applyBorder="1" applyAlignment="1" applyProtection="1">
      <alignment horizontal="center" vertical="center" wrapText="1"/>
    </xf>
    <xf numFmtId="178" fontId="26" fillId="3" borderId="3" xfId="0" applyNumberFormat="1" applyFont="1" applyFill="1" applyBorder="1" applyAlignment="1" applyProtection="1">
      <alignment horizontal="center" vertical="center" wrapText="1"/>
    </xf>
    <xf numFmtId="165" fontId="27" fillId="3" borderId="6" xfId="0" applyNumberFormat="1" applyFont="1" applyFill="1" applyBorder="1" applyAlignment="1" applyProtection="1">
      <alignment horizontal="center" vertical="center" wrapText="1"/>
    </xf>
    <xf numFmtId="165" fontId="27" fillId="3" borderId="3" xfId="0" applyNumberFormat="1" applyFont="1" applyFill="1" applyBorder="1" applyAlignment="1" applyProtection="1">
      <alignment horizontal="center" vertical="center" wrapText="1"/>
    </xf>
    <xf numFmtId="165" fontId="27" fillId="3" borderId="9" xfId="0" applyNumberFormat="1" applyFont="1" applyFill="1" applyBorder="1" applyAlignment="1" applyProtection="1">
      <alignment horizontal="center" vertical="center" wrapText="1"/>
    </xf>
    <xf numFmtId="177" fontId="28" fillId="3" borderId="5" xfId="0" applyNumberFormat="1" applyFont="1" applyFill="1" applyBorder="1" applyAlignment="1" applyProtection="1">
      <alignment horizontal="center" vertical="center" wrapText="1"/>
    </xf>
    <xf numFmtId="177" fontId="28" fillId="3" borderId="0" xfId="0" applyNumberFormat="1" applyFont="1" applyFill="1" applyBorder="1" applyAlignment="1" applyProtection="1">
      <alignment horizontal="center" vertical="center" wrapText="1"/>
    </xf>
    <xf numFmtId="0" fontId="28" fillId="3" borderId="5" xfId="0" applyFont="1" applyFill="1" applyBorder="1" applyAlignment="1" applyProtection="1">
      <alignment horizontal="center" vertical="center" wrapText="1"/>
    </xf>
    <xf numFmtId="0" fontId="28" fillId="3" borderId="0" xfId="0" applyFont="1" applyFill="1" applyBorder="1" applyAlignment="1" applyProtection="1">
      <alignment horizontal="center" vertical="center" wrapText="1"/>
    </xf>
    <xf numFmtId="164" fontId="29" fillId="3" borderId="5" xfId="0" applyNumberFormat="1" applyFont="1" applyFill="1" applyBorder="1" applyAlignment="1" applyProtection="1">
      <alignment horizontal="center" vertical="center" wrapText="1"/>
    </xf>
    <xf numFmtId="164" fontId="29" fillId="3" borderId="0" xfId="0" applyNumberFormat="1" applyFont="1" applyFill="1" applyBorder="1" applyAlignment="1" applyProtection="1">
      <alignment horizontal="center" vertical="center" wrapText="1"/>
    </xf>
    <xf numFmtId="164" fontId="29" fillId="3" borderId="8" xfId="0" applyNumberFormat="1" applyFont="1" applyFill="1" applyBorder="1" applyAlignment="1" applyProtection="1">
      <alignment horizontal="center" vertical="center" wrapText="1"/>
    </xf>
    <xf numFmtId="177" fontId="28" fillId="3" borderId="6" xfId="0" applyNumberFormat="1" applyFont="1" applyFill="1" applyBorder="1" applyAlignment="1" applyProtection="1">
      <alignment horizontal="center" vertical="center" wrapText="1"/>
    </xf>
    <xf numFmtId="177" fontId="28" fillId="3" borderId="3" xfId="0" applyNumberFormat="1" applyFont="1" applyFill="1" applyBorder="1" applyAlignment="1" applyProtection="1">
      <alignment horizontal="center" vertical="center" wrapText="1"/>
    </xf>
    <xf numFmtId="0" fontId="28" fillId="3" borderId="6" xfId="0" applyFont="1" applyFill="1" applyBorder="1" applyAlignment="1" applyProtection="1">
      <alignment horizontal="center" vertical="center" wrapText="1"/>
    </xf>
    <xf numFmtId="0" fontId="28" fillId="3" borderId="3" xfId="0" applyFont="1" applyFill="1" applyBorder="1" applyAlignment="1" applyProtection="1">
      <alignment horizontal="center" vertical="center" wrapText="1"/>
    </xf>
    <xf numFmtId="164" fontId="29" fillId="3" borderId="6" xfId="0" applyNumberFormat="1" applyFont="1" applyFill="1" applyBorder="1" applyAlignment="1" applyProtection="1">
      <alignment horizontal="center" vertical="center" wrapText="1"/>
    </xf>
    <xf numFmtId="164" fontId="29" fillId="3" borderId="3" xfId="0" applyNumberFormat="1" applyFont="1" applyFill="1" applyBorder="1" applyAlignment="1" applyProtection="1">
      <alignment horizontal="center" vertical="center" wrapText="1"/>
    </xf>
    <xf numFmtId="164" fontId="29" fillId="3" borderId="9" xfId="0" applyNumberFormat="1" applyFont="1" applyFill="1" applyBorder="1" applyAlignment="1" applyProtection="1">
      <alignment horizontal="center" vertical="center" wrapText="1"/>
    </xf>
    <xf numFmtId="179" fontId="22" fillId="0" borderId="1" xfId="0" applyNumberFormat="1" applyFont="1" applyBorder="1" applyAlignment="1" applyProtection="1">
      <alignment horizontal="center" vertical="center" wrapText="1"/>
    </xf>
    <xf numFmtId="0" fontId="44" fillId="10" borderId="1" xfId="0" applyFont="1" applyFill="1" applyBorder="1" applyAlignment="1" applyProtection="1">
      <alignment horizontal="center" vertical="center" wrapText="1"/>
    </xf>
    <xf numFmtId="165" fontId="54" fillId="14" borderId="1" xfId="0" applyNumberFormat="1" applyFont="1" applyFill="1" applyBorder="1" applyAlignment="1" applyProtection="1">
      <alignment horizontal="center" vertical="center"/>
    </xf>
    <xf numFmtId="175" fontId="54" fillId="14" borderId="1" xfId="0" applyNumberFormat="1" applyFont="1" applyFill="1" applyBorder="1" applyAlignment="1" applyProtection="1">
      <alignment horizontal="center" vertical="center"/>
    </xf>
    <xf numFmtId="14" fontId="54" fillId="14" borderId="1" xfId="0" applyNumberFormat="1" applyFont="1" applyFill="1" applyBorder="1" applyAlignment="1" applyProtection="1">
      <alignment horizontal="center" vertical="center"/>
    </xf>
    <xf numFmtId="1" fontId="54" fillId="14" borderId="1" xfId="0" applyNumberFormat="1" applyFont="1" applyFill="1" applyBorder="1" applyAlignment="1" applyProtection="1">
      <alignment horizontal="center" vertical="center"/>
    </xf>
    <xf numFmtId="0" fontId="54" fillId="14" borderId="1" xfId="0" applyFont="1" applyFill="1" applyBorder="1" applyAlignment="1" applyProtection="1">
      <alignment horizontal="center" vertical="center"/>
    </xf>
    <xf numFmtId="165" fontId="54" fillId="0" borderId="1" xfId="0" applyNumberFormat="1" applyFont="1" applyBorder="1" applyAlignment="1" applyProtection="1">
      <alignment horizontal="center" vertical="center"/>
    </xf>
    <xf numFmtId="175" fontId="54" fillId="0" borderId="1" xfId="0" applyNumberFormat="1" applyFont="1" applyBorder="1" applyAlignment="1" applyProtection="1">
      <alignment horizontal="center" vertical="center"/>
    </xf>
    <xf numFmtId="14" fontId="54" fillId="0" borderId="1" xfId="0" applyNumberFormat="1" applyFont="1" applyBorder="1" applyAlignment="1" applyProtection="1">
      <alignment horizontal="center" vertical="center"/>
    </xf>
    <xf numFmtId="1" fontId="54" fillId="0" borderId="1" xfId="0" applyNumberFormat="1" applyFont="1" applyBorder="1" applyAlignment="1" applyProtection="1">
      <alignment horizontal="center" vertical="center"/>
    </xf>
    <xf numFmtId="0" fontId="54" fillId="0" borderId="1" xfId="0" applyFont="1" applyBorder="1" applyAlignment="1" applyProtection="1">
      <alignment horizontal="center" vertical="center"/>
    </xf>
    <xf numFmtId="0" fontId="55" fillId="11" borderId="1" xfId="0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 wrapText="1"/>
    </xf>
    <xf numFmtId="0" fontId="24" fillId="3" borderId="0" xfId="0" applyFont="1" applyFill="1" applyAlignment="1" applyProtection="1">
      <alignment horizontal="center" vertical="center" wrapText="1"/>
    </xf>
    <xf numFmtId="180" fontId="22" fillId="0" borderId="1" xfId="0" applyNumberFormat="1" applyFont="1" applyBorder="1" applyAlignment="1" applyProtection="1">
      <alignment horizontal="center" vertical="center" wrapText="1"/>
    </xf>
    <xf numFmtId="9" fontId="22" fillId="0" borderId="1" xfId="0" applyNumberFormat="1" applyFont="1" applyBorder="1" applyAlignment="1" applyProtection="1">
      <alignment horizontal="center" vertical="center" wrapText="1"/>
    </xf>
    <xf numFmtId="0" fontId="0" fillId="0" borderId="0" xfId="0" applyAlignment="1" applyProtection="1">
      <alignment vertical="center"/>
    </xf>
    <xf numFmtId="9" fontId="30" fillId="3" borderId="0" xfId="0" applyNumberFormat="1" applyFont="1" applyFill="1" applyAlignment="1" applyProtection="1">
      <alignment horizontal="center" vertical="center" wrapText="1"/>
    </xf>
    <xf numFmtId="9" fontId="31" fillId="3" borderId="0" xfId="0" applyNumberFormat="1" applyFont="1" applyFill="1" applyAlignment="1" applyProtection="1">
      <alignment horizontal="center" vertical="center" wrapText="1"/>
    </xf>
    <xf numFmtId="9" fontId="32" fillId="3" borderId="0" xfId="0" applyNumberFormat="1" applyFont="1" applyFill="1" applyAlignment="1" applyProtection="1">
      <alignment horizontal="center" vertical="center" wrapText="1"/>
    </xf>
    <xf numFmtId="1" fontId="33" fillId="3" borderId="0" xfId="0" applyNumberFormat="1" applyFont="1" applyFill="1" applyAlignment="1" applyProtection="1">
      <alignment horizontal="center" vertical="center" wrapText="1"/>
    </xf>
    <xf numFmtId="1" fontId="34" fillId="3" borderId="0" xfId="0" applyNumberFormat="1" applyFont="1" applyFill="1" applyAlignment="1" applyProtection="1">
      <alignment horizontal="center" vertical="center" wrapText="1"/>
    </xf>
    <xf numFmtId="0" fontId="42" fillId="0" borderId="0" xfId="0" applyFont="1" applyProtection="1"/>
    <xf numFmtId="0" fontId="40" fillId="9" borderId="0" xfId="0" applyFont="1" applyFill="1" applyBorder="1" applyAlignment="1" applyProtection="1">
      <alignment horizontal="left" vertical="center" indent="1"/>
    </xf>
    <xf numFmtId="187" fontId="57" fillId="9" borderId="0" xfId="0" applyNumberFormat="1" applyFont="1" applyFill="1" applyBorder="1" applyAlignment="1" applyProtection="1">
      <alignment horizontal="right" vertical="center" indent="1"/>
    </xf>
    <xf numFmtId="0" fontId="57" fillId="9" borderId="0" xfId="0" applyFont="1" applyFill="1" applyBorder="1" applyAlignment="1" applyProtection="1">
      <alignment horizontal="right" vertical="center" indent="1"/>
    </xf>
    <xf numFmtId="189" fontId="57" fillId="9" borderId="0" xfId="0" applyNumberFormat="1" applyFont="1" applyFill="1" applyBorder="1" applyAlignment="1" applyProtection="1">
      <alignment horizontal="right" vertical="center" indent="1"/>
    </xf>
    <xf numFmtId="0" fontId="40" fillId="9" borderId="12" xfId="0" applyFont="1" applyFill="1" applyBorder="1" applyAlignment="1" applyProtection="1">
      <alignment horizontal="left" vertical="center" indent="1"/>
    </xf>
    <xf numFmtId="188" fontId="57" fillId="9" borderId="12" xfId="0" applyNumberFormat="1" applyFont="1" applyFill="1" applyBorder="1" applyAlignment="1" applyProtection="1">
      <alignment horizontal="right" vertical="center" indent="1"/>
    </xf>
    <xf numFmtId="0" fontId="57" fillId="9" borderId="12" xfId="0" applyFont="1" applyFill="1" applyBorder="1" applyAlignment="1" applyProtection="1">
      <alignment horizontal="right" vertical="center" indent="1"/>
    </xf>
    <xf numFmtId="193" fontId="57" fillId="9" borderId="12" xfId="0" applyNumberFormat="1" applyFont="1" applyFill="1" applyBorder="1" applyAlignment="1" applyProtection="1">
      <alignment horizontal="right" vertical="center" indent="1"/>
    </xf>
    <xf numFmtId="189" fontId="57" fillId="9" borderId="12" xfId="0" applyNumberFormat="1" applyFont="1" applyFill="1" applyBorder="1" applyAlignment="1" applyProtection="1">
      <alignment horizontal="right" vertical="center" indent="1"/>
    </xf>
    <xf numFmtId="190" fontId="57" fillId="9" borderId="12" xfId="0" applyNumberFormat="1" applyFont="1" applyFill="1" applyBorder="1" applyAlignment="1" applyProtection="1">
      <alignment horizontal="right" vertical="center" indent="1"/>
    </xf>
    <xf numFmtId="194" fontId="57" fillId="9" borderId="12" xfId="0" applyNumberFormat="1" applyFont="1" applyFill="1" applyBorder="1" applyAlignment="1" applyProtection="1">
      <alignment horizontal="right" vertical="center" indent="1"/>
    </xf>
    <xf numFmtId="191" fontId="57" fillId="9" borderId="12" xfId="0" applyNumberFormat="1" applyFont="1" applyFill="1" applyBorder="1" applyAlignment="1" applyProtection="1">
      <alignment horizontal="right" vertical="center" indent="1"/>
    </xf>
    <xf numFmtId="0" fontId="40" fillId="9" borderId="13" xfId="0" applyFont="1" applyFill="1" applyBorder="1" applyAlignment="1" applyProtection="1">
      <alignment horizontal="left" vertical="center" indent="1"/>
    </xf>
    <xf numFmtId="192" fontId="57" fillId="9" borderId="13" xfId="0" applyNumberFormat="1" applyFont="1" applyFill="1" applyBorder="1" applyAlignment="1" applyProtection="1">
      <alignment horizontal="right" vertical="center" indent="1"/>
    </xf>
    <xf numFmtId="0" fontId="57" fillId="9" borderId="13" xfId="0" applyFont="1" applyFill="1" applyBorder="1" applyAlignment="1" applyProtection="1">
      <alignment horizontal="right" vertical="center" indent="1"/>
    </xf>
    <xf numFmtId="187" fontId="57" fillId="9" borderId="13" xfId="0" applyNumberFormat="1" applyFont="1" applyFill="1" applyBorder="1" applyAlignment="1" applyProtection="1">
      <alignment horizontal="right" vertical="center" indent="1"/>
    </xf>
    <xf numFmtId="0" fontId="49" fillId="0" borderId="0" xfId="0" applyFont="1" applyAlignment="1" applyProtection="1">
      <alignment vertical="center"/>
    </xf>
    <xf numFmtId="0" fontId="41" fillId="10" borderId="0" xfId="0" applyFont="1" applyFill="1" applyAlignment="1" applyProtection="1">
      <alignment vertical="center"/>
    </xf>
    <xf numFmtId="0" fontId="41" fillId="10" borderId="0" xfId="0" applyFont="1" applyFill="1" applyAlignment="1" applyProtection="1">
      <alignment horizontal="left" vertical="center"/>
    </xf>
    <xf numFmtId="0" fontId="41" fillId="10" borderId="0" xfId="0" applyFont="1" applyFill="1" applyAlignment="1" applyProtection="1">
      <alignment vertical="center" wrapText="1"/>
    </xf>
    <xf numFmtId="0" fontId="43" fillId="0" borderId="0" xfId="0" applyFont="1" applyAlignment="1" applyProtection="1">
      <alignment vertical="top"/>
    </xf>
    <xf numFmtId="0" fontId="42" fillId="0" borderId="0" xfId="0" applyFont="1" applyAlignment="1" applyProtection="1">
      <alignment vertical="top"/>
    </xf>
    <xf numFmtId="0" fontId="60" fillId="0" borderId="0" xfId="0" applyFont="1" applyAlignment="1" applyProtection="1">
      <alignment horizontal="left" vertical="top"/>
    </xf>
    <xf numFmtId="0" fontId="43" fillId="0" borderId="0" xfId="0" applyFont="1" applyAlignment="1" applyProtection="1">
      <alignment vertical="top" wrapText="1"/>
    </xf>
    <xf numFmtId="0" fontId="42" fillId="15" borderId="0" xfId="0" applyFont="1" applyFill="1" applyAlignment="1" applyProtection="1">
      <alignment vertical="center"/>
    </xf>
    <xf numFmtId="0" fontId="42" fillId="15" borderId="0" xfId="0" applyFont="1" applyFill="1" applyAlignment="1" applyProtection="1">
      <alignment horizontal="left" vertical="center"/>
    </xf>
    <xf numFmtId="0" fontId="42" fillId="15" borderId="0" xfId="0" applyFont="1" applyFill="1" applyAlignment="1" applyProtection="1">
      <alignment vertical="center" wrapText="1"/>
    </xf>
  </cellXfs>
  <cellStyles count="1">
    <cellStyle name="Normal" xfId="0" builtinId="0"/>
  </cellStyles>
  <dxfs count="27">
    <dxf>
      <font>
        <b/>
        <i val="0"/>
        <color rgb="FF64748B"/>
      </font>
      <fill>
        <patternFill patternType="solid">
          <fgColor indexed="64"/>
          <bgColor rgb="FFF1F5F9"/>
        </patternFill>
      </fill>
    </dxf>
    <dxf>
      <font>
        <b/>
        <i val="0"/>
        <color rgb="FFB91C1C"/>
      </font>
      <fill>
        <patternFill patternType="solid">
          <fgColor indexed="64"/>
          <bgColor rgb="FFFEE2E2"/>
        </patternFill>
      </fill>
    </dxf>
    <dxf>
      <font>
        <b/>
        <i val="0"/>
        <color rgb="FF166534"/>
      </font>
      <fill>
        <patternFill patternType="solid">
          <fgColor indexed="64"/>
          <bgColor rgb="FFDCFCE7"/>
        </patternFill>
      </fill>
    </dxf>
    <dxf>
      <font>
        <b/>
        <i val="0"/>
        <color rgb="FF047857"/>
      </font>
    </dxf>
    <dxf>
      <font>
        <b/>
        <i val="0"/>
        <color rgb="FFB91C1C"/>
      </font>
    </dxf>
    <dxf>
      <font>
        <color rgb="FFCBD5E1"/>
      </font>
    </dxf>
    <dxf>
      <font>
        <color rgb="FF166534"/>
      </font>
      <fill>
        <patternFill patternType="solid">
          <fgColor indexed="64"/>
          <bgColor rgb="FFDCFCE7"/>
        </patternFill>
      </fill>
    </dxf>
    <dxf>
      <font>
        <color rgb="FFCBD5E1"/>
      </font>
    </dxf>
    <dxf>
      <font>
        <color rgb="FF166534"/>
      </font>
      <fill>
        <patternFill patternType="solid">
          <fgColor indexed="64"/>
          <bgColor rgb="FFDCFCE7"/>
        </patternFill>
      </fill>
    </dxf>
    <dxf>
      <font>
        <b/>
        <i val="0"/>
        <color rgb="FF047857"/>
      </font>
    </dxf>
    <dxf>
      <font>
        <b/>
        <i val="0"/>
        <color rgb="FFB91C1C"/>
      </font>
    </dxf>
    <dxf>
      <font>
        <b/>
        <i val="0"/>
        <color rgb="FFB91C1C"/>
      </font>
    </dxf>
    <dxf>
      <font>
        <b/>
        <i val="0"/>
        <color rgb="FF047857"/>
      </font>
    </dxf>
    <dxf>
      <font>
        <b/>
        <i val="0"/>
        <color rgb="FFB91C1C"/>
      </font>
    </dxf>
    <dxf>
      <font>
        <b/>
        <i val="0"/>
        <color rgb="FF047857"/>
      </font>
    </dxf>
    <dxf>
      <font>
        <b/>
        <i val="0"/>
        <color rgb="FFB91C1C"/>
      </font>
    </dxf>
    <dxf>
      <font>
        <b/>
        <i val="0"/>
        <color rgb="FF047857"/>
      </font>
    </dxf>
    <dxf>
      <font>
        <b/>
        <i val="0"/>
        <color rgb="FFB91C1C"/>
      </font>
    </dxf>
    <dxf>
      <font>
        <b/>
        <i val="0"/>
        <color rgb="FF047857"/>
      </font>
    </dxf>
    <dxf>
      <font>
        <b/>
        <i val="0"/>
        <color rgb="FF047857"/>
      </font>
    </dxf>
    <dxf>
      <font>
        <b/>
        <i val="0"/>
        <color rgb="FFB91C1C"/>
      </font>
    </dxf>
    <dxf>
      <font>
        <sz val="10"/>
        <color rgb="FFB91C1C"/>
        <name val="Arial"/>
        <charset val="1"/>
      </font>
      <fill>
        <patternFill>
          <bgColor rgb="FFFEE2E2"/>
        </patternFill>
      </fill>
    </dxf>
    <dxf>
      <font>
        <b/>
        <sz val="10"/>
        <color rgb="FF047857"/>
        <name val="Arial"/>
        <charset val="1"/>
      </font>
      <fill>
        <patternFill>
          <bgColor rgb="FFD1FAE5"/>
        </patternFill>
      </fill>
    </dxf>
    <dxf>
      <font>
        <b/>
        <sz val="10"/>
        <color rgb="FF047857"/>
        <name val="Arial"/>
        <charset val="1"/>
      </font>
    </dxf>
    <dxf>
      <font>
        <b/>
        <sz val="10"/>
        <color rgb="FFB91C1C"/>
        <name val="Arial"/>
        <charset val="1"/>
      </font>
    </dxf>
    <dxf>
      <font>
        <b/>
        <sz val="10"/>
        <color rgb="FF047857"/>
        <name val="Arial"/>
        <charset val="1"/>
      </font>
    </dxf>
    <dxf>
      <font>
        <b/>
        <sz val="10"/>
        <color rgb="FF92400E"/>
        <name val="Arial"/>
        <charset val="1"/>
      </font>
      <fill>
        <patternFill>
          <bgColor rgb="FFFEF3C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D9D9D9"/>
      <rgbColor rgb="FF878787"/>
      <rgbColor rgb="FF8B5CF6"/>
      <rgbColor rgb="FFB91C1C"/>
      <rgbColor rgb="FFFEF3C7"/>
      <rgbColor rgb="FFEFF6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F1F5F9"/>
      <rgbColor rgb="FFD1FAE5"/>
      <rgbColor rgb="FFFAFCFF"/>
      <rgbColor rgb="FF99CCFF"/>
      <rgbColor rgb="FFFF99CC"/>
      <rgbColor rgb="FFCC99FF"/>
      <rgbColor rgb="FFFEE2E2"/>
      <rgbColor rgb="FF3B82F6"/>
      <rgbColor rgb="FF14B8A6"/>
      <rgbColor rgb="FF99CC00"/>
      <rgbColor rgb="FFFFCC00"/>
      <rgbColor rgb="FFF59E0B"/>
      <rgbColor rgb="FFEF4444"/>
      <rgbColor rgb="FF64748B"/>
      <rgbColor rgb="FF94A3B8"/>
      <rgbColor rgb="FF003366"/>
      <rgbColor rgb="FF10B981"/>
      <rgbColor rgb="FF0F172A"/>
      <rgbColor rgb="FF475569"/>
      <rgbColor rgb="FF92400E"/>
      <rgbColor rgb="FF993366"/>
      <rgbColor rgb="FF334155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 sz="1100" b="1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Weekly Weight Loss (kg)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Lost (kg)</c:v>
          </c:tx>
          <c:spPr>
            <a:solidFill>
              <a:srgbClr val="14B8A6"/>
            </a:solidFill>
            <a:ln>
              <a:prstDash val="solid"/>
            </a:ln>
          </c:spPr>
          <c:invertIfNegative val="1"/>
          <c:cat>
            <c:numRef>
              <c:f>'Weekly Analysis'!$A$6:$A$109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cat>
          <c:val>
            <c:numRef>
              <c:f>'Weekly Analysis'!$S$6:$S$109</c:f>
              <c:numCache>
                <c:formatCode>General</c:formatCode>
                <c:ptCount val="104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75C-474D-BFA8-269B58A6E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334155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94A3B8"/>
                </a:solidFill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tickLblSkip val="4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kg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334155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94A3B8"/>
                </a:solidFill>
              </a:defRPr>
            </a:pPr>
            <a:endParaRPr lang="fr-FR"/>
          </a:p>
        </c:txPr>
        <c:crossAx val="10"/>
        <c:crosses val="autoZero"/>
        <c:crossBetween val="between"/>
      </c:valAx>
      <c:spPr>
        <a:solidFill>
          <a:srgbClr val="1E293B"/>
        </a:solidFill>
      </c:spPr>
    </c:plotArea>
    <c:plotVisOnly val="0"/>
    <c:dispBlanksAs val="gap"/>
    <c:showDLblsOverMax val="1"/>
  </c:chart>
  <c:spPr>
    <a:solidFill>
      <a:srgbClr val="1E293B"/>
    </a:solidFill>
    <a:ln>
      <a:solidFill>
        <a:srgbClr val="334155"/>
      </a:solidFill>
      <a:prstDash val="solid"/>
    </a:ln>
  </c:spPr>
  <c:txPr>
    <a:bodyPr/>
    <a:lstStyle/>
    <a:p>
      <a:pPr>
        <a:defRPr sz="900">
          <a:solidFill>
            <a:srgbClr val="E2E8F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 sz="1100" b="1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Weekly Average Weight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Weekly Avg Weight</c:v>
          </c:tx>
          <c:spPr>
            <a:ln w="28575">
              <a:solidFill>
                <a:srgbClr val="3B82F6"/>
              </a:solidFill>
              <a:prstDash val="solid"/>
            </a:ln>
          </c:spPr>
          <c:marker>
            <c:symbol val="none"/>
          </c:marker>
          <c:cat>
            <c:numRef>
              <c:f>'Weekly Analysis'!$A$6:$A$109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cat>
          <c:val>
            <c:numRef>
              <c:f>'Weekly Analysis'!$T$6:$T$109</c:f>
              <c:numCache>
                <c:formatCode>General</c:formatCode>
                <c:ptCount val="104"/>
                <c:pt idx="0">
                  <c:v>157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9-40AF-A6FA-69AFFEE43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Week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334155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94A3B8"/>
                </a:solidFill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tickLblSkip val="4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kg</a:t>
                </a:r>
              </a:p>
            </c:rich>
          </c:tx>
          <c:layout>
            <c:manualLayout>
              <c:xMode val="edge"/>
              <c:yMode val="edge"/>
              <c:x val="4.9019607843137254E-2"/>
              <c:y val="0.5010299212598424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334155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94A3B8"/>
                </a:solidFill>
              </a:defRPr>
            </a:pPr>
            <a:endParaRPr lang="fr-FR"/>
          </a:p>
        </c:txPr>
        <c:crossAx val="10"/>
        <c:crosses val="autoZero"/>
        <c:crossBetween val="between"/>
      </c:valAx>
      <c:spPr>
        <a:solidFill>
          <a:srgbClr val="1E293B"/>
        </a:solidFill>
      </c:spPr>
    </c:plotArea>
    <c:plotVisOnly val="0"/>
    <c:dispBlanksAs val="gap"/>
    <c:showDLblsOverMax val="1"/>
  </c:chart>
  <c:spPr>
    <a:solidFill>
      <a:srgbClr val="1E293B"/>
    </a:solidFill>
    <a:ln>
      <a:solidFill>
        <a:srgbClr val="334155"/>
      </a:solidFill>
      <a:prstDash val="solid"/>
    </a:ln>
  </c:spPr>
  <c:txPr>
    <a:bodyPr/>
    <a:lstStyle/>
    <a:p>
      <a:pPr>
        <a:defRPr sz="900">
          <a:solidFill>
            <a:srgbClr val="E2E8F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 sz="1100" b="1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Monthly Weight Loss (kg)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Lost (kg)</c:v>
          </c:tx>
          <c:spPr>
            <a:solidFill>
              <a:srgbClr val="F59E0B"/>
            </a:solidFill>
            <a:ln>
              <a:prstDash val="solid"/>
            </a:ln>
          </c:spPr>
          <c:invertIfNegative val="1"/>
          <c:cat>
            <c:strRef>
              <c:f>'Monthly Analysis'!$A$6:$A$29</c:f>
              <c:strCache>
                <c:ptCount val="24"/>
                <c:pt idx="0">
                  <c:v>sept 2026</c:v>
                </c:pt>
                <c:pt idx="1">
                  <c:v>oct 2026</c:v>
                </c:pt>
                <c:pt idx="2">
                  <c:v>nov 2026</c:v>
                </c:pt>
                <c:pt idx="3">
                  <c:v>déc 2026</c:v>
                </c:pt>
                <c:pt idx="4">
                  <c:v>janv 2027</c:v>
                </c:pt>
                <c:pt idx="5">
                  <c:v>févr 2027</c:v>
                </c:pt>
                <c:pt idx="6">
                  <c:v>mars 2027</c:v>
                </c:pt>
                <c:pt idx="7">
                  <c:v>avr 2027</c:v>
                </c:pt>
                <c:pt idx="8">
                  <c:v>mai 2027</c:v>
                </c:pt>
                <c:pt idx="9">
                  <c:v>juin 2027</c:v>
                </c:pt>
                <c:pt idx="10">
                  <c:v>juil 2027</c:v>
                </c:pt>
                <c:pt idx="11">
                  <c:v>août 2027</c:v>
                </c:pt>
                <c:pt idx="12">
                  <c:v>sept 2027</c:v>
                </c:pt>
                <c:pt idx="13">
                  <c:v>oct 2027</c:v>
                </c:pt>
                <c:pt idx="14">
                  <c:v>nov 2027</c:v>
                </c:pt>
                <c:pt idx="15">
                  <c:v>déc 2027</c:v>
                </c:pt>
                <c:pt idx="16">
                  <c:v>janv 2028</c:v>
                </c:pt>
                <c:pt idx="17">
                  <c:v>févr 2028</c:v>
                </c:pt>
                <c:pt idx="18">
                  <c:v>mars 2028</c:v>
                </c:pt>
                <c:pt idx="19">
                  <c:v>avr 2028</c:v>
                </c:pt>
                <c:pt idx="20">
                  <c:v>mai 2028</c:v>
                </c:pt>
                <c:pt idx="21">
                  <c:v>juin 2028</c:v>
                </c:pt>
                <c:pt idx="22">
                  <c:v>juil 2028</c:v>
                </c:pt>
                <c:pt idx="23">
                  <c:v>août 2028</c:v>
                </c:pt>
              </c:strCache>
            </c:strRef>
          </c:cat>
          <c:val>
            <c:numRef>
              <c:f>'Monthly Analysis'!$L$6:$L$29</c:f>
              <c:numCache>
                <c:formatCode>General</c:formatCode>
                <c:ptCount val="24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091-41DE-9A89-2ECC83F57A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solidFill>
              <a:srgbClr val="334155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94A3B8"/>
                </a:solidFill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kg</a:t>
                </a:r>
              </a:p>
            </c:rich>
          </c:tx>
          <c:layout>
            <c:manualLayout>
              <c:xMode val="edge"/>
              <c:yMode val="edge"/>
              <c:x val="4.9019607843137254E-2"/>
              <c:y val="0.49702992125984252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334155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94A3B8"/>
                </a:solidFill>
              </a:defRPr>
            </a:pPr>
            <a:endParaRPr lang="fr-FR"/>
          </a:p>
        </c:txPr>
        <c:crossAx val="10"/>
        <c:crosses val="autoZero"/>
        <c:crossBetween val="between"/>
      </c:valAx>
      <c:spPr>
        <a:solidFill>
          <a:srgbClr val="1E293B"/>
        </a:solidFill>
      </c:spPr>
    </c:plotArea>
    <c:plotVisOnly val="0"/>
    <c:dispBlanksAs val="gap"/>
    <c:showDLblsOverMax val="1"/>
  </c:chart>
  <c:spPr>
    <a:solidFill>
      <a:srgbClr val="1E293B"/>
    </a:solidFill>
    <a:ln>
      <a:solidFill>
        <a:srgbClr val="334155"/>
      </a:solidFill>
      <a:prstDash val="solid"/>
    </a:ln>
  </c:spPr>
  <c:txPr>
    <a:bodyPr/>
    <a:lstStyle/>
    <a:p>
      <a:pPr>
        <a:defRPr sz="900">
          <a:solidFill>
            <a:srgbClr val="E2E8F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 sz="1100" b="1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BMI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BMI</c:v>
          </c:tx>
          <c:spPr>
            <a:ln w="28575">
              <a:solidFill>
                <a:srgbClr val="8B5CF6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8B5CF6"/>
              </a:solidFill>
              <a:ln>
                <a:solidFill>
                  <a:srgbClr val="8B5CF6"/>
                </a:solidFill>
                <a:prstDash val="solid"/>
              </a:ln>
            </c:spPr>
          </c:marker>
          <c:cat>
            <c:numRef>
              <c:f>'Daily Tracking'!$A$6:$A$735</c:f>
              <c:numCache>
                <c:formatCode>ddd\ dd/mm</c:formatCode>
                <c:ptCount val="730"/>
                <c:pt idx="0">
                  <c:v>46278</c:v>
                </c:pt>
                <c:pt idx="1">
                  <c:v>46279</c:v>
                </c:pt>
                <c:pt idx="2">
                  <c:v>46280</c:v>
                </c:pt>
                <c:pt idx="3">
                  <c:v>46281</c:v>
                </c:pt>
                <c:pt idx="4">
                  <c:v>46282</c:v>
                </c:pt>
                <c:pt idx="5">
                  <c:v>46283</c:v>
                </c:pt>
                <c:pt idx="6">
                  <c:v>46284</c:v>
                </c:pt>
                <c:pt idx="7">
                  <c:v>46285</c:v>
                </c:pt>
                <c:pt idx="8">
                  <c:v>46286</c:v>
                </c:pt>
                <c:pt idx="9">
                  <c:v>46287</c:v>
                </c:pt>
                <c:pt idx="10">
                  <c:v>46288</c:v>
                </c:pt>
                <c:pt idx="11">
                  <c:v>46289</c:v>
                </c:pt>
                <c:pt idx="12">
                  <c:v>46290</c:v>
                </c:pt>
                <c:pt idx="13">
                  <c:v>46291</c:v>
                </c:pt>
                <c:pt idx="14">
                  <c:v>46292</c:v>
                </c:pt>
                <c:pt idx="15">
                  <c:v>46293</c:v>
                </c:pt>
                <c:pt idx="16">
                  <c:v>46294</c:v>
                </c:pt>
                <c:pt idx="17">
                  <c:v>46295</c:v>
                </c:pt>
                <c:pt idx="18">
                  <c:v>46296</c:v>
                </c:pt>
                <c:pt idx="19">
                  <c:v>46297</c:v>
                </c:pt>
                <c:pt idx="20">
                  <c:v>46298</c:v>
                </c:pt>
                <c:pt idx="21">
                  <c:v>46299</c:v>
                </c:pt>
                <c:pt idx="22">
                  <c:v>46300</c:v>
                </c:pt>
                <c:pt idx="23">
                  <c:v>46301</c:v>
                </c:pt>
                <c:pt idx="24">
                  <c:v>46302</c:v>
                </c:pt>
                <c:pt idx="25">
                  <c:v>46303</c:v>
                </c:pt>
                <c:pt idx="26">
                  <c:v>46304</c:v>
                </c:pt>
                <c:pt idx="27">
                  <c:v>46305</c:v>
                </c:pt>
                <c:pt idx="28">
                  <c:v>46306</c:v>
                </c:pt>
                <c:pt idx="29">
                  <c:v>46307</c:v>
                </c:pt>
                <c:pt idx="30">
                  <c:v>46308</c:v>
                </c:pt>
                <c:pt idx="31">
                  <c:v>46309</c:v>
                </c:pt>
                <c:pt idx="32">
                  <c:v>46310</c:v>
                </c:pt>
                <c:pt idx="33">
                  <c:v>46311</c:v>
                </c:pt>
                <c:pt idx="34">
                  <c:v>46312</c:v>
                </c:pt>
                <c:pt idx="35">
                  <c:v>46313</c:v>
                </c:pt>
                <c:pt idx="36">
                  <c:v>46314</c:v>
                </c:pt>
                <c:pt idx="37">
                  <c:v>46315</c:v>
                </c:pt>
                <c:pt idx="38">
                  <c:v>46316</c:v>
                </c:pt>
                <c:pt idx="39">
                  <c:v>46317</c:v>
                </c:pt>
                <c:pt idx="40">
                  <c:v>46318</c:v>
                </c:pt>
                <c:pt idx="41">
                  <c:v>46319</c:v>
                </c:pt>
                <c:pt idx="42">
                  <c:v>46320</c:v>
                </c:pt>
                <c:pt idx="43">
                  <c:v>46321</c:v>
                </c:pt>
                <c:pt idx="44">
                  <c:v>46322</c:v>
                </c:pt>
                <c:pt idx="45">
                  <c:v>46323</c:v>
                </c:pt>
                <c:pt idx="46">
                  <c:v>46324</c:v>
                </c:pt>
                <c:pt idx="47">
                  <c:v>46325</c:v>
                </c:pt>
                <c:pt idx="48">
                  <c:v>46326</c:v>
                </c:pt>
                <c:pt idx="49">
                  <c:v>46327</c:v>
                </c:pt>
                <c:pt idx="50">
                  <c:v>46328</c:v>
                </c:pt>
                <c:pt idx="51">
                  <c:v>46329</c:v>
                </c:pt>
                <c:pt idx="52">
                  <c:v>46330</c:v>
                </c:pt>
                <c:pt idx="53">
                  <c:v>46331</c:v>
                </c:pt>
                <c:pt idx="54">
                  <c:v>46332</c:v>
                </c:pt>
                <c:pt idx="55">
                  <c:v>46333</c:v>
                </c:pt>
                <c:pt idx="56">
                  <c:v>46334</c:v>
                </c:pt>
                <c:pt idx="57">
                  <c:v>46335</c:v>
                </c:pt>
                <c:pt idx="58">
                  <c:v>46336</c:v>
                </c:pt>
                <c:pt idx="59">
                  <c:v>46337</c:v>
                </c:pt>
                <c:pt idx="60">
                  <c:v>46338</c:v>
                </c:pt>
                <c:pt idx="61">
                  <c:v>46339</c:v>
                </c:pt>
                <c:pt idx="62">
                  <c:v>46340</c:v>
                </c:pt>
                <c:pt idx="63">
                  <c:v>46341</c:v>
                </c:pt>
                <c:pt idx="64">
                  <c:v>46342</c:v>
                </c:pt>
                <c:pt idx="65">
                  <c:v>46343</c:v>
                </c:pt>
                <c:pt idx="66">
                  <c:v>46344</c:v>
                </c:pt>
                <c:pt idx="67">
                  <c:v>46345</c:v>
                </c:pt>
                <c:pt idx="68">
                  <c:v>46346</c:v>
                </c:pt>
                <c:pt idx="69">
                  <c:v>46347</c:v>
                </c:pt>
                <c:pt idx="70">
                  <c:v>46348</c:v>
                </c:pt>
                <c:pt idx="71">
                  <c:v>46349</c:v>
                </c:pt>
                <c:pt idx="72">
                  <c:v>46350</c:v>
                </c:pt>
                <c:pt idx="73">
                  <c:v>46351</c:v>
                </c:pt>
                <c:pt idx="74">
                  <c:v>46352</c:v>
                </c:pt>
                <c:pt idx="75">
                  <c:v>46353</c:v>
                </c:pt>
                <c:pt idx="76">
                  <c:v>46354</c:v>
                </c:pt>
                <c:pt idx="77">
                  <c:v>46355</c:v>
                </c:pt>
                <c:pt idx="78">
                  <c:v>46356</c:v>
                </c:pt>
                <c:pt idx="79">
                  <c:v>46357</c:v>
                </c:pt>
                <c:pt idx="80">
                  <c:v>46358</c:v>
                </c:pt>
                <c:pt idx="81">
                  <c:v>46359</c:v>
                </c:pt>
                <c:pt idx="82">
                  <c:v>46360</c:v>
                </c:pt>
                <c:pt idx="83">
                  <c:v>46361</c:v>
                </c:pt>
                <c:pt idx="84">
                  <c:v>46362</c:v>
                </c:pt>
                <c:pt idx="85">
                  <c:v>46363</c:v>
                </c:pt>
                <c:pt idx="86">
                  <c:v>46364</c:v>
                </c:pt>
                <c:pt idx="87">
                  <c:v>46365</c:v>
                </c:pt>
                <c:pt idx="88">
                  <c:v>46366</c:v>
                </c:pt>
                <c:pt idx="89">
                  <c:v>46367</c:v>
                </c:pt>
                <c:pt idx="90">
                  <c:v>46368</c:v>
                </c:pt>
                <c:pt idx="91">
                  <c:v>46369</c:v>
                </c:pt>
                <c:pt idx="92">
                  <c:v>46370</c:v>
                </c:pt>
                <c:pt idx="93">
                  <c:v>46371</c:v>
                </c:pt>
                <c:pt idx="94">
                  <c:v>46372</c:v>
                </c:pt>
                <c:pt idx="95">
                  <c:v>46373</c:v>
                </c:pt>
                <c:pt idx="96">
                  <c:v>46374</c:v>
                </c:pt>
                <c:pt idx="97">
                  <c:v>46375</c:v>
                </c:pt>
                <c:pt idx="98">
                  <c:v>46376</c:v>
                </c:pt>
                <c:pt idx="99">
                  <c:v>46377</c:v>
                </c:pt>
                <c:pt idx="100">
                  <c:v>46378</c:v>
                </c:pt>
                <c:pt idx="101">
                  <c:v>46379</c:v>
                </c:pt>
                <c:pt idx="102">
                  <c:v>46380</c:v>
                </c:pt>
                <c:pt idx="103">
                  <c:v>46381</c:v>
                </c:pt>
                <c:pt idx="104">
                  <c:v>46382</c:v>
                </c:pt>
                <c:pt idx="105">
                  <c:v>46383</c:v>
                </c:pt>
                <c:pt idx="106">
                  <c:v>46384</c:v>
                </c:pt>
                <c:pt idx="107">
                  <c:v>46385</c:v>
                </c:pt>
                <c:pt idx="108">
                  <c:v>46386</c:v>
                </c:pt>
                <c:pt idx="109">
                  <c:v>46387</c:v>
                </c:pt>
                <c:pt idx="110">
                  <c:v>46388</c:v>
                </c:pt>
                <c:pt idx="111">
                  <c:v>46389</c:v>
                </c:pt>
                <c:pt idx="112">
                  <c:v>46390</c:v>
                </c:pt>
                <c:pt idx="113">
                  <c:v>46391</c:v>
                </c:pt>
                <c:pt idx="114">
                  <c:v>46392</c:v>
                </c:pt>
                <c:pt idx="115">
                  <c:v>46393</c:v>
                </c:pt>
                <c:pt idx="116">
                  <c:v>46394</c:v>
                </c:pt>
                <c:pt idx="117">
                  <c:v>46395</c:v>
                </c:pt>
                <c:pt idx="118">
                  <c:v>46396</c:v>
                </c:pt>
                <c:pt idx="119">
                  <c:v>46397</c:v>
                </c:pt>
                <c:pt idx="120">
                  <c:v>46398</c:v>
                </c:pt>
                <c:pt idx="121">
                  <c:v>46399</c:v>
                </c:pt>
                <c:pt idx="122">
                  <c:v>46400</c:v>
                </c:pt>
                <c:pt idx="123">
                  <c:v>46401</c:v>
                </c:pt>
                <c:pt idx="124">
                  <c:v>46402</c:v>
                </c:pt>
                <c:pt idx="125">
                  <c:v>46403</c:v>
                </c:pt>
                <c:pt idx="126">
                  <c:v>46404</c:v>
                </c:pt>
                <c:pt idx="127">
                  <c:v>46405</c:v>
                </c:pt>
                <c:pt idx="128">
                  <c:v>46406</c:v>
                </c:pt>
                <c:pt idx="129">
                  <c:v>46407</c:v>
                </c:pt>
                <c:pt idx="130">
                  <c:v>46408</c:v>
                </c:pt>
                <c:pt idx="131">
                  <c:v>46409</c:v>
                </c:pt>
                <c:pt idx="132">
                  <c:v>46410</c:v>
                </c:pt>
                <c:pt idx="133">
                  <c:v>46411</c:v>
                </c:pt>
                <c:pt idx="134">
                  <c:v>46412</c:v>
                </c:pt>
                <c:pt idx="135">
                  <c:v>46413</c:v>
                </c:pt>
                <c:pt idx="136">
                  <c:v>46414</c:v>
                </c:pt>
                <c:pt idx="137">
                  <c:v>46415</c:v>
                </c:pt>
                <c:pt idx="138">
                  <c:v>46416</c:v>
                </c:pt>
                <c:pt idx="139">
                  <c:v>46417</c:v>
                </c:pt>
                <c:pt idx="140">
                  <c:v>46418</c:v>
                </c:pt>
                <c:pt idx="141">
                  <c:v>46419</c:v>
                </c:pt>
                <c:pt idx="142">
                  <c:v>46420</c:v>
                </c:pt>
                <c:pt idx="143">
                  <c:v>46421</c:v>
                </c:pt>
                <c:pt idx="144">
                  <c:v>46422</c:v>
                </c:pt>
                <c:pt idx="145">
                  <c:v>46423</c:v>
                </c:pt>
                <c:pt idx="146">
                  <c:v>46424</c:v>
                </c:pt>
                <c:pt idx="147">
                  <c:v>46425</c:v>
                </c:pt>
                <c:pt idx="148">
                  <c:v>46426</c:v>
                </c:pt>
                <c:pt idx="149">
                  <c:v>46427</c:v>
                </c:pt>
                <c:pt idx="150">
                  <c:v>46428</c:v>
                </c:pt>
                <c:pt idx="151">
                  <c:v>46429</c:v>
                </c:pt>
                <c:pt idx="152">
                  <c:v>46430</c:v>
                </c:pt>
                <c:pt idx="153">
                  <c:v>46431</c:v>
                </c:pt>
                <c:pt idx="154">
                  <c:v>46432</c:v>
                </c:pt>
                <c:pt idx="155">
                  <c:v>46433</c:v>
                </c:pt>
                <c:pt idx="156">
                  <c:v>46434</c:v>
                </c:pt>
                <c:pt idx="157">
                  <c:v>46435</c:v>
                </c:pt>
                <c:pt idx="158">
                  <c:v>46436</c:v>
                </c:pt>
                <c:pt idx="159">
                  <c:v>46437</c:v>
                </c:pt>
                <c:pt idx="160">
                  <c:v>46438</c:v>
                </c:pt>
                <c:pt idx="161">
                  <c:v>46439</c:v>
                </c:pt>
                <c:pt idx="162">
                  <c:v>46440</c:v>
                </c:pt>
                <c:pt idx="163">
                  <c:v>46441</c:v>
                </c:pt>
                <c:pt idx="164">
                  <c:v>46442</c:v>
                </c:pt>
                <c:pt idx="165">
                  <c:v>46443</c:v>
                </c:pt>
                <c:pt idx="166">
                  <c:v>46444</c:v>
                </c:pt>
                <c:pt idx="167">
                  <c:v>46445</c:v>
                </c:pt>
                <c:pt idx="168">
                  <c:v>46446</c:v>
                </c:pt>
                <c:pt idx="169">
                  <c:v>46447</c:v>
                </c:pt>
                <c:pt idx="170">
                  <c:v>46448</c:v>
                </c:pt>
                <c:pt idx="171">
                  <c:v>46449</c:v>
                </c:pt>
                <c:pt idx="172">
                  <c:v>46450</c:v>
                </c:pt>
                <c:pt idx="173">
                  <c:v>46451</c:v>
                </c:pt>
                <c:pt idx="174">
                  <c:v>46452</c:v>
                </c:pt>
                <c:pt idx="175">
                  <c:v>46453</c:v>
                </c:pt>
                <c:pt idx="176">
                  <c:v>46454</c:v>
                </c:pt>
                <c:pt idx="177">
                  <c:v>46455</c:v>
                </c:pt>
                <c:pt idx="178">
                  <c:v>46456</c:v>
                </c:pt>
                <c:pt idx="179">
                  <c:v>46457</c:v>
                </c:pt>
                <c:pt idx="180">
                  <c:v>46458</c:v>
                </c:pt>
                <c:pt idx="181">
                  <c:v>46459</c:v>
                </c:pt>
                <c:pt idx="182">
                  <c:v>46460</c:v>
                </c:pt>
                <c:pt idx="183">
                  <c:v>46461</c:v>
                </c:pt>
                <c:pt idx="184">
                  <c:v>46462</c:v>
                </c:pt>
                <c:pt idx="185">
                  <c:v>46463</c:v>
                </c:pt>
                <c:pt idx="186">
                  <c:v>46464</c:v>
                </c:pt>
                <c:pt idx="187">
                  <c:v>46465</c:v>
                </c:pt>
                <c:pt idx="188">
                  <c:v>46466</c:v>
                </c:pt>
                <c:pt idx="189">
                  <c:v>46467</c:v>
                </c:pt>
                <c:pt idx="190">
                  <c:v>46468</c:v>
                </c:pt>
                <c:pt idx="191">
                  <c:v>46469</c:v>
                </c:pt>
                <c:pt idx="192">
                  <c:v>46470</c:v>
                </c:pt>
                <c:pt idx="193">
                  <c:v>46471</c:v>
                </c:pt>
                <c:pt idx="194">
                  <c:v>46472</c:v>
                </c:pt>
                <c:pt idx="195">
                  <c:v>46473</c:v>
                </c:pt>
                <c:pt idx="196">
                  <c:v>46474</c:v>
                </c:pt>
                <c:pt idx="197">
                  <c:v>46475</c:v>
                </c:pt>
                <c:pt idx="198">
                  <c:v>46476</c:v>
                </c:pt>
                <c:pt idx="199">
                  <c:v>46477</c:v>
                </c:pt>
                <c:pt idx="200">
                  <c:v>46478</c:v>
                </c:pt>
                <c:pt idx="201">
                  <c:v>46479</c:v>
                </c:pt>
                <c:pt idx="202">
                  <c:v>46480</c:v>
                </c:pt>
                <c:pt idx="203">
                  <c:v>46481</c:v>
                </c:pt>
                <c:pt idx="204">
                  <c:v>46482</c:v>
                </c:pt>
                <c:pt idx="205">
                  <c:v>46483</c:v>
                </c:pt>
                <c:pt idx="206">
                  <c:v>46484</c:v>
                </c:pt>
                <c:pt idx="207">
                  <c:v>46485</c:v>
                </c:pt>
                <c:pt idx="208">
                  <c:v>46486</c:v>
                </c:pt>
                <c:pt idx="209">
                  <c:v>46487</c:v>
                </c:pt>
                <c:pt idx="210">
                  <c:v>46488</c:v>
                </c:pt>
                <c:pt idx="211">
                  <c:v>46489</c:v>
                </c:pt>
                <c:pt idx="212">
                  <c:v>46490</c:v>
                </c:pt>
                <c:pt idx="213">
                  <c:v>46491</c:v>
                </c:pt>
                <c:pt idx="214">
                  <c:v>46492</c:v>
                </c:pt>
                <c:pt idx="215">
                  <c:v>46493</c:v>
                </c:pt>
                <c:pt idx="216">
                  <c:v>46494</c:v>
                </c:pt>
                <c:pt idx="217">
                  <c:v>46495</c:v>
                </c:pt>
                <c:pt idx="218">
                  <c:v>46496</c:v>
                </c:pt>
                <c:pt idx="219">
                  <c:v>46497</c:v>
                </c:pt>
                <c:pt idx="220">
                  <c:v>46498</c:v>
                </c:pt>
                <c:pt idx="221">
                  <c:v>46499</c:v>
                </c:pt>
                <c:pt idx="222">
                  <c:v>46500</c:v>
                </c:pt>
                <c:pt idx="223">
                  <c:v>46501</c:v>
                </c:pt>
                <c:pt idx="224">
                  <c:v>46502</c:v>
                </c:pt>
                <c:pt idx="225">
                  <c:v>46503</c:v>
                </c:pt>
                <c:pt idx="226">
                  <c:v>46504</c:v>
                </c:pt>
                <c:pt idx="227">
                  <c:v>46505</c:v>
                </c:pt>
                <c:pt idx="228">
                  <c:v>46506</c:v>
                </c:pt>
                <c:pt idx="229">
                  <c:v>46507</c:v>
                </c:pt>
                <c:pt idx="230">
                  <c:v>46508</c:v>
                </c:pt>
                <c:pt idx="231">
                  <c:v>46509</c:v>
                </c:pt>
                <c:pt idx="232">
                  <c:v>46510</c:v>
                </c:pt>
                <c:pt idx="233">
                  <c:v>46511</c:v>
                </c:pt>
                <c:pt idx="234">
                  <c:v>46512</c:v>
                </c:pt>
                <c:pt idx="235">
                  <c:v>46513</c:v>
                </c:pt>
                <c:pt idx="236">
                  <c:v>46514</c:v>
                </c:pt>
                <c:pt idx="237">
                  <c:v>46515</c:v>
                </c:pt>
                <c:pt idx="238">
                  <c:v>46516</c:v>
                </c:pt>
                <c:pt idx="239">
                  <c:v>46517</c:v>
                </c:pt>
                <c:pt idx="240">
                  <c:v>46518</c:v>
                </c:pt>
                <c:pt idx="241">
                  <c:v>46519</c:v>
                </c:pt>
                <c:pt idx="242">
                  <c:v>46520</c:v>
                </c:pt>
                <c:pt idx="243">
                  <c:v>46521</c:v>
                </c:pt>
                <c:pt idx="244">
                  <c:v>46522</c:v>
                </c:pt>
                <c:pt idx="245">
                  <c:v>46523</c:v>
                </c:pt>
                <c:pt idx="246">
                  <c:v>46524</c:v>
                </c:pt>
                <c:pt idx="247">
                  <c:v>46525</c:v>
                </c:pt>
                <c:pt idx="248">
                  <c:v>46526</c:v>
                </c:pt>
                <c:pt idx="249">
                  <c:v>46527</c:v>
                </c:pt>
                <c:pt idx="250">
                  <c:v>46528</c:v>
                </c:pt>
                <c:pt idx="251">
                  <c:v>46529</c:v>
                </c:pt>
                <c:pt idx="252">
                  <c:v>46530</c:v>
                </c:pt>
                <c:pt idx="253">
                  <c:v>46531</c:v>
                </c:pt>
                <c:pt idx="254">
                  <c:v>46532</c:v>
                </c:pt>
                <c:pt idx="255">
                  <c:v>46533</c:v>
                </c:pt>
                <c:pt idx="256">
                  <c:v>46534</c:v>
                </c:pt>
                <c:pt idx="257">
                  <c:v>46535</c:v>
                </c:pt>
                <c:pt idx="258">
                  <c:v>46536</c:v>
                </c:pt>
                <c:pt idx="259">
                  <c:v>46537</c:v>
                </c:pt>
                <c:pt idx="260">
                  <c:v>46538</c:v>
                </c:pt>
                <c:pt idx="261">
                  <c:v>46539</c:v>
                </c:pt>
                <c:pt idx="262">
                  <c:v>46540</c:v>
                </c:pt>
                <c:pt idx="263">
                  <c:v>46541</c:v>
                </c:pt>
                <c:pt idx="264">
                  <c:v>46542</c:v>
                </c:pt>
                <c:pt idx="265">
                  <c:v>46543</c:v>
                </c:pt>
                <c:pt idx="266">
                  <c:v>46544</c:v>
                </c:pt>
                <c:pt idx="267">
                  <c:v>46545</c:v>
                </c:pt>
                <c:pt idx="268">
                  <c:v>46546</c:v>
                </c:pt>
                <c:pt idx="269">
                  <c:v>46547</c:v>
                </c:pt>
                <c:pt idx="270">
                  <c:v>46548</c:v>
                </c:pt>
                <c:pt idx="271">
                  <c:v>46549</c:v>
                </c:pt>
                <c:pt idx="272">
                  <c:v>46550</c:v>
                </c:pt>
                <c:pt idx="273">
                  <c:v>46551</c:v>
                </c:pt>
                <c:pt idx="274">
                  <c:v>46552</c:v>
                </c:pt>
                <c:pt idx="275">
                  <c:v>46553</c:v>
                </c:pt>
                <c:pt idx="276">
                  <c:v>46554</c:v>
                </c:pt>
                <c:pt idx="277">
                  <c:v>46555</c:v>
                </c:pt>
                <c:pt idx="278">
                  <c:v>46556</c:v>
                </c:pt>
                <c:pt idx="279">
                  <c:v>46557</c:v>
                </c:pt>
                <c:pt idx="280">
                  <c:v>46558</c:v>
                </c:pt>
                <c:pt idx="281">
                  <c:v>46559</c:v>
                </c:pt>
                <c:pt idx="282">
                  <c:v>46560</c:v>
                </c:pt>
                <c:pt idx="283">
                  <c:v>46561</c:v>
                </c:pt>
                <c:pt idx="284">
                  <c:v>46562</c:v>
                </c:pt>
                <c:pt idx="285">
                  <c:v>46563</c:v>
                </c:pt>
                <c:pt idx="286">
                  <c:v>46564</c:v>
                </c:pt>
                <c:pt idx="287">
                  <c:v>46565</c:v>
                </c:pt>
                <c:pt idx="288">
                  <c:v>46566</c:v>
                </c:pt>
                <c:pt idx="289">
                  <c:v>46567</c:v>
                </c:pt>
                <c:pt idx="290">
                  <c:v>46568</c:v>
                </c:pt>
                <c:pt idx="291">
                  <c:v>46569</c:v>
                </c:pt>
                <c:pt idx="292">
                  <c:v>46570</c:v>
                </c:pt>
                <c:pt idx="293">
                  <c:v>46571</c:v>
                </c:pt>
                <c:pt idx="294">
                  <c:v>46572</c:v>
                </c:pt>
                <c:pt idx="295">
                  <c:v>46573</c:v>
                </c:pt>
                <c:pt idx="296">
                  <c:v>46574</c:v>
                </c:pt>
                <c:pt idx="297">
                  <c:v>46575</c:v>
                </c:pt>
                <c:pt idx="298">
                  <c:v>46576</c:v>
                </c:pt>
                <c:pt idx="299">
                  <c:v>46577</c:v>
                </c:pt>
                <c:pt idx="300">
                  <c:v>46578</c:v>
                </c:pt>
                <c:pt idx="301">
                  <c:v>46579</c:v>
                </c:pt>
                <c:pt idx="302">
                  <c:v>46580</c:v>
                </c:pt>
                <c:pt idx="303">
                  <c:v>46581</c:v>
                </c:pt>
                <c:pt idx="304">
                  <c:v>46582</c:v>
                </c:pt>
                <c:pt idx="305">
                  <c:v>46583</c:v>
                </c:pt>
                <c:pt idx="306">
                  <c:v>46584</c:v>
                </c:pt>
                <c:pt idx="307">
                  <c:v>46585</c:v>
                </c:pt>
                <c:pt idx="308">
                  <c:v>46586</c:v>
                </c:pt>
                <c:pt idx="309">
                  <c:v>46587</c:v>
                </c:pt>
                <c:pt idx="310">
                  <c:v>46588</c:v>
                </c:pt>
                <c:pt idx="311">
                  <c:v>46589</c:v>
                </c:pt>
                <c:pt idx="312">
                  <c:v>46590</c:v>
                </c:pt>
                <c:pt idx="313">
                  <c:v>46591</c:v>
                </c:pt>
                <c:pt idx="314">
                  <c:v>46592</c:v>
                </c:pt>
                <c:pt idx="315">
                  <c:v>46593</c:v>
                </c:pt>
                <c:pt idx="316">
                  <c:v>46594</c:v>
                </c:pt>
                <c:pt idx="317">
                  <c:v>46595</c:v>
                </c:pt>
                <c:pt idx="318">
                  <c:v>46596</c:v>
                </c:pt>
                <c:pt idx="319">
                  <c:v>46597</c:v>
                </c:pt>
                <c:pt idx="320">
                  <c:v>46598</c:v>
                </c:pt>
                <c:pt idx="321">
                  <c:v>46599</c:v>
                </c:pt>
                <c:pt idx="322">
                  <c:v>46600</c:v>
                </c:pt>
                <c:pt idx="323">
                  <c:v>46601</c:v>
                </c:pt>
                <c:pt idx="324">
                  <c:v>46602</c:v>
                </c:pt>
                <c:pt idx="325">
                  <c:v>46603</c:v>
                </c:pt>
                <c:pt idx="326">
                  <c:v>46604</c:v>
                </c:pt>
                <c:pt idx="327">
                  <c:v>46605</c:v>
                </c:pt>
                <c:pt idx="328">
                  <c:v>46606</c:v>
                </c:pt>
                <c:pt idx="329">
                  <c:v>46607</c:v>
                </c:pt>
                <c:pt idx="330">
                  <c:v>46608</c:v>
                </c:pt>
                <c:pt idx="331">
                  <c:v>46609</c:v>
                </c:pt>
                <c:pt idx="332">
                  <c:v>46610</c:v>
                </c:pt>
                <c:pt idx="333">
                  <c:v>46611</c:v>
                </c:pt>
                <c:pt idx="334">
                  <c:v>46612</c:v>
                </c:pt>
                <c:pt idx="335">
                  <c:v>46613</c:v>
                </c:pt>
                <c:pt idx="336">
                  <c:v>46614</c:v>
                </c:pt>
                <c:pt idx="337">
                  <c:v>46615</c:v>
                </c:pt>
                <c:pt idx="338">
                  <c:v>46616</c:v>
                </c:pt>
                <c:pt idx="339">
                  <c:v>46617</c:v>
                </c:pt>
                <c:pt idx="340">
                  <c:v>46618</c:v>
                </c:pt>
                <c:pt idx="341">
                  <c:v>46619</c:v>
                </c:pt>
                <c:pt idx="342">
                  <c:v>46620</c:v>
                </c:pt>
                <c:pt idx="343">
                  <c:v>46621</c:v>
                </c:pt>
                <c:pt idx="344">
                  <c:v>46622</c:v>
                </c:pt>
                <c:pt idx="345">
                  <c:v>46623</c:v>
                </c:pt>
                <c:pt idx="346">
                  <c:v>46624</c:v>
                </c:pt>
                <c:pt idx="347">
                  <c:v>46625</c:v>
                </c:pt>
                <c:pt idx="348">
                  <c:v>46626</c:v>
                </c:pt>
                <c:pt idx="349">
                  <c:v>46627</c:v>
                </c:pt>
                <c:pt idx="350">
                  <c:v>46628</c:v>
                </c:pt>
                <c:pt idx="351">
                  <c:v>46629</c:v>
                </c:pt>
                <c:pt idx="352">
                  <c:v>46630</c:v>
                </c:pt>
                <c:pt idx="353">
                  <c:v>46631</c:v>
                </c:pt>
                <c:pt idx="354">
                  <c:v>46632</c:v>
                </c:pt>
                <c:pt idx="355">
                  <c:v>46633</c:v>
                </c:pt>
                <c:pt idx="356">
                  <c:v>46634</c:v>
                </c:pt>
                <c:pt idx="357">
                  <c:v>46635</c:v>
                </c:pt>
                <c:pt idx="358">
                  <c:v>46636</c:v>
                </c:pt>
                <c:pt idx="359">
                  <c:v>46637</c:v>
                </c:pt>
                <c:pt idx="360">
                  <c:v>46638</c:v>
                </c:pt>
                <c:pt idx="361">
                  <c:v>46639</c:v>
                </c:pt>
                <c:pt idx="362">
                  <c:v>46640</c:v>
                </c:pt>
                <c:pt idx="363">
                  <c:v>46641</c:v>
                </c:pt>
                <c:pt idx="364">
                  <c:v>46642</c:v>
                </c:pt>
                <c:pt idx="365">
                  <c:v>46643</c:v>
                </c:pt>
                <c:pt idx="366">
                  <c:v>46644</c:v>
                </c:pt>
                <c:pt idx="367">
                  <c:v>46645</c:v>
                </c:pt>
                <c:pt idx="368">
                  <c:v>46646</c:v>
                </c:pt>
                <c:pt idx="369">
                  <c:v>46647</c:v>
                </c:pt>
                <c:pt idx="370">
                  <c:v>46648</c:v>
                </c:pt>
                <c:pt idx="371">
                  <c:v>46649</c:v>
                </c:pt>
                <c:pt idx="372">
                  <c:v>46650</c:v>
                </c:pt>
                <c:pt idx="373">
                  <c:v>46651</c:v>
                </c:pt>
                <c:pt idx="374">
                  <c:v>46652</c:v>
                </c:pt>
                <c:pt idx="375">
                  <c:v>46653</c:v>
                </c:pt>
                <c:pt idx="376">
                  <c:v>46654</c:v>
                </c:pt>
                <c:pt idx="377">
                  <c:v>46655</c:v>
                </c:pt>
                <c:pt idx="378">
                  <c:v>46656</c:v>
                </c:pt>
                <c:pt idx="379">
                  <c:v>46657</c:v>
                </c:pt>
                <c:pt idx="380">
                  <c:v>46658</c:v>
                </c:pt>
                <c:pt idx="381">
                  <c:v>46659</c:v>
                </c:pt>
                <c:pt idx="382">
                  <c:v>46660</c:v>
                </c:pt>
                <c:pt idx="383">
                  <c:v>46661</c:v>
                </c:pt>
                <c:pt idx="384">
                  <c:v>46662</c:v>
                </c:pt>
                <c:pt idx="385">
                  <c:v>46663</c:v>
                </c:pt>
                <c:pt idx="386">
                  <c:v>46664</c:v>
                </c:pt>
                <c:pt idx="387">
                  <c:v>46665</c:v>
                </c:pt>
                <c:pt idx="388">
                  <c:v>46666</c:v>
                </c:pt>
                <c:pt idx="389">
                  <c:v>46667</c:v>
                </c:pt>
                <c:pt idx="390">
                  <c:v>46668</c:v>
                </c:pt>
                <c:pt idx="391">
                  <c:v>46669</c:v>
                </c:pt>
                <c:pt idx="392">
                  <c:v>46670</c:v>
                </c:pt>
                <c:pt idx="393">
                  <c:v>46671</c:v>
                </c:pt>
                <c:pt idx="394">
                  <c:v>46672</c:v>
                </c:pt>
                <c:pt idx="395">
                  <c:v>46673</c:v>
                </c:pt>
                <c:pt idx="396">
                  <c:v>46674</c:v>
                </c:pt>
                <c:pt idx="397">
                  <c:v>46675</c:v>
                </c:pt>
                <c:pt idx="398">
                  <c:v>46676</c:v>
                </c:pt>
                <c:pt idx="399">
                  <c:v>46677</c:v>
                </c:pt>
                <c:pt idx="400">
                  <c:v>46678</c:v>
                </c:pt>
                <c:pt idx="401">
                  <c:v>46679</c:v>
                </c:pt>
                <c:pt idx="402">
                  <c:v>46680</c:v>
                </c:pt>
                <c:pt idx="403">
                  <c:v>46681</c:v>
                </c:pt>
                <c:pt idx="404">
                  <c:v>46682</c:v>
                </c:pt>
                <c:pt idx="405">
                  <c:v>46683</c:v>
                </c:pt>
                <c:pt idx="406">
                  <c:v>46684</c:v>
                </c:pt>
                <c:pt idx="407">
                  <c:v>46685</c:v>
                </c:pt>
                <c:pt idx="408">
                  <c:v>46686</c:v>
                </c:pt>
                <c:pt idx="409">
                  <c:v>46687</c:v>
                </c:pt>
                <c:pt idx="410">
                  <c:v>46688</c:v>
                </c:pt>
                <c:pt idx="411">
                  <c:v>46689</c:v>
                </c:pt>
                <c:pt idx="412">
                  <c:v>46690</c:v>
                </c:pt>
                <c:pt idx="413">
                  <c:v>46691</c:v>
                </c:pt>
                <c:pt idx="414">
                  <c:v>46692</c:v>
                </c:pt>
                <c:pt idx="415">
                  <c:v>46693</c:v>
                </c:pt>
                <c:pt idx="416">
                  <c:v>46694</c:v>
                </c:pt>
                <c:pt idx="417">
                  <c:v>46695</c:v>
                </c:pt>
                <c:pt idx="418">
                  <c:v>46696</c:v>
                </c:pt>
                <c:pt idx="419">
                  <c:v>46697</c:v>
                </c:pt>
                <c:pt idx="420">
                  <c:v>46698</c:v>
                </c:pt>
                <c:pt idx="421">
                  <c:v>46699</c:v>
                </c:pt>
                <c:pt idx="422">
                  <c:v>46700</c:v>
                </c:pt>
                <c:pt idx="423">
                  <c:v>46701</c:v>
                </c:pt>
                <c:pt idx="424">
                  <c:v>46702</c:v>
                </c:pt>
                <c:pt idx="425">
                  <c:v>46703</c:v>
                </c:pt>
                <c:pt idx="426">
                  <c:v>46704</c:v>
                </c:pt>
                <c:pt idx="427">
                  <c:v>46705</c:v>
                </c:pt>
                <c:pt idx="428">
                  <c:v>46706</c:v>
                </c:pt>
                <c:pt idx="429">
                  <c:v>46707</c:v>
                </c:pt>
                <c:pt idx="430">
                  <c:v>46708</c:v>
                </c:pt>
                <c:pt idx="431">
                  <c:v>46709</c:v>
                </c:pt>
                <c:pt idx="432">
                  <c:v>46710</c:v>
                </c:pt>
                <c:pt idx="433">
                  <c:v>46711</c:v>
                </c:pt>
                <c:pt idx="434">
                  <c:v>46712</c:v>
                </c:pt>
                <c:pt idx="435">
                  <c:v>46713</c:v>
                </c:pt>
                <c:pt idx="436">
                  <c:v>46714</c:v>
                </c:pt>
                <c:pt idx="437">
                  <c:v>46715</c:v>
                </c:pt>
                <c:pt idx="438">
                  <c:v>46716</c:v>
                </c:pt>
                <c:pt idx="439">
                  <c:v>46717</c:v>
                </c:pt>
                <c:pt idx="440">
                  <c:v>46718</c:v>
                </c:pt>
                <c:pt idx="441">
                  <c:v>46719</c:v>
                </c:pt>
                <c:pt idx="442">
                  <c:v>46720</c:v>
                </c:pt>
                <c:pt idx="443">
                  <c:v>46721</c:v>
                </c:pt>
                <c:pt idx="444">
                  <c:v>46722</c:v>
                </c:pt>
                <c:pt idx="445">
                  <c:v>46723</c:v>
                </c:pt>
                <c:pt idx="446">
                  <c:v>46724</c:v>
                </c:pt>
                <c:pt idx="447">
                  <c:v>46725</c:v>
                </c:pt>
                <c:pt idx="448">
                  <c:v>46726</c:v>
                </c:pt>
                <c:pt idx="449">
                  <c:v>46727</c:v>
                </c:pt>
                <c:pt idx="450">
                  <c:v>46728</c:v>
                </c:pt>
                <c:pt idx="451">
                  <c:v>46729</c:v>
                </c:pt>
                <c:pt idx="452">
                  <c:v>46730</c:v>
                </c:pt>
                <c:pt idx="453">
                  <c:v>46731</c:v>
                </c:pt>
                <c:pt idx="454">
                  <c:v>46732</c:v>
                </c:pt>
                <c:pt idx="455">
                  <c:v>46733</c:v>
                </c:pt>
                <c:pt idx="456">
                  <c:v>46734</c:v>
                </c:pt>
                <c:pt idx="457">
                  <c:v>46735</c:v>
                </c:pt>
                <c:pt idx="458">
                  <c:v>46736</c:v>
                </c:pt>
                <c:pt idx="459">
                  <c:v>46737</c:v>
                </c:pt>
                <c:pt idx="460">
                  <c:v>46738</c:v>
                </c:pt>
                <c:pt idx="461">
                  <c:v>46739</c:v>
                </c:pt>
                <c:pt idx="462">
                  <c:v>46740</c:v>
                </c:pt>
                <c:pt idx="463">
                  <c:v>46741</c:v>
                </c:pt>
                <c:pt idx="464">
                  <c:v>46742</c:v>
                </c:pt>
                <c:pt idx="465">
                  <c:v>46743</c:v>
                </c:pt>
                <c:pt idx="466">
                  <c:v>46744</c:v>
                </c:pt>
                <c:pt idx="467">
                  <c:v>46745</c:v>
                </c:pt>
                <c:pt idx="468">
                  <c:v>46746</c:v>
                </c:pt>
                <c:pt idx="469">
                  <c:v>46747</c:v>
                </c:pt>
                <c:pt idx="470">
                  <c:v>46748</c:v>
                </c:pt>
                <c:pt idx="471">
                  <c:v>46749</c:v>
                </c:pt>
                <c:pt idx="472">
                  <c:v>46750</c:v>
                </c:pt>
                <c:pt idx="473">
                  <c:v>46751</c:v>
                </c:pt>
                <c:pt idx="474">
                  <c:v>46752</c:v>
                </c:pt>
                <c:pt idx="475">
                  <c:v>46753</c:v>
                </c:pt>
                <c:pt idx="476">
                  <c:v>46754</c:v>
                </c:pt>
                <c:pt idx="477">
                  <c:v>46755</c:v>
                </c:pt>
                <c:pt idx="478">
                  <c:v>46756</c:v>
                </c:pt>
                <c:pt idx="479">
                  <c:v>46757</c:v>
                </c:pt>
                <c:pt idx="480">
                  <c:v>46758</c:v>
                </c:pt>
                <c:pt idx="481">
                  <c:v>46759</c:v>
                </c:pt>
                <c:pt idx="482">
                  <c:v>46760</c:v>
                </c:pt>
                <c:pt idx="483">
                  <c:v>46761</c:v>
                </c:pt>
                <c:pt idx="484">
                  <c:v>46762</c:v>
                </c:pt>
                <c:pt idx="485">
                  <c:v>46763</c:v>
                </c:pt>
                <c:pt idx="486">
                  <c:v>46764</c:v>
                </c:pt>
                <c:pt idx="487">
                  <c:v>46765</c:v>
                </c:pt>
                <c:pt idx="488">
                  <c:v>46766</c:v>
                </c:pt>
                <c:pt idx="489">
                  <c:v>46767</c:v>
                </c:pt>
                <c:pt idx="490">
                  <c:v>46768</c:v>
                </c:pt>
                <c:pt idx="491">
                  <c:v>46769</c:v>
                </c:pt>
                <c:pt idx="492">
                  <c:v>46770</c:v>
                </c:pt>
                <c:pt idx="493">
                  <c:v>46771</c:v>
                </c:pt>
                <c:pt idx="494">
                  <c:v>46772</c:v>
                </c:pt>
                <c:pt idx="495">
                  <c:v>46773</c:v>
                </c:pt>
                <c:pt idx="496">
                  <c:v>46774</c:v>
                </c:pt>
                <c:pt idx="497">
                  <c:v>46775</c:v>
                </c:pt>
                <c:pt idx="498">
                  <c:v>46776</c:v>
                </c:pt>
                <c:pt idx="499">
                  <c:v>46777</c:v>
                </c:pt>
                <c:pt idx="500">
                  <c:v>46778</c:v>
                </c:pt>
                <c:pt idx="501">
                  <c:v>46779</c:v>
                </c:pt>
                <c:pt idx="502">
                  <c:v>46780</c:v>
                </c:pt>
                <c:pt idx="503">
                  <c:v>46781</c:v>
                </c:pt>
                <c:pt idx="504">
                  <c:v>46782</c:v>
                </c:pt>
                <c:pt idx="505">
                  <c:v>46783</c:v>
                </c:pt>
                <c:pt idx="506">
                  <c:v>46784</c:v>
                </c:pt>
                <c:pt idx="507">
                  <c:v>46785</c:v>
                </c:pt>
                <c:pt idx="508">
                  <c:v>46786</c:v>
                </c:pt>
                <c:pt idx="509">
                  <c:v>46787</c:v>
                </c:pt>
                <c:pt idx="510">
                  <c:v>46788</c:v>
                </c:pt>
                <c:pt idx="511">
                  <c:v>46789</c:v>
                </c:pt>
                <c:pt idx="512">
                  <c:v>46790</c:v>
                </c:pt>
                <c:pt idx="513">
                  <c:v>46791</c:v>
                </c:pt>
                <c:pt idx="514">
                  <c:v>46792</c:v>
                </c:pt>
                <c:pt idx="515">
                  <c:v>46793</c:v>
                </c:pt>
                <c:pt idx="516">
                  <c:v>46794</c:v>
                </c:pt>
                <c:pt idx="517">
                  <c:v>46795</c:v>
                </c:pt>
                <c:pt idx="518">
                  <c:v>46796</c:v>
                </c:pt>
                <c:pt idx="519">
                  <c:v>46797</c:v>
                </c:pt>
                <c:pt idx="520">
                  <c:v>46798</c:v>
                </c:pt>
                <c:pt idx="521">
                  <c:v>46799</c:v>
                </c:pt>
                <c:pt idx="522">
                  <c:v>46800</c:v>
                </c:pt>
                <c:pt idx="523">
                  <c:v>46801</c:v>
                </c:pt>
                <c:pt idx="524">
                  <c:v>46802</c:v>
                </c:pt>
                <c:pt idx="525">
                  <c:v>46803</c:v>
                </c:pt>
                <c:pt idx="526">
                  <c:v>46804</c:v>
                </c:pt>
                <c:pt idx="527">
                  <c:v>46805</c:v>
                </c:pt>
                <c:pt idx="528">
                  <c:v>46806</c:v>
                </c:pt>
                <c:pt idx="529">
                  <c:v>46807</c:v>
                </c:pt>
                <c:pt idx="530">
                  <c:v>46808</c:v>
                </c:pt>
                <c:pt idx="531">
                  <c:v>46809</c:v>
                </c:pt>
                <c:pt idx="532">
                  <c:v>46810</c:v>
                </c:pt>
                <c:pt idx="533">
                  <c:v>46811</c:v>
                </c:pt>
                <c:pt idx="534">
                  <c:v>46812</c:v>
                </c:pt>
                <c:pt idx="535">
                  <c:v>46813</c:v>
                </c:pt>
                <c:pt idx="536">
                  <c:v>46814</c:v>
                </c:pt>
                <c:pt idx="537">
                  <c:v>46815</c:v>
                </c:pt>
                <c:pt idx="538">
                  <c:v>46816</c:v>
                </c:pt>
                <c:pt idx="539">
                  <c:v>46817</c:v>
                </c:pt>
                <c:pt idx="540">
                  <c:v>46818</c:v>
                </c:pt>
                <c:pt idx="541">
                  <c:v>46819</c:v>
                </c:pt>
                <c:pt idx="542">
                  <c:v>46820</c:v>
                </c:pt>
                <c:pt idx="543">
                  <c:v>46821</c:v>
                </c:pt>
                <c:pt idx="544">
                  <c:v>46822</c:v>
                </c:pt>
                <c:pt idx="545">
                  <c:v>46823</c:v>
                </c:pt>
                <c:pt idx="546">
                  <c:v>46824</c:v>
                </c:pt>
                <c:pt idx="547">
                  <c:v>46825</c:v>
                </c:pt>
                <c:pt idx="548">
                  <c:v>46826</c:v>
                </c:pt>
                <c:pt idx="549">
                  <c:v>46827</c:v>
                </c:pt>
                <c:pt idx="550">
                  <c:v>46828</c:v>
                </c:pt>
                <c:pt idx="551">
                  <c:v>46829</c:v>
                </c:pt>
                <c:pt idx="552">
                  <c:v>46830</c:v>
                </c:pt>
                <c:pt idx="553">
                  <c:v>46831</c:v>
                </c:pt>
                <c:pt idx="554">
                  <c:v>46832</c:v>
                </c:pt>
                <c:pt idx="555">
                  <c:v>46833</c:v>
                </c:pt>
                <c:pt idx="556">
                  <c:v>46834</c:v>
                </c:pt>
                <c:pt idx="557">
                  <c:v>46835</c:v>
                </c:pt>
                <c:pt idx="558">
                  <c:v>46836</c:v>
                </c:pt>
                <c:pt idx="559">
                  <c:v>46837</c:v>
                </c:pt>
                <c:pt idx="560">
                  <c:v>46838</c:v>
                </c:pt>
                <c:pt idx="561">
                  <c:v>46839</c:v>
                </c:pt>
                <c:pt idx="562">
                  <c:v>46840</c:v>
                </c:pt>
                <c:pt idx="563">
                  <c:v>46841</c:v>
                </c:pt>
                <c:pt idx="564">
                  <c:v>46842</c:v>
                </c:pt>
                <c:pt idx="565">
                  <c:v>46843</c:v>
                </c:pt>
                <c:pt idx="566">
                  <c:v>46844</c:v>
                </c:pt>
                <c:pt idx="567">
                  <c:v>46845</c:v>
                </c:pt>
                <c:pt idx="568">
                  <c:v>46846</c:v>
                </c:pt>
                <c:pt idx="569">
                  <c:v>46847</c:v>
                </c:pt>
                <c:pt idx="570">
                  <c:v>46848</c:v>
                </c:pt>
                <c:pt idx="571">
                  <c:v>46849</c:v>
                </c:pt>
                <c:pt idx="572">
                  <c:v>46850</c:v>
                </c:pt>
                <c:pt idx="573">
                  <c:v>46851</c:v>
                </c:pt>
                <c:pt idx="574">
                  <c:v>46852</c:v>
                </c:pt>
                <c:pt idx="575">
                  <c:v>46853</c:v>
                </c:pt>
                <c:pt idx="576">
                  <c:v>46854</c:v>
                </c:pt>
                <c:pt idx="577">
                  <c:v>46855</c:v>
                </c:pt>
                <c:pt idx="578">
                  <c:v>46856</c:v>
                </c:pt>
                <c:pt idx="579">
                  <c:v>46857</c:v>
                </c:pt>
                <c:pt idx="580">
                  <c:v>46858</c:v>
                </c:pt>
                <c:pt idx="581">
                  <c:v>46859</c:v>
                </c:pt>
                <c:pt idx="582">
                  <c:v>46860</c:v>
                </c:pt>
                <c:pt idx="583">
                  <c:v>46861</c:v>
                </c:pt>
                <c:pt idx="584">
                  <c:v>46862</c:v>
                </c:pt>
                <c:pt idx="585">
                  <c:v>46863</c:v>
                </c:pt>
                <c:pt idx="586">
                  <c:v>46864</c:v>
                </c:pt>
                <c:pt idx="587">
                  <c:v>46865</c:v>
                </c:pt>
                <c:pt idx="588">
                  <c:v>46866</c:v>
                </c:pt>
                <c:pt idx="589">
                  <c:v>46867</c:v>
                </c:pt>
                <c:pt idx="590">
                  <c:v>46868</c:v>
                </c:pt>
                <c:pt idx="591">
                  <c:v>46869</c:v>
                </c:pt>
                <c:pt idx="592">
                  <c:v>46870</c:v>
                </c:pt>
                <c:pt idx="593">
                  <c:v>46871</c:v>
                </c:pt>
                <c:pt idx="594">
                  <c:v>46872</c:v>
                </c:pt>
                <c:pt idx="595">
                  <c:v>46873</c:v>
                </c:pt>
                <c:pt idx="596">
                  <c:v>46874</c:v>
                </c:pt>
                <c:pt idx="597">
                  <c:v>46875</c:v>
                </c:pt>
                <c:pt idx="598">
                  <c:v>46876</c:v>
                </c:pt>
                <c:pt idx="599">
                  <c:v>46877</c:v>
                </c:pt>
                <c:pt idx="600">
                  <c:v>46878</c:v>
                </c:pt>
                <c:pt idx="601">
                  <c:v>46879</c:v>
                </c:pt>
                <c:pt idx="602">
                  <c:v>46880</c:v>
                </c:pt>
                <c:pt idx="603">
                  <c:v>46881</c:v>
                </c:pt>
                <c:pt idx="604">
                  <c:v>46882</c:v>
                </c:pt>
                <c:pt idx="605">
                  <c:v>46883</c:v>
                </c:pt>
                <c:pt idx="606">
                  <c:v>46884</c:v>
                </c:pt>
                <c:pt idx="607">
                  <c:v>46885</c:v>
                </c:pt>
                <c:pt idx="608">
                  <c:v>46886</c:v>
                </c:pt>
                <c:pt idx="609">
                  <c:v>46887</c:v>
                </c:pt>
                <c:pt idx="610">
                  <c:v>46888</c:v>
                </c:pt>
                <c:pt idx="611">
                  <c:v>46889</c:v>
                </c:pt>
                <c:pt idx="612">
                  <c:v>46890</c:v>
                </c:pt>
                <c:pt idx="613">
                  <c:v>46891</c:v>
                </c:pt>
                <c:pt idx="614">
                  <c:v>46892</c:v>
                </c:pt>
                <c:pt idx="615">
                  <c:v>46893</c:v>
                </c:pt>
                <c:pt idx="616">
                  <c:v>46894</c:v>
                </c:pt>
                <c:pt idx="617">
                  <c:v>46895</c:v>
                </c:pt>
                <c:pt idx="618">
                  <c:v>46896</c:v>
                </c:pt>
                <c:pt idx="619">
                  <c:v>46897</c:v>
                </c:pt>
                <c:pt idx="620">
                  <c:v>46898</c:v>
                </c:pt>
                <c:pt idx="621">
                  <c:v>46899</c:v>
                </c:pt>
                <c:pt idx="622">
                  <c:v>46900</c:v>
                </c:pt>
                <c:pt idx="623">
                  <c:v>46901</c:v>
                </c:pt>
                <c:pt idx="624">
                  <c:v>46902</c:v>
                </c:pt>
                <c:pt idx="625">
                  <c:v>46903</c:v>
                </c:pt>
                <c:pt idx="626">
                  <c:v>46904</c:v>
                </c:pt>
                <c:pt idx="627">
                  <c:v>46905</c:v>
                </c:pt>
                <c:pt idx="628">
                  <c:v>46906</c:v>
                </c:pt>
                <c:pt idx="629">
                  <c:v>46907</c:v>
                </c:pt>
                <c:pt idx="630">
                  <c:v>46908</c:v>
                </c:pt>
                <c:pt idx="631">
                  <c:v>46909</c:v>
                </c:pt>
                <c:pt idx="632">
                  <c:v>46910</c:v>
                </c:pt>
                <c:pt idx="633">
                  <c:v>46911</c:v>
                </c:pt>
                <c:pt idx="634">
                  <c:v>46912</c:v>
                </c:pt>
                <c:pt idx="635">
                  <c:v>46913</c:v>
                </c:pt>
                <c:pt idx="636">
                  <c:v>46914</c:v>
                </c:pt>
                <c:pt idx="637">
                  <c:v>46915</c:v>
                </c:pt>
                <c:pt idx="638">
                  <c:v>46916</c:v>
                </c:pt>
                <c:pt idx="639">
                  <c:v>46917</c:v>
                </c:pt>
                <c:pt idx="640">
                  <c:v>46918</c:v>
                </c:pt>
                <c:pt idx="641">
                  <c:v>46919</c:v>
                </c:pt>
                <c:pt idx="642">
                  <c:v>46920</c:v>
                </c:pt>
                <c:pt idx="643">
                  <c:v>46921</c:v>
                </c:pt>
                <c:pt idx="644">
                  <c:v>46922</c:v>
                </c:pt>
                <c:pt idx="645">
                  <c:v>46923</c:v>
                </c:pt>
                <c:pt idx="646">
                  <c:v>46924</c:v>
                </c:pt>
                <c:pt idx="647">
                  <c:v>46925</c:v>
                </c:pt>
                <c:pt idx="648">
                  <c:v>46926</c:v>
                </c:pt>
                <c:pt idx="649">
                  <c:v>46927</c:v>
                </c:pt>
                <c:pt idx="650">
                  <c:v>46928</c:v>
                </c:pt>
                <c:pt idx="651">
                  <c:v>46929</c:v>
                </c:pt>
                <c:pt idx="652">
                  <c:v>46930</c:v>
                </c:pt>
                <c:pt idx="653">
                  <c:v>46931</c:v>
                </c:pt>
                <c:pt idx="654">
                  <c:v>46932</c:v>
                </c:pt>
                <c:pt idx="655">
                  <c:v>46933</c:v>
                </c:pt>
                <c:pt idx="656">
                  <c:v>46934</c:v>
                </c:pt>
                <c:pt idx="657">
                  <c:v>46935</c:v>
                </c:pt>
                <c:pt idx="658">
                  <c:v>46936</c:v>
                </c:pt>
                <c:pt idx="659">
                  <c:v>46937</c:v>
                </c:pt>
                <c:pt idx="660">
                  <c:v>46938</c:v>
                </c:pt>
                <c:pt idx="661">
                  <c:v>46939</c:v>
                </c:pt>
                <c:pt idx="662">
                  <c:v>46940</c:v>
                </c:pt>
                <c:pt idx="663">
                  <c:v>46941</c:v>
                </c:pt>
                <c:pt idx="664">
                  <c:v>46942</c:v>
                </c:pt>
                <c:pt idx="665">
                  <c:v>46943</c:v>
                </c:pt>
                <c:pt idx="666">
                  <c:v>46944</c:v>
                </c:pt>
                <c:pt idx="667">
                  <c:v>46945</c:v>
                </c:pt>
                <c:pt idx="668">
                  <c:v>46946</c:v>
                </c:pt>
                <c:pt idx="669">
                  <c:v>46947</c:v>
                </c:pt>
                <c:pt idx="670">
                  <c:v>46948</c:v>
                </c:pt>
                <c:pt idx="671">
                  <c:v>46949</c:v>
                </c:pt>
                <c:pt idx="672">
                  <c:v>46950</c:v>
                </c:pt>
                <c:pt idx="673">
                  <c:v>46951</c:v>
                </c:pt>
                <c:pt idx="674">
                  <c:v>46952</c:v>
                </c:pt>
                <c:pt idx="675">
                  <c:v>46953</c:v>
                </c:pt>
                <c:pt idx="676">
                  <c:v>46954</c:v>
                </c:pt>
                <c:pt idx="677">
                  <c:v>46955</c:v>
                </c:pt>
                <c:pt idx="678">
                  <c:v>46956</c:v>
                </c:pt>
                <c:pt idx="679">
                  <c:v>46957</c:v>
                </c:pt>
                <c:pt idx="680">
                  <c:v>46958</c:v>
                </c:pt>
                <c:pt idx="681">
                  <c:v>46959</c:v>
                </c:pt>
                <c:pt idx="682">
                  <c:v>46960</c:v>
                </c:pt>
                <c:pt idx="683">
                  <c:v>46961</c:v>
                </c:pt>
                <c:pt idx="684">
                  <c:v>46962</c:v>
                </c:pt>
                <c:pt idx="685">
                  <c:v>46963</c:v>
                </c:pt>
                <c:pt idx="686">
                  <c:v>46964</c:v>
                </c:pt>
                <c:pt idx="687">
                  <c:v>46965</c:v>
                </c:pt>
                <c:pt idx="688">
                  <c:v>46966</c:v>
                </c:pt>
                <c:pt idx="689">
                  <c:v>46967</c:v>
                </c:pt>
                <c:pt idx="690">
                  <c:v>46968</c:v>
                </c:pt>
                <c:pt idx="691">
                  <c:v>46969</c:v>
                </c:pt>
                <c:pt idx="692">
                  <c:v>46970</c:v>
                </c:pt>
                <c:pt idx="693">
                  <c:v>46971</c:v>
                </c:pt>
                <c:pt idx="694">
                  <c:v>46972</c:v>
                </c:pt>
                <c:pt idx="695">
                  <c:v>46973</c:v>
                </c:pt>
                <c:pt idx="696">
                  <c:v>46974</c:v>
                </c:pt>
                <c:pt idx="697">
                  <c:v>46975</c:v>
                </c:pt>
                <c:pt idx="698">
                  <c:v>46976</c:v>
                </c:pt>
                <c:pt idx="699">
                  <c:v>46977</c:v>
                </c:pt>
                <c:pt idx="700">
                  <c:v>46978</c:v>
                </c:pt>
                <c:pt idx="701">
                  <c:v>46979</c:v>
                </c:pt>
                <c:pt idx="702">
                  <c:v>46980</c:v>
                </c:pt>
                <c:pt idx="703">
                  <c:v>46981</c:v>
                </c:pt>
                <c:pt idx="704">
                  <c:v>46982</c:v>
                </c:pt>
                <c:pt idx="705">
                  <c:v>46983</c:v>
                </c:pt>
                <c:pt idx="706">
                  <c:v>46984</c:v>
                </c:pt>
                <c:pt idx="707">
                  <c:v>46985</c:v>
                </c:pt>
                <c:pt idx="708">
                  <c:v>46986</c:v>
                </c:pt>
                <c:pt idx="709">
                  <c:v>46987</c:v>
                </c:pt>
                <c:pt idx="710">
                  <c:v>46988</c:v>
                </c:pt>
                <c:pt idx="711">
                  <c:v>46989</c:v>
                </c:pt>
                <c:pt idx="712">
                  <c:v>46990</c:v>
                </c:pt>
                <c:pt idx="713">
                  <c:v>46991</c:v>
                </c:pt>
                <c:pt idx="714">
                  <c:v>46992</c:v>
                </c:pt>
                <c:pt idx="715">
                  <c:v>46993</c:v>
                </c:pt>
                <c:pt idx="716">
                  <c:v>46994</c:v>
                </c:pt>
                <c:pt idx="717">
                  <c:v>46995</c:v>
                </c:pt>
                <c:pt idx="718">
                  <c:v>46996</c:v>
                </c:pt>
                <c:pt idx="719">
                  <c:v>46997</c:v>
                </c:pt>
                <c:pt idx="720">
                  <c:v>46998</c:v>
                </c:pt>
                <c:pt idx="721">
                  <c:v>46999</c:v>
                </c:pt>
                <c:pt idx="722">
                  <c:v>47000</c:v>
                </c:pt>
                <c:pt idx="723">
                  <c:v>47001</c:v>
                </c:pt>
                <c:pt idx="724">
                  <c:v>47002</c:v>
                </c:pt>
                <c:pt idx="725">
                  <c:v>47003</c:v>
                </c:pt>
                <c:pt idx="726">
                  <c:v>47004</c:v>
                </c:pt>
                <c:pt idx="727">
                  <c:v>47005</c:v>
                </c:pt>
                <c:pt idx="728">
                  <c:v>47006</c:v>
                </c:pt>
                <c:pt idx="729">
                  <c:v>47007</c:v>
                </c:pt>
              </c:numCache>
            </c:numRef>
          </c:cat>
          <c:val>
            <c:numRef>
              <c:f>'Daily Tracking'!$Q$6:$Q$735</c:f>
              <c:numCache>
                <c:formatCode>General</c:formatCode>
                <c:ptCount val="730"/>
                <c:pt idx="0">
                  <c:v>49.551824264613053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B9-4A45-803D-23E5F1150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numFmt formatCode="dd\ mmm" sourceLinked="0"/>
        <c:majorTickMark val="none"/>
        <c:minorTickMark val="none"/>
        <c:tickLblPos val="nextTo"/>
        <c:spPr>
          <a:ln>
            <a:solidFill>
              <a:srgbClr val="334155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94A3B8"/>
                </a:solidFill>
              </a:defRPr>
            </a:pPr>
            <a:endParaRPr lang="fr-FR"/>
          </a:p>
        </c:txPr>
        <c:crossAx val="100"/>
        <c:crosses val="autoZero"/>
        <c:auto val="1"/>
        <c:lblOffset val="100"/>
        <c:baseTimeUnit val="days"/>
        <c:majorUnit val="60"/>
        <c:majorTimeUnit val="days"/>
      </c:date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334155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BMI</a:t>
                </a:r>
              </a:p>
            </c:rich>
          </c:tx>
          <c:layout>
            <c:manualLayout>
              <c:xMode val="edge"/>
              <c:yMode val="edge"/>
              <c:x val="2.4096385542168676E-2"/>
              <c:y val="0.5050497637795275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spPr>
          <a:ln>
            <a:solidFill>
              <a:srgbClr val="334155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94A3B8"/>
                </a:solidFill>
              </a:defRPr>
            </a:pPr>
            <a:endParaRPr lang="fr-FR"/>
          </a:p>
        </c:txPr>
        <c:crossAx val="10"/>
        <c:crosses val="autoZero"/>
        <c:crossBetween val="between"/>
      </c:valAx>
      <c:spPr>
        <a:solidFill>
          <a:srgbClr val="1E293B"/>
        </a:solidFill>
      </c:spPr>
    </c:plotArea>
    <c:plotVisOnly val="0"/>
    <c:dispBlanksAs val="gap"/>
    <c:showDLblsOverMax val="1"/>
  </c:chart>
  <c:spPr>
    <a:solidFill>
      <a:srgbClr val="1E293B"/>
    </a:solidFill>
    <a:ln>
      <a:solidFill>
        <a:srgbClr val="334155"/>
      </a:solidFill>
      <a:prstDash val="solid"/>
    </a:ln>
  </c:spPr>
  <c:txPr>
    <a:bodyPr/>
    <a:lstStyle/>
    <a:p>
      <a:pPr>
        <a:defRPr sz="900">
          <a:solidFill>
            <a:srgbClr val="E2E8F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Weight Trend vs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Tracking'!$S$5</c:f>
              <c:strCache>
                <c:ptCount val="1"/>
                <c:pt idx="0">
                  <c:v>Daily Weight</c:v>
                </c:pt>
              </c:strCache>
            </c:strRef>
          </c:tx>
          <c:spPr>
            <a:ln w="15875" cap="rnd">
              <a:solidFill>
                <a:srgbClr val="64748B"/>
              </a:solidFill>
              <a:prstDash val="solid"/>
              <a:round/>
            </a:ln>
            <a:effectLst/>
          </c:spPr>
          <c:marker>
            <c:symbol val="circle"/>
            <c:size val="3"/>
            <c:spPr>
              <a:solidFill>
                <a:srgbClr val="94A3B8"/>
              </a:solidFill>
              <a:ln w="9525">
                <a:solidFill>
                  <a:srgbClr val="94A3B8"/>
                </a:solidFill>
                <a:prstDash val="solid"/>
              </a:ln>
              <a:effectLst/>
            </c:spPr>
          </c:marker>
          <c:cat>
            <c:numRef>
              <c:f>'Daily Tracking'!$R$6:$R$735</c:f>
              <c:numCache>
                <c:formatCode>dd/mm/yy</c:formatCode>
                <c:ptCount val="730"/>
                <c:pt idx="0">
                  <c:v>46278</c:v>
                </c:pt>
                <c:pt idx="1">
                  <c:v>46279</c:v>
                </c:pt>
                <c:pt idx="2">
                  <c:v>46280</c:v>
                </c:pt>
                <c:pt idx="3">
                  <c:v>46281</c:v>
                </c:pt>
                <c:pt idx="4">
                  <c:v>46282</c:v>
                </c:pt>
                <c:pt idx="5">
                  <c:v>46283</c:v>
                </c:pt>
                <c:pt idx="6">
                  <c:v>46284</c:v>
                </c:pt>
                <c:pt idx="7">
                  <c:v>46285</c:v>
                </c:pt>
                <c:pt idx="8">
                  <c:v>46286</c:v>
                </c:pt>
                <c:pt idx="9">
                  <c:v>46287</c:v>
                </c:pt>
                <c:pt idx="10">
                  <c:v>46288</c:v>
                </c:pt>
                <c:pt idx="11">
                  <c:v>46289</c:v>
                </c:pt>
                <c:pt idx="12">
                  <c:v>46290</c:v>
                </c:pt>
                <c:pt idx="13">
                  <c:v>46291</c:v>
                </c:pt>
                <c:pt idx="14">
                  <c:v>46292</c:v>
                </c:pt>
                <c:pt idx="15">
                  <c:v>46293</c:v>
                </c:pt>
                <c:pt idx="16">
                  <c:v>46294</c:v>
                </c:pt>
                <c:pt idx="17">
                  <c:v>46295</c:v>
                </c:pt>
                <c:pt idx="18">
                  <c:v>46296</c:v>
                </c:pt>
                <c:pt idx="19">
                  <c:v>46297</c:v>
                </c:pt>
                <c:pt idx="20">
                  <c:v>46298</c:v>
                </c:pt>
                <c:pt idx="21">
                  <c:v>46299</c:v>
                </c:pt>
                <c:pt idx="22">
                  <c:v>46300</c:v>
                </c:pt>
                <c:pt idx="23">
                  <c:v>46301</c:v>
                </c:pt>
                <c:pt idx="24">
                  <c:v>46302</c:v>
                </c:pt>
                <c:pt idx="25">
                  <c:v>46303</c:v>
                </c:pt>
                <c:pt idx="26">
                  <c:v>46304</c:v>
                </c:pt>
                <c:pt idx="27">
                  <c:v>46305</c:v>
                </c:pt>
                <c:pt idx="28">
                  <c:v>46306</c:v>
                </c:pt>
                <c:pt idx="29">
                  <c:v>46307</c:v>
                </c:pt>
                <c:pt idx="30">
                  <c:v>46308</c:v>
                </c:pt>
                <c:pt idx="31">
                  <c:v>46309</c:v>
                </c:pt>
                <c:pt idx="32">
                  <c:v>46310</c:v>
                </c:pt>
                <c:pt idx="33">
                  <c:v>46311</c:v>
                </c:pt>
                <c:pt idx="34">
                  <c:v>46312</c:v>
                </c:pt>
                <c:pt idx="35">
                  <c:v>46313</c:v>
                </c:pt>
                <c:pt idx="36">
                  <c:v>46314</c:v>
                </c:pt>
                <c:pt idx="37">
                  <c:v>46315</c:v>
                </c:pt>
                <c:pt idx="38">
                  <c:v>46316</c:v>
                </c:pt>
                <c:pt idx="39">
                  <c:v>46317</c:v>
                </c:pt>
                <c:pt idx="40">
                  <c:v>46318</c:v>
                </c:pt>
                <c:pt idx="41">
                  <c:v>46319</c:v>
                </c:pt>
                <c:pt idx="42">
                  <c:v>46320</c:v>
                </c:pt>
                <c:pt idx="43">
                  <c:v>46321</c:v>
                </c:pt>
                <c:pt idx="44">
                  <c:v>46322</c:v>
                </c:pt>
                <c:pt idx="45">
                  <c:v>46323</c:v>
                </c:pt>
                <c:pt idx="46">
                  <c:v>46324</c:v>
                </c:pt>
                <c:pt idx="47">
                  <c:v>46325</c:v>
                </c:pt>
                <c:pt idx="48">
                  <c:v>46326</c:v>
                </c:pt>
                <c:pt idx="49">
                  <c:v>46327</c:v>
                </c:pt>
                <c:pt idx="50">
                  <c:v>46328</c:v>
                </c:pt>
                <c:pt idx="51">
                  <c:v>46329</c:v>
                </c:pt>
                <c:pt idx="52">
                  <c:v>46330</c:v>
                </c:pt>
                <c:pt idx="53">
                  <c:v>46331</c:v>
                </c:pt>
                <c:pt idx="54">
                  <c:v>46332</c:v>
                </c:pt>
                <c:pt idx="55">
                  <c:v>46333</c:v>
                </c:pt>
                <c:pt idx="56">
                  <c:v>46334</c:v>
                </c:pt>
                <c:pt idx="57">
                  <c:v>46335</c:v>
                </c:pt>
                <c:pt idx="58">
                  <c:v>46336</c:v>
                </c:pt>
                <c:pt idx="59">
                  <c:v>46337</c:v>
                </c:pt>
                <c:pt idx="60">
                  <c:v>46338</c:v>
                </c:pt>
                <c:pt idx="61">
                  <c:v>46339</c:v>
                </c:pt>
                <c:pt idx="62">
                  <c:v>46340</c:v>
                </c:pt>
                <c:pt idx="63">
                  <c:v>46341</c:v>
                </c:pt>
                <c:pt idx="64">
                  <c:v>46342</c:v>
                </c:pt>
                <c:pt idx="65">
                  <c:v>46343</c:v>
                </c:pt>
                <c:pt idx="66">
                  <c:v>46344</c:v>
                </c:pt>
                <c:pt idx="67">
                  <c:v>46345</c:v>
                </c:pt>
                <c:pt idx="68">
                  <c:v>46346</c:v>
                </c:pt>
                <c:pt idx="69">
                  <c:v>46347</c:v>
                </c:pt>
                <c:pt idx="70">
                  <c:v>46348</c:v>
                </c:pt>
                <c:pt idx="71">
                  <c:v>46349</c:v>
                </c:pt>
                <c:pt idx="72">
                  <c:v>46350</c:v>
                </c:pt>
                <c:pt idx="73">
                  <c:v>46351</c:v>
                </c:pt>
                <c:pt idx="74">
                  <c:v>46352</c:v>
                </c:pt>
                <c:pt idx="75">
                  <c:v>46353</c:v>
                </c:pt>
                <c:pt idx="76">
                  <c:v>46354</c:v>
                </c:pt>
                <c:pt idx="77">
                  <c:v>46355</c:v>
                </c:pt>
                <c:pt idx="78">
                  <c:v>46356</c:v>
                </c:pt>
                <c:pt idx="79">
                  <c:v>46357</c:v>
                </c:pt>
                <c:pt idx="80">
                  <c:v>46358</c:v>
                </c:pt>
                <c:pt idx="81">
                  <c:v>46359</c:v>
                </c:pt>
                <c:pt idx="82">
                  <c:v>46360</c:v>
                </c:pt>
                <c:pt idx="83">
                  <c:v>46361</c:v>
                </c:pt>
                <c:pt idx="84">
                  <c:v>46362</c:v>
                </c:pt>
                <c:pt idx="85">
                  <c:v>46363</c:v>
                </c:pt>
                <c:pt idx="86">
                  <c:v>46364</c:v>
                </c:pt>
                <c:pt idx="87">
                  <c:v>46365</c:v>
                </c:pt>
                <c:pt idx="88">
                  <c:v>46366</c:v>
                </c:pt>
                <c:pt idx="89">
                  <c:v>46367</c:v>
                </c:pt>
                <c:pt idx="90">
                  <c:v>46368</c:v>
                </c:pt>
                <c:pt idx="91">
                  <c:v>46369</c:v>
                </c:pt>
                <c:pt idx="92">
                  <c:v>46370</c:v>
                </c:pt>
                <c:pt idx="93">
                  <c:v>46371</c:v>
                </c:pt>
                <c:pt idx="94">
                  <c:v>46372</c:v>
                </c:pt>
                <c:pt idx="95">
                  <c:v>46373</c:v>
                </c:pt>
                <c:pt idx="96">
                  <c:v>46374</c:v>
                </c:pt>
                <c:pt idx="97">
                  <c:v>46375</c:v>
                </c:pt>
                <c:pt idx="98">
                  <c:v>46376</c:v>
                </c:pt>
                <c:pt idx="99">
                  <c:v>46377</c:v>
                </c:pt>
                <c:pt idx="100">
                  <c:v>46378</c:v>
                </c:pt>
                <c:pt idx="101">
                  <c:v>46379</c:v>
                </c:pt>
                <c:pt idx="102">
                  <c:v>46380</c:v>
                </c:pt>
                <c:pt idx="103">
                  <c:v>46381</c:v>
                </c:pt>
                <c:pt idx="104">
                  <c:v>46382</c:v>
                </c:pt>
                <c:pt idx="105">
                  <c:v>46383</c:v>
                </c:pt>
                <c:pt idx="106">
                  <c:v>46384</c:v>
                </c:pt>
                <c:pt idx="107">
                  <c:v>46385</c:v>
                </c:pt>
                <c:pt idx="108">
                  <c:v>46386</c:v>
                </c:pt>
                <c:pt idx="109">
                  <c:v>46387</c:v>
                </c:pt>
                <c:pt idx="110">
                  <c:v>46388</c:v>
                </c:pt>
                <c:pt idx="111">
                  <c:v>46389</c:v>
                </c:pt>
                <c:pt idx="112">
                  <c:v>46390</c:v>
                </c:pt>
                <c:pt idx="113">
                  <c:v>46391</c:v>
                </c:pt>
                <c:pt idx="114">
                  <c:v>46392</c:v>
                </c:pt>
                <c:pt idx="115">
                  <c:v>46393</c:v>
                </c:pt>
                <c:pt idx="116">
                  <c:v>46394</c:v>
                </c:pt>
                <c:pt idx="117">
                  <c:v>46395</c:v>
                </c:pt>
                <c:pt idx="118">
                  <c:v>46396</c:v>
                </c:pt>
                <c:pt idx="119">
                  <c:v>46397</c:v>
                </c:pt>
                <c:pt idx="120">
                  <c:v>46398</c:v>
                </c:pt>
                <c:pt idx="121">
                  <c:v>46399</c:v>
                </c:pt>
                <c:pt idx="122">
                  <c:v>46400</c:v>
                </c:pt>
                <c:pt idx="123">
                  <c:v>46401</c:v>
                </c:pt>
                <c:pt idx="124">
                  <c:v>46402</c:v>
                </c:pt>
                <c:pt idx="125">
                  <c:v>46403</c:v>
                </c:pt>
                <c:pt idx="126">
                  <c:v>46404</c:v>
                </c:pt>
                <c:pt idx="127">
                  <c:v>46405</c:v>
                </c:pt>
                <c:pt idx="128">
                  <c:v>46406</c:v>
                </c:pt>
                <c:pt idx="129">
                  <c:v>46407</c:v>
                </c:pt>
                <c:pt idx="130">
                  <c:v>46408</c:v>
                </c:pt>
                <c:pt idx="131">
                  <c:v>46409</c:v>
                </c:pt>
                <c:pt idx="132">
                  <c:v>46410</c:v>
                </c:pt>
                <c:pt idx="133">
                  <c:v>46411</c:v>
                </c:pt>
                <c:pt idx="134">
                  <c:v>46412</c:v>
                </c:pt>
                <c:pt idx="135">
                  <c:v>46413</c:v>
                </c:pt>
                <c:pt idx="136">
                  <c:v>46414</c:v>
                </c:pt>
                <c:pt idx="137">
                  <c:v>46415</c:v>
                </c:pt>
                <c:pt idx="138">
                  <c:v>46416</c:v>
                </c:pt>
                <c:pt idx="139">
                  <c:v>46417</c:v>
                </c:pt>
                <c:pt idx="140">
                  <c:v>46418</c:v>
                </c:pt>
                <c:pt idx="141">
                  <c:v>46419</c:v>
                </c:pt>
                <c:pt idx="142">
                  <c:v>46420</c:v>
                </c:pt>
                <c:pt idx="143">
                  <c:v>46421</c:v>
                </c:pt>
                <c:pt idx="144">
                  <c:v>46422</c:v>
                </c:pt>
                <c:pt idx="145">
                  <c:v>46423</c:v>
                </c:pt>
                <c:pt idx="146">
                  <c:v>46424</c:v>
                </c:pt>
                <c:pt idx="147">
                  <c:v>46425</c:v>
                </c:pt>
                <c:pt idx="148">
                  <c:v>46426</c:v>
                </c:pt>
                <c:pt idx="149">
                  <c:v>46427</c:v>
                </c:pt>
                <c:pt idx="150">
                  <c:v>46428</c:v>
                </c:pt>
                <c:pt idx="151">
                  <c:v>46429</c:v>
                </c:pt>
                <c:pt idx="152">
                  <c:v>46430</c:v>
                </c:pt>
                <c:pt idx="153">
                  <c:v>46431</c:v>
                </c:pt>
                <c:pt idx="154">
                  <c:v>46432</c:v>
                </c:pt>
                <c:pt idx="155">
                  <c:v>46433</c:v>
                </c:pt>
                <c:pt idx="156">
                  <c:v>46434</c:v>
                </c:pt>
                <c:pt idx="157">
                  <c:v>46435</c:v>
                </c:pt>
                <c:pt idx="158">
                  <c:v>46436</c:v>
                </c:pt>
                <c:pt idx="159">
                  <c:v>46437</c:v>
                </c:pt>
                <c:pt idx="160">
                  <c:v>46438</c:v>
                </c:pt>
                <c:pt idx="161">
                  <c:v>46439</c:v>
                </c:pt>
                <c:pt idx="162">
                  <c:v>46440</c:v>
                </c:pt>
                <c:pt idx="163">
                  <c:v>46441</c:v>
                </c:pt>
                <c:pt idx="164">
                  <c:v>46442</c:v>
                </c:pt>
                <c:pt idx="165">
                  <c:v>46443</c:v>
                </c:pt>
                <c:pt idx="166">
                  <c:v>46444</c:v>
                </c:pt>
                <c:pt idx="167">
                  <c:v>46445</c:v>
                </c:pt>
                <c:pt idx="168">
                  <c:v>46446</c:v>
                </c:pt>
                <c:pt idx="169">
                  <c:v>46447</c:v>
                </c:pt>
                <c:pt idx="170">
                  <c:v>46448</c:v>
                </c:pt>
                <c:pt idx="171">
                  <c:v>46449</c:v>
                </c:pt>
                <c:pt idx="172">
                  <c:v>46450</c:v>
                </c:pt>
                <c:pt idx="173">
                  <c:v>46451</c:v>
                </c:pt>
                <c:pt idx="174">
                  <c:v>46452</c:v>
                </c:pt>
                <c:pt idx="175">
                  <c:v>46453</c:v>
                </c:pt>
                <c:pt idx="176">
                  <c:v>46454</c:v>
                </c:pt>
                <c:pt idx="177">
                  <c:v>46455</c:v>
                </c:pt>
                <c:pt idx="178">
                  <c:v>46456</c:v>
                </c:pt>
                <c:pt idx="179">
                  <c:v>46457</c:v>
                </c:pt>
                <c:pt idx="180">
                  <c:v>46458</c:v>
                </c:pt>
                <c:pt idx="181">
                  <c:v>46459</c:v>
                </c:pt>
                <c:pt idx="182">
                  <c:v>46460</c:v>
                </c:pt>
                <c:pt idx="183">
                  <c:v>46461</c:v>
                </c:pt>
                <c:pt idx="184">
                  <c:v>46462</c:v>
                </c:pt>
                <c:pt idx="185">
                  <c:v>46463</c:v>
                </c:pt>
                <c:pt idx="186">
                  <c:v>46464</c:v>
                </c:pt>
                <c:pt idx="187">
                  <c:v>46465</c:v>
                </c:pt>
                <c:pt idx="188">
                  <c:v>46466</c:v>
                </c:pt>
                <c:pt idx="189">
                  <c:v>46467</c:v>
                </c:pt>
                <c:pt idx="190">
                  <c:v>46468</c:v>
                </c:pt>
                <c:pt idx="191">
                  <c:v>46469</c:v>
                </c:pt>
                <c:pt idx="192">
                  <c:v>46470</c:v>
                </c:pt>
                <c:pt idx="193">
                  <c:v>46471</c:v>
                </c:pt>
                <c:pt idx="194">
                  <c:v>46472</c:v>
                </c:pt>
                <c:pt idx="195">
                  <c:v>46473</c:v>
                </c:pt>
                <c:pt idx="196">
                  <c:v>46474</c:v>
                </c:pt>
                <c:pt idx="197">
                  <c:v>46475</c:v>
                </c:pt>
                <c:pt idx="198">
                  <c:v>46476</c:v>
                </c:pt>
                <c:pt idx="199">
                  <c:v>46477</c:v>
                </c:pt>
                <c:pt idx="200">
                  <c:v>46478</c:v>
                </c:pt>
                <c:pt idx="201">
                  <c:v>46479</c:v>
                </c:pt>
                <c:pt idx="202">
                  <c:v>46480</c:v>
                </c:pt>
                <c:pt idx="203">
                  <c:v>46481</c:v>
                </c:pt>
                <c:pt idx="204">
                  <c:v>46482</c:v>
                </c:pt>
                <c:pt idx="205">
                  <c:v>46483</c:v>
                </c:pt>
                <c:pt idx="206">
                  <c:v>46484</c:v>
                </c:pt>
                <c:pt idx="207">
                  <c:v>46485</c:v>
                </c:pt>
                <c:pt idx="208">
                  <c:v>46486</c:v>
                </c:pt>
                <c:pt idx="209">
                  <c:v>46487</c:v>
                </c:pt>
                <c:pt idx="210">
                  <c:v>46488</c:v>
                </c:pt>
                <c:pt idx="211">
                  <c:v>46489</c:v>
                </c:pt>
                <c:pt idx="212">
                  <c:v>46490</c:v>
                </c:pt>
                <c:pt idx="213">
                  <c:v>46491</c:v>
                </c:pt>
                <c:pt idx="214">
                  <c:v>46492</c:v>
                </c:pt>
                <c:pt idx="215">
                  <c:v>46493</c:v>
                </c:pt>
                <c:pt idx="216">
                  <c:v>46494</c:v>
                </c:pt>
                <c:pt idx="217">
                  <c:v>46495</c:v>
                </c:pt>
                <c:pt idx="218">
                  <c:v>46496</c:v>
                </c:pt>
                <c:pt idx="219">
                  <c:v>46497</c:v>
                </c:pt>
                <c:pt idx="220">
                  <c:v>46498</c:v>
                </c:pt>
                <c:pt idx="221">
                  <c:v>46499</c:v>
                </c:pt>
                <c:pt idx="222">
                  <c:v>46500</c:v>
                </c:pt>
                <c:pt idx="223">
                  <c:v>46501</c:v>
                </c:pt>
                <c:pt idx="224">
                  <c:v>46502</c:v>
                </c:pt>
                <c:pt idx="225">
                  <c:v>46503</c:v>
                </c:pt>
                <c:pt idx="226">
                  <c:v>46504</c:v>
                </c:pt>
                <c:pt idx="227">
                  <c:v>46505</c:v>
                </c:pt>
                <c:pt idx="228">
                  <c:v>46506</c:v>
                </c:pt>
                <c:pt idx="229">
                  <c:v>46507</c:v>
                </c:pt>
                <c:pt idx="230">
                  <c:v>46508</c:v>
                </c:pt>
                <c:pt idx="231">
                  <c:v>46509</c:v>
                </c:pt>
                <c:pt idx="232">
                  <c:v>46510</c:v>
                </c:pt>
                <c:pt idx="233">
                  <c:v>46511</c:v>
                </c:pt>
                <c:pt idx="234">
                  <c:v>46512</c:v>
                </c:pt>
                <c:pt idx="235">
                  <c:v>46513</c:v>
                </c:pt>
                <c:pt idx="236">
                  <c:v>46514</c:v>
                </c:pt>
                <c:pt idx="237">
                  <c:v>46515</c:v>
                </c:pt>
                <c:pt idx="238">
                  <c:v>46516</c:v>
                </c:pt>
                <c:pt idx="239">
                  <c:v>46517</c:v>
                </c:pt>
                <c:pt idx="240">
                  <c:v>46518</c:v>
                </c:pt>
                <c:pt idx="241">
                  <c:v>46519</c:v>
                </c:pt>
                <c:pt idx="242">
                  <c:v>46520</c:v>
                </c:pt>
                <c:pt idx="243">
                  <c:v>46521</c:v>
                </c:pt>
                <c:pt idx="244">
                  <c:v>46522</c:v>
                </c:pt>
                <c:pt idx="245">
                  <c:v>46523</c:v>
                </c:pt>
                <c:pt idx="246">
                  <c:v>46524</c:v>
                </c:pt>
                <c:pt idx="247">
                  <c:v>46525</c:v>
                </c:pt>
                <c:pt idx="248">
                  <c:v>46526</c:v>
                </c:pt>
                <c:pt idx="249">
                  <c:v>46527</c:v>
                </c:pt>
                <c:pt idx="250">
                  <c:v>46528</c:v>
                </c:pt>
                <c:pt idx="251">
                  <c:v>46529</c:v>
                </c:pt>
                <c:pt idx="252">
                  <c:v>46530</c:v>
                </c:pt>
                <c:pt idx="253">
                  <c:v>46531</c:v>
                </c:pt>
                <c:pt idx="254">
                  <c:v>46532</c:v>
                </c:pt>
                <c:pt idx="255">
                  <c:v>46533</c:v>
                </c:pt>
                <c:pt idx="256">
                  <c:v>46534</c:v>
                </c:pt>
                <c:pt idx="257">
                  <c:v>46535</c:v>
                </c:pt>
                <c:pt idx="258">
                  <c:v>46536</c:v>
                </c:pt>
                <c:pt idx="259">
                  <c:v>46537</c:v>
                </c:pt>
                <c:pt idx="260">
                  <c:v>46538</c:v>
                </c:pt>
                <c:pt idx="261">
                  <c:v>46539</c:v>
                </c:pt>
                <c:pt idx="262">
                  <c:v>46540</c:v>
                </c:pt>
                <c:pt idx="263">
                  <c:v>46541</c:v>
                </c:pt>
                <c:pt idx="264">
                  <c:v>46542</c:v>
                </c:pt>
                <c:pt idx="265">
                  <c:v>46543</c:v>
                </c:pt>
                <c:pt idx="266">
                  <c:v>46544</c:v>
                </c:pt>
                <c:pt idx="267">
                  <c:v>46545</c:v>
                </c:pt>
                <c:pt idx="268">
                  <c:v>46546</c:v>
                </c:pt>
                <c:pt idx="269">
                  <c:v>46547</c:v>
                </c:pt>
                <c:pt idx="270">
                  <c:v>46548</c:v>
                </c:pt>
                <c:pt idx="271">
                  <c:v>46549</c:v>
                </c:pt>
                <c:pt idx="272">
                  <c:v>46550</c:v>
                </c:pt>
                <c:pt idx="273">
                  <c:v>46551</c:v>
                </c:pt>
                <c:pt idx="274">
                  <c:v>46552</c:v>
                </c:pt>
                <c:pt idx="275">
                  <c:v>46553</c:v>
                </c:pt>
                <c:pt idx="276">
                  <c:v>46554</c:v>
                </c:pt>
                <c:pt idx="277">
                  <c:v>46555</c:v>
                </c:pt>
                <c:pt idx="278">
                  <c:v>46556</c:v>
                </c:pt>
                <c:pt idx="279">
                  <c:v>46557</c:v>
                </c:pt>
                <c:pt idx="280">
                  <c:v>46558</c:v>
                </c:pt>
                <c:pt idx="281">
                  <c:v>46559</c:v>
                </c:pt>
                <c:pt idx="282">
                  <c:v>46560</c:v>
                </c:pt>
                <c:pt idx="283">
                  <c:v>46561</c:v>
                </c:pt>
                <c:pt idx="284">
                  <c:v>46562</c:v>
                </c:pt>
                <c:pt idx="285">
                  <c:v>46563</c:v>
                </c:pt>
                <c:pt idx="286">
                  <c:v>46564</c:v>
                </c:pt>
                <c:pt idx="287">
                  <c:v>46565</c:v>
                </c:pt>
                <c:pt idx="288">
                  <c:v>46566</c:v>
                </c:pt>
                <c:pt idx="289">
                  <c:v>46567</c:v>
                </c:pt>
                <c:pt idx="290">
                  <c:v>46568</c:v>
                </c:pt>
                <c:pt idx="291">
                  <c:v>46569</c:v>
                </c:pt>
                <c:pt idx="292">
                  <c:v>46570</c:v>
                </c:pt>
                <c:pt idx="293">
                  <c:v>46571</c:v>
                </c:pt>
                <c:pt idx="294">
                  <c:v>46572</c:v>
                </c:pt>
                <c:pt idx="295">
                  <c:v>46573</c:v>
                </c:pt>
                <c:pt idx="296">
                  <c:v>46574</c:v>
                </c:pt>
                <c:pt idx="297">
                  <c:v>46575</c:v>
                </c:pt>
                <c:pt idx="298">
                  <c:v>46576</c:v>
                </c:pt>
                <c:pt idx="299">
                  <c:v>46577</c:v>
                </c:pt>
                <c:pt idx="300">
                  <c:v>46578</c:v>
                </c:pt>
                <c:pt idx="301">
                  <c:v>46579</c:v>
                </c:pt>
                <c:pt idx="302">
                  <c:v>46580</c:v>
                </c:pt>
                <c:pt idx="303">
                  <c:v>46581</c:v>
                </c:pt>
                <c:pt idx="304">
                  <c:v>46582</c:v>
                </c:pt>
                <c:pt idx="305">
                  <c:v>46583</c:v>
                </c:pt>
                <c:pt idx="306">
                  <c:v>46584</c:v>
                </c:pt>
                <c:pt idx="307">
                  <c:v>46585</c:v>
                </c:pt>
                <c:pt idx="308">
                  <c:v>46586</c:v>
                </c:pt>
                <c:pt idx="309">
                  <c:v>46587</c:v>
                </c:pt>
                <c:pt idx="310">
                  <c:v>46588</c:v>
                </c:pt>
                <c:pt idx="311">
                  <c:v>46589</c:v>
                </c:pt>
                <c:pt idx="312">
                  <c:v>46590</c:v>
                </c:pt>
                <c:pt idx="313">
                  <c:v>46591</c:v>
                </c:pt>
                <c:pt idx="314">
                  <c:v>46592</c:v>
                </c:pt>
                <c:pt idx="315">
                  <c:v>46593</c:v>
                </c:pt>
                <c:pt idx="316">
                  <c:v>46594</c:v>
                </c:pt>
                <c:pt idx="317">
                  <c:v>46595</c:v>
                </c:pt>
                <c:pt idx="318">
                  <c:v>46596</c:v>
                </c:pt>
                <c:pt idx="319">
                  <c:v>46597</c:v>
                </c:pt>
                <c:pt idx="320">
                  <c:v>46598</c:v>
                </c:pt>
                <c:pt idx="321">
                  <c:v>46599</c:v>
                </c:pt>
                <c:pt idx="322">
                  <c:v>46600</c:v>
                </c:pt>
                <c:pt idx="323">
                  <c:v>46601</c:v>
                </c:pt>
                <c:pt idx="324">
                  <c:v>46602</c:v>
                </c:pt>
                <c:pt idx="325">
                  <c:v>46603</c:v>
                </c:pt>
                <c:pt idx="326">
                  <c:v>46604</c:v>
                </c:pt>
                <c:pt idx="327">
                  <c:v>46605</c:v>
                </c:pt>
                <c:pt idx="328">
                  <c:v>46606</c:v>
                </c:pt>
                <c:pt idx="329">
                  <c:v>46607</c:v>
                </c:pt>
                <c:pt idx="330">
                  <c:v>46608</c:v>
                </c:pt>
                <c:pt idx="331">
                  <c:v>46609</c:v>
                </c:pt>
                <c:pt idx="332">
                  <c:v>46610</c:v>
                </c:pt>
                <c:pt idx="333">
                  <c:v>46611</c:v>
                </c:pt>
                <c:pt idx="334">
                  <c:v>46612</c:v>
                </c:pt>
                <c:pt idx="335">
                  <c:v>46613</c:v>
                </c:pt>
                <c:pt idx="336">
                  <c:v>46614</c:v>
                </c:pt>
                <c:pt idx="337">
                  <c:v>46615</c:v>
                </c:pt>
                <c:pt idx="338">
                  <c:v>46616</c:v>
                </c:pt>
                <c:pt idx="339">
                  <c:v>46617</c:v>
                </c:pt>
                <c:pt idx="340">
                  <c:v>46618</c:v>
                </c:pt>
                <c:pt idx="341">
                  <c:v>46619</c:v>
                </c:pt>
                <c:pt idx="342">
                  <c:v>46620</c:v>
                </c:pt>
                <c:pt idx="343">
                  <c:v>46621</c:v>
                </c:pt>
                <c:pt idx="344">
                  <c:v>46622</c:v>
                </c:pt>
                <c:pt idx="345">
                  <c:v>46623</c:v>
                </c:pt>
                <c:pt idx="346">
                  <c:v>46624</c:v>
                </c:pt>
                <c:pt idx="347">
                  <c:v>46625</c:v>
                </c:pt>
                <c:pt idx="348">
                  <c:v>46626</c:v>
                </c:pt>
                <c:pt idx="349">
                  <c:v>46627</c:v>
                </c:pt>
                <c:pt idx="350">
                  <c:v>46628</c:v>
                </c:pt>
                <c:pt idx="351">
                  <c:v>46629</c:v>
                </c:pt>
                <c:pt idx="352">
                  <c:v>46630</c:v>
                </c:pt>
                <c:pt idx="353">
                  <c:v>46631</c:v>
                </c:pt>
                <c:pt idx="354">
                  <c:v>46632</c:v>
                </c:pt>
                <c:pt idx="355">
                  <c:v>46633</c:v>
                </c:pt>
                <c:pt idx="356">
                  <c:v>46634</c:v>
                </c:pt>
                <c:pt idx="357">
                  <c:v>46635</c:v>
                </c:pt>
                <c:pt idx="358">
                  <c:v>46636</c:v>
                </c:pt>
                <c:pt idx="359">
                  <c:v>46637</c:v>
                </c:pt>
                <c:pt idx="360">
                  <c:v>46638</c:v>
                </c:pt>
                <c:pt idx="361">
                  <c:v>46639</c:v>
                </c:pt>
                <c:pt idx="362">
                  <c:v>46640</c:v>
                </c:pt>
                <c:pt idx="363">
                  <c:v>46641</c:v>
                </c:pt>
                <c:pt idx="364">
                  <c:v>46642</c:v>
                </c:pt>
                <c:pt idx="365">
                  <c:v>46643</c:v>
                </c:pt>
                <c:pt idx="366">
                  <c:v>46644</c:v>
                </c:pt>
                <c:pt idx="367">
                  <c:v>46645</c:v>
                </c:pt>
                <c:pt idx="368">
                  <c:v>46646</c:v>
                </c:pt>
                <c:pt idx="369">
                  <c:v>46647</c:v>
                </c:pt>
                <c:pt idx="370">
                  <c:v>46648</c:v>
                </c:pt>
                <c:pt idx="371">
                  <c:v>46649</c:v>
                </c:pt>
                <c:pt idx="372">
                  <c:v>46650</c:v>
                </c:pt>
                <c:pt idx="373">
                  <c:v>46651</c:v>
                </c:pt>
                <c:pt idx="374">
                  <c:v>46652</c:v>
                </c:pt>
                <c:pt idx="375">
                  <c:v>46653</c:v>
                </c:pt>
                <c:pt idx="376">
                  <c:v>46654</c:v>
                </c:pt>
                <c:pt idx="377">
                  <c:v>46655</c:v>
                </c:pt>
                <c:pt idx="378">
                  <c:v>46656</c:v>
                </c:pt>
                <c:pt idx="379">
                  <c:v>46657</c:v>
                </c:pt>
                <c:pt idx="380">
                  <c:v>46658</c:v>
                </c:pt>
                <c:pt idx="381">
                  <c:v>46659</c:v>
                </c:pt>
                <c:pt idx="382">
                  <c:v>46660</c:v>
                </c:pt>
                <c:pt idx="383">
                  <c:v>46661</c:v>
                </c:pt>
                <c:pt idx="384">
                  <c:v>46662</c:v>
                </c:pt>
                <c:pt idx="385">
                  <c:v>46663</c:v>
                </c:pt>
                <c:pt idx="386">
                  <c:v>46664</c:v>
                </c:pt>
                <c:pt idx="387">
                  <c:v>46665</c:v>
                </c:pt>
                <c:pt idx="388">
                  <c:v>46666</c:v>
                </c:pt>
                <c:pt idx="389">
                  <c:v>46667</c:v>
                </c:pt>
                <c:pt idx="390">
                  <c:v>46668</c:v>
                </c:pt>
                <c:pt idx="391">
                  <c:v>46669</c:v>
                </c:pt>
                <c:pt idx="392">
                  <c:v>46670</c:v>
                </c:pt>
                <c:pt idx="393">
                  <c:v>46671</c:v>
                </c:pt>
                <c:pt idx="394">
                  <c:v>46672</c:v>
                </c:pt>
                <c:pt idx="395">
                  <c:v>46673</c:v>
                </c:pt>
                <c:pt idx="396">
                  <c:v>46674</c:v>
                </c:pt>
                <c:pt idx="397">
                  <c:v>46675</c:v>
                </c:pt>
                <c:pt idx="398">
                  <c:v>46676</c:v>
                </c:pt>
                <c:pt idx="399">
                  <c:v>46677</c:v>
                </c:pt>
                <c:pt idx="400">
                  <c:v>46678</c:v>
                </c:pt>
                <c:pt idx="401">
                  <c:v>46679</c:v>
                </c:pt>
                <c:pt idx="402">
                  <c:v>46680</c:v>
                </c:pt>
                <c:pt idx="403">
                  <c:v>46681</c:v>
                </c:pt>
                <c:pt idx="404">
                  <c:v>46682</c:v>
                </c:pt>
                <c:pt idx="405">
                  <c:v>46683</c:v>
                </c:pt>
                <c:pt idx="406">
                  <c:v>46684</c:v>
                </c:pt>
                <c:pt idx="407">
                  <c:v>46685</c:v>
                </c:pt>
                <c:pt idx="408">
                  <c:v>46686</c:v>
                </c:pt>
                <c:pt idx="409">
                  <c:v>46687</c:v>
                </c:pt>
                <c:pt idx="410">
                  <c:v>46688</c:v>
                </c:pt>
                <c:pt idx="411">
                  <c:v>46689</c:v>
                </c:pt>
                <c:pt idx="412">
                  <c:v>46690</c:v>
                </c:pt>
                <c:pt idx="413">
                  <c:v>46691</c:v>
                </c:pt>
                <c:pt idx="414">
                  <c:v>46692</c:v>
                </c:pt>
                <c:pt idx="415">
                  <c:v>46693</c:v>
                </c:pt>
                <c:pt idx="416">
                  <c:v>46694</c:v>
                </c:pt>
                <c:pt idx="417">
                  <c:v>46695</c:v>
                </c:pt>
                <c:pt idx="418">
                  <c:v>46696</c:v>
                </c:pt>
                <c:pt idx="419">
                  <c:v>46697</c:v>
                </c:pt>
                <c:pt idx="420">
                  <c:v>46698</c:v>
                </c:pt>
                <c:pt idx="421">
                  <c:v>46699</c:v>
                </c:pt>
                <c:pt idx="422">
                  <c:v>46700</c:v>
                </c:pt>
                <c:pt idx="423">
                  <c:v>46701</c:v>
                </c:pt>
                <c:pt idx="424">
                  <c:v>46702</c:v>
                </c:pt>
                <c:pt idx="425">
                  <c:v>46703</c:v>
                </c:pt>
                <c:pt idx="426">
                  <c:v>46704</c:v>
                </c:pt>
                <c:pt idx="427">
                  <c:v>46705</c:v>
                </c:pt>
                <c:pt idx="428">
                  <c:v>46706</c:v>
                </c:pt>
                <c:pt idx="429">
                  <c:v>46707</c:v>
                </c:pt>
                <c:pt idx="430">
                  <c:v>46708</c:v>
                </c:pt>
                <c:pt idx="431">
                  <c:v>46709</c:v>
                </c:pt>
                <c:pt idx="432">
                  <c:v>46710</c:v>
                </c:pt>
                <c:pt idx="433">
                  <c:v>46711</c:v>
                </c:pt>
                <c:pt idx="434">
                  <c:v>46712</c:v>
                </c:pt>
                <c:pt idx="435">
                  <c:v>46713</c:v>
                </c:pt>
                <c:pt idx="436">
                  <c:v>46714</c:v>
                </c:pt>
                <c:pt idx="437">
                  <c:v>46715</c:v>
                </c:pt>
                <c:pt idx="438">
                  <c:v>46716</c:v>
                </c:pt>
                <c:pt idx="439">
                  <c:v>46717</c:v>
                </c:pt>
                <c:pt idx="440">
                  <c:v>46718</c:v>
                </c:pt>
                <c:pt idx="441">
                  <c:v>46719</c:v>
                </c:pt>
                <c:pt idx="442">
                  <c:v>46720</c:v>
                </c:pt>
                <c:pt idx="443">
                  <c:v>46721</c:v>
                </c:pt>
                <c:pt idx="444">
                  <c:v>46722</c:v>
                </c:pt>
                <c:pt idx="445">
                  <c:v>46723</c:v>
                </c:pt>
                <c:pt idx="446">
                  <c:v>46724</c:v>
                </c:pt>
                <c:pt idx="447">
                  <c:v>46725</c:v>
                </c:pt>
                <c:pt idx="448">
                  <c:v>46726</c:v>
                </c:pt>
                <c:pt idx="449">
                  <c:v>46727</c:v>
                </c:pt>
                <c:pt idx="450">
                  <c:v>46728</c:v>
                </c:pt>
                <c:pt idx="451">
                  <c:v>46729</c:v>
                </c:pt>
                <c:pt idx="452">
                  <c:v>46730</c:v>
                </c:pt>
                <c:pt idx="453">
                  <c:v>46731</c:v>
                </c:pt>
                <c:pt idx="454">
                  <c:v>46732</c:v>
                </c:pt>
                <c:pt idx="455">
                  <c:v>46733</c:v>
                </c:pt>
                <c:pt idx="456">
                  <c:v>46734</c:v>
                </c:pt>
                <c:pt idx="457">
                  <c:v>46735</c:v>
                </c:pt>
                <c:pt idx="458">
                  <c:v>46736</c:v>
                </c:pt>
                <c:pt idx="459">
                  <c:v>46737</c:v>
                </c:pt>
                <c:pt idx="460">
                  <c:v>46738</c:v>
                </c:pt>
                <c:pt idx="461">
                  <c:v>46739</c:v>
                </c:pt>
                <c:pt idx="462">
                  <c:v>46740</c:v>
                </c:pt>
                <c:pt idx="463">
                  <c:v>46741</c:v>
                </c:pt>
                <c:pt idx="464">
                  <c:v>46742</c:v>
                </c:pt>
                <c:pt idx="465">
                  <c:v>46743</c:v>
                </c:pt>
                <c:pt idx="466">
                  <c:v>46744</c:v>
                </c:pt>
                <c:pt idx="467">
                  <c:v>46745</c:v>
                </c:pt>
                <c:pt idx="468">
                  <c:v>46746</c:v>
                </c:pt>
                <c:pt idx="469">
                  <c:v>46747</c:v>
                </c:pt>
                <c:pt idx="470">
                  <c:v>46748</c:v>
                </c:pt>
                <c:pt idx="471">
                  <c:v>46749</c:v>
                </c:pt>
                <c:pt idx="472">
                  <c:v>46750</c:v>
                </c:pt>
                <c:pt idx="473">
                  <c:v>46751</c:v>
                </c:pt>
                <c:pt idx="474">
                  <c:v>46752</c:v>
                </c:pt>
                <c:pt idx="475">
                  <c:v>46753</c:v>
                </c:pt>
                <c:pt idx="476">
                  <c:v>46754</c:v>
                </c:pt>
                <c:pt idx="477">
                  <c:v>46755</c:v>
                </c:pt>
                <c:pt idx="478">
                  <c:v>46756</c:v>
                </c:pt>
                <c:pt idx="479">
                  <c:v>46757</c:v>
                </c:pt>
                <c:pt idx="480">
                  <c:v>46758</c:v>
                </c:pt>
                <c:pt idx="481">
                  <c:v>46759</c:v>
                </c:pt>
                <c:pt idx="482">
                  <c:v>46760</c:v>
                </c:pt>
                <c:pt idx="483">
                  <c:v>46761</c:v>
                </c:pt>
                <c:pt idx="484">
                  <c:v>46762</c:v>
                </c:pt>
                <c:pt idx="485">
                  <c:v>46763</c:v>
                </c:pt>
                <c:pt idx="486">
                  <c:v>46764</c:v>
                </c:pt>
                <c:pt idx="487">
                  <c:v>46765</c:v>
                </c:pt>
                <c:pt idx="488">
                  <c:v>46766</c:v>
                </c:pt>
                <c:pt idx="489">
                  <c:v>46767</c:v>
                </c:pt>
                <c:pt idx="490">
                  <c:v>46768</c:v>
                </c:pt>
                <c:pt idx="491">
                  <c:v>46769</c:v>
                </c:pt>
                <c:pt idx="492">
                  <c:v>46770</c:v>
                </c:pt>
                <c:pt idx="493">
                  <c:v>46771</c:v>
                </c:pt>
                <c:pt idx="494">
                  <c:v>46772</c:v>
                </c:pt>
                <c:pt idx="495">
                  <c:v>46773</c:v>
                </c:pt>
                <c:pt idx="496">
                  <c:v>46774</c:v>
                </c:pt>
                <c:pt idx="497">
                  <c:v>46775</c:v>
                </c:pt>
                <c:pt idx="498">
                  <c:v>46776</c:v>
                </c:pt>
                <c:pt idx="499">
                  <c:v>46777</c:v>
                </c:pt>
                <c:pt idx="500">
                  <c:v>46778</c:v>
                </c:pt>
                <c:pt idx="501">
                  <c:v>46779</c:v>
                </c:pt>
                <c:pt idx="502">
                  <c:v>46780</c:v>
                </c:pt>
                <c:pt idx="503">
                  <c:v>46781</c:v>
                </c:pt>
                <c:pt idx="504">
                  <c:v>46782</c:v>
                </c:pt>
                <c:pt idx="505">
                  <c:v>46783</c:v>
                </c:pt>
                <c:pt idx="506">
                  <c:v>46784</c:v>
                </c:pt>
                <c:pt idx="507">
                  <c:v>46785</c:v>
                </c:pt>
                <c:pt idx="508">
                  <c:v>46786</c:v>
                </c:pt>
                <c:pt idx="509">
                  <c:v>46787</c:v>
                </c:pt>
                <c:pt idx="510">
                  <c:v>46788</c:v>
                </c:pt>
                <c:pt idx="511">
                  <c:v>46789</c:v>
                </c:pt>
                <c:pt idx="512">
                  <c:v>46790</c:v>
                </c:pt>
                <c:pt idx="513">
                  <c:v>46791</c:v>
                </c:pt>
                <c:pt idx="514">
                  <c:v>46792</c:v>
                </c:pt>
                <c:pt idx="515">
                  <c:v>46793</c:v>
                </c:pt>
                <c:pt idx="516">
                  <c:v>46794</c:v>
                </c:pt>
                <c:pt idx="517">
                  <c:v>46795</c:v>
                </c:pt>
                <c:pt idx="518">
                  <c:v>46796</c:v>
                </c:pt>
                <c:pt idx="519">
                  <c:v>46797</c:v>
                </c:pt>
                <c:pt idx="520">
                  <c:v>46798</c:v>
                </c:pt>
                <c:pt idx="521">
                  <c:v>46799</c:v>
                </c:pt>
                <c:pt idx="522">
                  <c:v>46800</c:v>
                </c:pt>
                <c:pt idx="523">
                  <c:v>46801</c:v>
                </c:pt>
                <c:pt idx="524">
                  <c:v>46802</c:v>
                </c:pt>
                <c:pt idx="525">
                  <c:v>46803</c:v>
                </c:pt>
                <c:pt idx="526">
                  <c:v>46804</c:v>
                </c:pt>
                <c:pt idx="527">
                  <c:v>46805</c:v>
                </c:pt>
                <c:pt idx="528">
                  <c:v>46806</c:v>
                </c:pt>
                <c:pt idx="529">
                  <c:v>46807</c:v>
                </c:pt>
                <c:pt idx="530">
                  <c:v>46808</c:v>
                </c:pt>
                <c:pt idx="531">
                  <c:v>46809</c:v>
                </c:pt>
                <c:pt idx="532">
                  <c:v>46810</c:v>
                </c:pt>
                <c:pt idx="533">
                  <c:v>46811</c:v>
                </c:pt>
                <c:pt idx="534">
                  <c:v>46812</c:v>
                </c:pt>
                <c:pt idx="535">
                  <c:v>46813</c:v>
                </c:pt>
                <c:pt idx="536">
                  <c:v>46814</c:v>
                </c:pt>
                <c:pt idx="537">
                  <c:v>46815</c:v>
                </c:pt>
                <c:pt idx="538">
                  <c:v>46816</c:v>
                </c:pt>
                <c:pt idx="539">
                  <c:v>46817</c:v>
                </c:pt>
                <c:pt idx="540">
                  <c:v>46818</c:v>
                </c:pt>
                <c:pt idx="541">
                  <c:v>46819</c:v>
                </c:pt>
                <c:pt idx="542">
                  <c:v>46820</c:v>
                </c:pt>
                <c:pt idx="543">
                  <c:v>46821</c:v>
                </c:pt>
                <c:pt idx="544">
                  <c:v>46822</c:v>
                </c:pt>
                <c:pt idx="545">
                  <c:v>46823</c:v>
                </c:pt>
                <c:pt idx="546">
                  <c:v>46824</c:v>
                </c:pt>
                <c:pt idx="547">
                  <c:v>46825</c:v>
                </c:pt>
                <c:pt idx="548">
                  <c:v>46826</c:v>
                </c:pt>
                <c:pt idx="549">
                  <c:v>46827</c:v>
                </c:pt>
                <c:pt idx="550">
                  <c:v>46828</c:v>
                </c:pt>
                <c:pt idx="551">
                  <c:v>46829</c:v>
                </c:pt>
                <c:pt idx="552">
                  <c:v>46830</c:v>
                </c:pt>
                <c:pt idx="553">
                  <c:v>46831</c:v>
                </c:pt>
                <c:pt idx="554">
                  <c:v>46832</c:v>
                </c:pt>
                <c:pt idx="555">
                  <c:v>46833</c:v>
                </c:pt>
                <c:pt idx="556">
                  <c:v>46834</c:v>
                </c:pt>
                <c:pt idx="557">
                  <c:v>46835</c:v>
                </c:pt>
                <c:pt idx="558">
                  <c:v>46836</c:v>
                </c:pt>
                <c:pt idx="559">
                  <c:v>46837</c:v>
                </c:pt>
                <c:pt idx="560">
                  <c:v>46838</c:v>
                </c:pt>
                <c:pt idx="561">
                  <c:v>46839</c:v>
                </c:pt>
                <c:pt idx="562">
                  <c:v>46840</c:v>
                </c:pt>
                <c:pt idx="563">
                  <c:v>46841</c:v>
                </c:pt>
                <c:pt idx="564">
                  <c:v>46842</c:v>
                </c:pt>
                <c:pt idx="565">
                  <c:v>46843</c:v>
                </c:pt>
                <c:pt idx="566">
                  <c:v>46844</c:v>
                </c:pt>
                <c:pt idx="567">
                  <c:v>46845</c:v>
                </c:pt>
                <c:pt idx="568">
                  <c:v>46846</c:v>
                </c:pt>
                <c:pt idx="569">
                  <c:v>46847</c:v>
                </c:pt>
                <c:pt idx="570">
                  <c:v>46848</c:v>
                </c:pt>
                <c:pt idx="571">
                  <c:v>46849</c:v>
                </c:pt>
                <c:pt idx="572">
                  <c:v>46850</c:v>
                </c:pt>
                <c:pt idx="573">
                  <c:v>46851</c:v>
                </c:pt>
                <c:pt idx="574">
                  <c:v>46852</c:v>
                </c:pt>
                <c:pt idx="575">
                  <c:v>46853</c:v>
                </c:pt>
                <c:pt idx="576">
                  <c:v>46854</c:v>
                </c:pt>
                <c:pt idx="577">
                  <c:v>46855</c:v>
                </c:pt>
                <c:pt idx="578">
                  <c:v>46856</c:v>
                </c:pt>
                <c:pt idx="579">
                  <c:v>46857</c:v>
                </c:pt>
                <c:pt idx="580">
                  <c:v>46858</c:v>
                </c:pt>
                <c:pt idx="581">
                  <c:v>46859</c:v>
                </c:pt>
                <c:pt idx="582">
                  <c:v>46860</c:v>
                </c:pt>
                <c:pt idx="583">
                  <c:v>46861</c:v>
                </c:pt>
                <c:pt idx="584">
                  <c:v>46862</c:v>
                </c:pt>
                <c:pt idx="585">
                  <c:v>46863</c:v>
                </c:pt>
                <c:pt idx="586">
                  <c:v>46864</c:v>
                </c:pt>
                <c:pt idx="587">
                  <c:v>46865</c:v>
                </c:pt>
                <c:pt idx="588">
                  <c:v>46866</c:v>
                </c:pt>
                <c:pt idx="589">
                  <c:v>46867</c:v>
                </c:pt>
                <c:pt idx="590">
                  <c:v>46868</c:v>
                </c:pt>
                <c:pt idx="591">
                  <c:v>46869</c:v>
                </c:pt>
                <c:pt idx="592">
                  <c:v>46870</c:v>
                </c:pt>
                <c:pt idx="593">
                  <c:v>46871</c:v>
                </c:pt>
                <c:pt idx="594">
                  <c:v>46872</c:v>
                </c:pt>
                <c:pt idx="595">
                  <c:v>46873</c:v>
                </c:pt>
                <c:pt idx="596">
                  <c:v>46874</c:v>
                </c:pt>
                <c:pt idx="597">
                  <c:v>46875</c:v>
                </c:pt>
                <c:pt idx="598">
                  <c:v>46876</c:v>
                </c:pt>
                <c:pt idx="599">
                  <c:v>46877</c:v>
                </c:pt>
                <c:pt idx="600">
                  <c:v>46878</c:v>
                </c:pt>
                <c:pt idx="601">
                  <c:v>46879</c:v>
                </c:pt>
                <c:pt idx="602">
                  <c:v>46880</c:v>
                </c:pt>
                <c:pt idx="603">
                  <c:v>46881</c:v>
                </c:pt>
                <c:pt idx="604">
                  <c:v>46882</c:v>
                </c:pt>
                <c:pt idx="605">
                  <c:v>46883</c:v>
                </c:pt>
                <c:pt idx="606">
                  <c:v>46884</c:v>
                </c:pt>
                <c:pt idx="607">
                  <c:v>46885</c:v>
                </c:pt>
                <c:pt idx="608">
                  <c:v>46886</c:v>
                </c:pt>
                <c:pt idx="609">
                  <c:v>46887</c:v>
                </c:pt>
                <c:pt idx="610">
                  <c:v>46888</c:v>
                </c:pt>
                <c:pt idx="611">
                  <c:v>46889</c:v>
                </c:pt>
                <c:pt idx="612">
                  <c:v>46890</c:v>
                </c:pt>
                <c:pt idx="613">
                  <c:v>46891</c:v>
                </c:pt>
                <c:pt idx="614">
                  <c:v>46892</c:v>
                </c:pt>
                <c:pt idx="615">
                  <c:v>46893</c:v>
                </c:pt>
                <c:pt idx="616">
                  <c:v>46894</c:v>
                </c:pt>
                <c:pt idx="617">
                  <c:v>46895</c:v>
                </c:pt>
                <c:pt idx="618">
                  <c:v>46896</c:v>
                </c:pt>
                <c:pt idx="619">
                  <c:v>46897</c:v>
                </c:pt>
                <c:pt idx="620">
                  <c:v>46898</c:v>
                </c:pt>
                <c:pt idx="621">
                  <c:v>46899</c:v>
                </c:pt>
                <c:pt idx="622">
                  <c:v>46900</c:v>
                </c:pt>
                <c:pt idx="623">
                  <c:v>46901</c:v>
                </c:pt>
                <c:pt idx="624">
                  <c:v>46902</c:v>
                </c:pt>
                <c:pt idx="625">
                  <c:v>46903</c:v>
                </c:pt>
                <c:pt idx="626">
                  <c:v>46904</c:v>
                </c:pt>
                <c:pt idx="627">
                  <c:v>46905</c:v>
                </c:pt>
                <c:pt idx="628">
                  <c:v>46906</c:v>
                </c:pt>
                <c:pt idx="629">
                  <c:v>46907</c:v>
                </c:pt>
                <c:pt idx="630">
                  <c:v>46908</c:v>
                </c:pt>
                <c:pt idx="631">
                  <c:v>46909</c:v>
                </c:pt>
                <c:pt idx="632">
                  <c:v>46910</c:v>
                </c:pt>
                <c:pt idx="633">
                  <c:v>46911</c:v>
                </c:pt>
                <c:pt idx="634">
                  <c:v>46912</c:v>
                </c:pt>
                <c:pt idx="635">
                  <c:v>46913</c:v>
                </c:pt>
                <c:pt idx="636">
                  <c:v>46914</c:v>
                </c:pt>
                <c:pt idx="637">
                  <c:v>46915</c:v>
                </c:pt>
                <c:pt idx="638">
                  <c:v>46916</c:v>
                </c:pt>
                <c:pt idx="639">
                  <c:v>46917</c:v>
                </c:pt>
                <c:pt idx="640">
                  <c:v>46918</c:v>
                </c:pt>
                <c:pt idx="641">
                  <c:v>46919</c:v>
                </c:pt>
                <c:pt idx="642">
                  <c:v>46920</c:v>
                </c:pt>
                <c:pt idx="643">
                  <c:v>46921</c:v>
                </c:pt>
                <c:pt idx="644">
                  <c:v>46922</c:v>
                </c:pt>
                <c:pt idx="645">
                  <c:v>46923</c:v>
                </c:pt>
                <c:pt idx="646">
                  <c:v>46924</c:v>
                </c:pt>
                <c:pt idx="647">
                  <c:v>46925</c:v>
                </c:pt>
                <c:pt idx="648">
                  <c:v>46926</c:v>
                </c:pt>
                <c:pt idx="649">
                  <c:v>46927</c:v>
                </c:pt>
                <c:pt idx="650">
                  <c:v>46928</c:v>
                </c:pt>
                <c:pt idx="651">
                  <c:v>46929</c:v>
                </c:pt>
                <c:pt idx="652">
                  <c:v>46930</c:v>
                </c:pt>
                <c:pt idx="653">
                  <c:v>46931</c:v>
                </c:pt>
                <c:pt idx="654">
                  <c:v>46932</c:v>
                </c:pt>
                <c:pt idx="655">
                  <c:v>46933</c:v>
                </c:pt>
                <c:pt idx="656">
                  <c:v>46934</c:v>
                </c:pt>
                <c:pt idx="657">
                  <c:v>46935</c:v>
                </c:pt>
                <c:pt idx="658">
                  <c:v>46936</c:v>
                </c:pt>
                <c:pt idx="659">
                  <c:v>46937</c:v>
                </c:pt>
                <c:pt idx="660">
                  <c:v>46938</c:v>
                </c:pt>
                <c:pt idx="661">
                  <c:v>46939</c:v>
                </c:pt>
                <c:pt idx="662">
                  <c:v>46940</c:v>
                </c:pt>
                <c:pt idx="663">
                  <c:v>46941</c:v>
                </c:pt>
                <c:pt idx="664">
                  <c:v>46942</c:v>
                </c:pt>
                <c:pt idx="665">
                  <c:v>46943</c:v>
                </c:pt>
                <c:pt idx="666">
                  <c:v>46944</c:v>
                </c:pt>
                <c:pt idx="667">
                  <c:v>46945</c:v>
                </c:pt>
                <c:pt idx="668">
                  <c:v>46946</c:v>
                </c:pt>
                <c:pt idx="669">
                  <c:v>46947</c:v>
                </c:pt>
                <c:pt idx="670">
                  <c:v>46948</c:v>
                </c:pt>
                <c:pt idx="671">
                  <c:v>46949</c:v>
                </c:pt>
                <c:pt idx="672">
                  <c:v>46950</c:v>
                </c:pt>
                <c:pt idx="673">
                  <c:v>46951</c:v>
                </c:pt>
                <c:pt idx="674">
                  <c:v>46952</c:v>
                </c:pt>
                <c:pt idx="675">
                  <c:v>46953</c:v>
                </c:pt>
                <c:pt idx="676">
                  <c:v>46954</c:v>
                </c:pt>
                <c:pt idx="677">
                  <c:v>46955</c:v>
                </c:pt>
                <c:pt idx="678">
                  <c:v>46956</c:v>
                </c:pt>
                <c:pt idx="679">
                  <c:v>46957</c:v>
                </c:pt>
                <c:pt idx="680">
                  <c:v>46958</c:v>
                </c:pt>
                <c:pt idx="681">
                  <c:v>46959</c:v>
                </c:pt>
                <c:pt idx="682">
                  <c:v>46960</c:v>
                </c:pt>
                <c:pt idx="683">
                  <c:v>46961</c:v>
                </c:pt>
                <c:pt idx="684">
                  <c:v>46962</c:v>
                </c:pt>
                <c:pt idx="685">
                  <c:v>46963</c:v>
                </c:pt>
                <c:pt idx="686">
                  <c:v>46964</c:v>
                </c:pt>
                <c:pt idx="687">
                  <c:v>46965</c:v>
                </c:pt>
                <c:pt idx="688">
                  <c:v>46966</c:v>
                </c:pt>
                <c:pt idx="689">
                  <c:v>46967</c:v>
                </c:pt>
                <c:pt idx="690">
                  <c:v>46968</c:v>
                </c:pt>
                <c:pt idx="691">
                  <c:v>46969</c:v>
                </c:pt>
                <c:pt idx="692">
                  <c:v>46970</c:v>
                </c:pt>
                <c:pt idx="693">
                  <c:v>46971</c:v>
                </c:pt>
                <c:pt idx="694">
                  <c:v>46972</c:v>
                </c:pt>
                <c:pt idx="695">
                  <c:v>46973</c:v>
                </c:pt>
                <c:pt idx="696">
                  <c:v>46974</c:v>
                </c:pt>
                <c:pt idx="697">
                  <c:v>46975</c:v>
                </c:pt>
                <c:pt idx="698">
                  <c:v>46976</c:v>
                </c:pt>
                <c:pt idx="699">
                  <c:v>46977</c:v>
                </c:pt>
                <c:pt idx="700">
                  <c:v>46978</c:v>
                </c:pt>
                <c:pt idx="701">
                  <c:v>46979</c:v>
                </c:pt>
                <c:pt idx="702">
                  <c:v>46980</c:v>
                </c:pt>
                <c:pt idx="703">
                  <c:v>46981</c:v>
                </c:pt>
                <c:pt idx="704">
                  <c:v>46982</c:v>
                </c:pt>
                <c:pt idx="705">
                  <c:v>46983</c:v>
                </c:pt>
                <c:pt idx="706">
                  <c:v>46984</c:v>
                </c:pt>
                <c:pt idx="707">
                  <c:v>46985</c:v>
                </c:pt>
                <c:pt idx="708">
                  <c:v>46986</c:v>
                </c:pt>
                <c:pt idx="709">
                  <c:v>46987</c:v>
                </c:pt>
                <c:pt idx="710">
                  <c:v>46988</c:v>
                </c:pt>
                <c:pt idx="711">
                  <c:v>46989</c:v>
                </c:pt>
                <c:pt idx="712">
                  <c:v>46990</c:v>
                </c:pt>
                <c:pt idx="713">
                  <c:v>46991</c:v>
                </c:pt>
                <c:pt idx="714">
                  <c:v>46992</c:v>
                </c:pt>
                <c:pt idx="715">
                  <c:v>46993</c:v>
                </c:pt>
                <c:pt idx="716">
                  <c:v>46994</c:v>
                </c:pt>
                <c:pt idx="717">
                  <c:v>46995</c:v>
                </c:pt>
                <c:pt idx="718">
                  <c:v>46996</c:v>
                </c:pt>
                <c:pt idx="719">
                  <c:v>46997</c:v>
                </c:pt>
                <c:pt idx="720">
                  <c:v>46998</c:v>
                </c:pt>
                <c:pt idx="721">
                  <c:v>46999</c:v>
                </c:pt>
                <c:pt idx="722">
                  <c:v>47000</c:v>
                </c:pt>
                <c:pt idx="723">
                  <c:v>47001</c:v>
                </c:pt>
                <c:pt idx="724">
                  <c:v>47002</c:v>
                </c:pt>
                <c:pt idx="725">
                  <c:v>47003</c:v>
                </c:pt>
                <c:pt idx="726">
                  <c:v>47004</c:v>
                </c:pt>
                <c:pt idx="727">
                  <c:v>47005</c:v>
                </c:pt>
                <c:pt idx="728">
                  <c:v>47006</c:v>
                </c:pt>
                <c:pt idx="729">
                  <c:v>47007</c:v>
                </c:pt>
              </c:numCache>
            </c:numRef>
          </c:cat>
          <c:val>
            <c:numRef>
              <c:f>'Daily Tracking'!$S$6:$S$735</c:f>
              <c:numCache>
                <c:formatCode>General</c:formatCode>
                <c:ptCount val="730"/>
                <c:pt idx="0">
                  <c:v>157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AE-40CA-9BE0-0A8E99D97C2A}"/>
            </c:ext>
          </c:extLst>
        </c:ser>
        <c:ser>
          <c:idx val="1"/>
          <c:order val="1"/>
          <c:tx>
            <c:strRef>
              <c:f>'Daily Tracking'!$T$5</c:f>
              <c:strCache>
                <c:ptCount val="1"/>
                <c:pt idx="0">
                  <c:v>7-Day Average</c:v>
                </c:pt>
              </c:strCache>
            </c:strRef>
          </c:tx>
          <c:spPr>
            <a:ln w="25400" cap="rnd">
              <a:solidFill>
                <a:srgbClr val="14B8A6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'Daily Tracking'!$R$6:$R$735</c:f>
              <c:numCache>
                <c:formatCode>dd/mm/yy</c:formatCode>
                <c:ptCount val="730"/>
                <c:pt idx="0">
                  <c:v>46278</c:v>
                </c:pt>
                <c:pt idx="1">
                  <c:v>46279</c:v>
                </c:pt>
                <c:pt idx="2">
                  <c:v>46280</c:v>
                </c:pt>
                <c:pt idx="3">
                  <c:v>46281</c:v>
                </c:pt>
                <c:pt idx="4">
                  <c:v>46282</c:v>
                </c:pt>
                <c:pt idx="5">
                  <c:v>46283</c:v>
                </c:pt>
                <c:pt idx="6">
                  <c:v>46284</c:v>
                </c:pt>
                <c:pt idx="7">
                  <c:v>46285</c:v>
                </c:pt>
                <c:pt idx="8">
                  <c:v>46286</c:v>
                </c:pt>
                <c:pt idx="9">
                  <c:v>46287</c:v>
                </c:pt>
                <c:pt idx="10">
                  <c:v>46288</c:v>
                </c:pt>
                <c:pt idx="11">
                  <c:v>46289</c:v>
                </c:pt>
                <c:pt idx="12">
                  <c:v>46290</c:v>
                </c:pt>
                <c:pt idx="13">
                  <c:v>46291</c:v>
                </c:pt>
                <c:pt idx="14">
                  <c:v>46292</c:v>
                </c:pt>
                <c:pt idx="15">
                  <c:v>46293</c:v>
                </c:pt>
                <c:pt idx="16">
                  <c:v>46294</c:v>
                </c:pt>
                <c:pt idx="17">
                  <c:v>46295</c:v>
                </c:pt>
                <c:pt idx="18">
                  <c:v>46296</c:v>
                </c:pt>
                <c:pt idx="19">
                  <c:v>46297</c:v>
                </c:pt>
                <c:pt idx="20">
                  <c:v>46298</c:v>
                </c:pt>
                <c:pt idx="21">
                  <c:v>46299</c:v>
                </c:pt>
                <c:pt idx="22">
                  <c:v>46300</c:v>
                </c:pt>
                <c:pt idx="23">
                  <c:v>46301</c:v>
                </c:pt>
                <c:pt idx="24">
                  <c:v>46302</c:v>
                </c:pt>
                <c:pt idx="25">
                  <c:v>46303</c:v>
                </c:pt>
                <c:pt idx="26">
                  <c:v>46304</c:v>
                </c:pt>
                <c:pt idx="27">
                  <c:v>46305</c:v>
                </c:pt>
                <c:pt idx="28">
                  <c:v>46306</c:v>
                </c:pt>
                <c:pt idx="29">
                  <c:v>46307</c:v>
                </c:pt>
                <c:pt idx="30">
                  <c:v>46308</c:v>
                </c:pt>
                <c:pt idx="31">
                  <c:v>46309</c:v>
                </c:pt>
                <c:pt idx="32">
                  <c:v>46310</c:v>
                </c:pt>
                <c:pt idx="33">
                  <c:v>46311</c:v>
                </c:pt>
                <c:pt idx="34">
                  <c:v>46312</c:v>
                </c:pt>
                <c:pt idx="35">
                  <c:v>46313</c:v>
                </c:pt>
                <c:pt idx="36">
                  <c:v>46314</c:v>
                </c:pt>
                <c:pt idx="37">
                  <c:v>46315</c:v>
                </c:pt>
                <c:pt idx="38">
                  <c:v>46316</c:v>
                </c:pt>
                <c:pt idx="39">
                  <c:v>46317</c:v>
                </c:pt>
                <c:pt idx="40">
                  <c:v>46318</c:v>
                </c:pt>
                <c:pt idx="41">
                  <c:v>46319</c:v>
                </c:pt>
                <c:pt idx="42">
                  <c:v>46320</c:v>
                </c:pt>
                <c:pt idx="43">
                  <c:v>46321</c:v>
                </c:pt>
                <c:pt idx="44">
                  <c:v>46322</c:v>
                </c:pt>
                <c:pt idx="45">
                  <c:v>46323</c:v>
                </c:pt>
                <c:pt idx="46">
                  <c:v>46324</c:v>
                </c:pt>
                <c:pt idx="47">
                  <c:v>46325</c:v>
                </c:pt>
                <c:pt idx="48">
                  <c:v>46326</c:v>
                </c:pt>
                <c:pt idx="49">
                  <c:v>46327</c:v>
                </c:pt>
                <c:pt idx="50">
                  <c:v>46328</c:v>
                </c:pt>
                <c:pt idx="51">
                  <c:v>46329</c:v>
                </c:pt>
                <c:pt idx="52">
                  <c:v>46330</c:v>
                </c:pt>
                <c:pt idx="53">
                  <c:v>46331</c:v>
                </c:pt>
                <c:pt idx="54">
                  <c:v>46332</c:v>
                </c:pt>
                <c:pt idx="55">
                  <c:v>46333</c:v>
                </c:pt>
                <c:pt idx="56">
                  <c:v>46334</c:v>
                </c:pt>
                <c:pt idx="57">
                  <c:v>46335</c:v>
                </c:pt>
                <c:pt idx="58">
                  <c:v>46336</c:v>
                </c:pt>
                <c:pt idx="59">
                  <c:v>46337</c:v>
                </c:pt>
                <c:pt idx="60">
                  <c:v>46338</c:v>
                </c:pt>
                <c:pt idx="61">
                  <c:v>46339</c:v>
                </c:pt>
                <c:pt idx="62">
                  <c:v>46340</c:v>
                </c:pt>
                <c:pt idx="63">
                  <c:v>46341</c:v>
                </c:pt>
                <c:pt idx="64">
                  <c:v>46342</c:v>
                </c:pt>
                <c:pt idx="65">
                  <c:v>46343</c:v>
                </c:pt>
                <c:pt idx="66">
                  <c:v>46344</c:v>
                </c:pt>
                <c:pt idx="67">
                  <c:v>46345</c:v>
                </c:pt>
                <c:pt idx="68">
                  <c:v>46346</c:v>
                </c:pt>
                <c:pt idx="69">
                  <c:v>46347</c:v>
                </c:pt>
                <c:pt idx="70">
                  <c:v>46348</c:v>
                </c:pt>
                <c:pt idx="71">
                  <c:v>46349</c:v>
                </c:pt>
                <c:pt idx="72">
                  <c:v>46350</c:v>
                </c:pt>
                <c:pt idx="73">
                  <c:v>46351</c:v>
                </c:pt>
                <c:pt idx="74">
                  <c:v>46352</c:v>
                </c:pt>
                <c:pt idx="75">
                  <c:v>46353</c:v>
                </c:pt>
                <c:pt idx="76">
                  <c:v>46354</c:v>
                </c:pt>
                <c:pt idx="77">
                  <c:v>46355</c:v>
                </c:pt>
                <c:pt idx="78">
                  <c:v>46356</c:v>
                </c:pt>
                <c:pt idx="79">
                  <c:v>46357</c:v>
                </c:pt>
                <c:pt idx="80">
                  <c:v>46358</c:v>
                </c:pt>
                <c:pt idx="81">
                  <c:v>46359</c:v>
                </c:pt>
                <c:pt idx="82">
                  <c:v>46360</c:v>
                </c:pt>
                <c:pt idx="83">
                  <c:v>46361</c:v>
                </c:pt>
                <c:pt idx="84">
                  <c:v>46362</c:v>
                </c:pt>
                <c:pt idx="85">
                  <c:v>46363</c:v>
                </c:pt>
                <c:pt idx="86">
                  <c:v>46364</c:v>
                </c:pt>
                <c:pt idx="87">
                  <c:v>46365</c:v>
                </c:pt>
                <c:pt idx="88">
                  <c:v>46366</c:v>
                </c:pt>
                <c:pt idx="89">
                  <c:v>46367</c:v>
                </c:pt>
                <c:pt idx="90">
                  <c:v>46368</c:v>
                </c:pt>
                <c:pt idx="91">
                  <c:v>46369</c:v>
                </c:pt>
                <c:pt idx="92">
                  <c:v>46370</c:v>
                </c:pt>
                <c:pt idx="93">
                  <c:v>46371</c:v>
                </c:pt>
                <c:pt idx="94">
                  <c:v>46372</c:v>
                </c:pt>
                <c:pt idx="95">
                  <c:v>46373</c:v>
                </c:pt>
                <c:pt idx="96">
                  <c:v>46374</c:v>
                </c:pt>
                <c:pt idx="97">
                  <c:v>46375</c:v>
                </c:pt>
                <c:pt idx="98">
                  <c:v>46376</c:v>
                </c:pt>
                <c:pt idx="99">
                  <c:v>46377</c:v>
                </c:pt>
                <c:pt idx="100">
                  <c:v>46378</c:v>
                </c:pt>
                <c:pt idx="101">
                  <c:v>46379</c:v>
                </c:pt>
                <c:pt idx="102">
                  <c:v>46380</c:v>
                </c:pt>
                <c:pt idx="103">
                  <c:v>46381</c:v>
                </c:pt>
                <c:pt idx="104">
                  <c:v>46382</c:v>
                </c:pt>
                <c:pt idx="105">
                  <c:v>46383</c:v>
                </c:pt>
                <c:pt idx="106">
                  <c:v>46384</c:v>
                </c:pt>
                <c:pt idx="107">
                  <c:v>46385</c:v>
                </c:pt>
                <c:pt idx="108">
                  <c:v>46386</c:v>
                </c:pt>
                <c:pt idx="109">
                  <c:v>46387</c:v>
                </c:pt>
                <c:pt idx="110">
                  <c:v>46388</c:v>
                </c:pt>
                <c:pt idx="111">
                  <c:v>46389</c:v>
                </c:pt>
                <c:pt idx="112">
                  <c:v>46390</c:v>
                </c:pt>
                <c:pt idx="113">
                  <c:v>46391</c:v>
                </c:pt>
                <c:pt idx="114">
                  <c:v>46392</c:v>
                </c:pt>
                <c:pt idx="115">
                  <c:v>46393</c:v>
                </c:pt>
                <c:pt idx="116">
                  <c:v>46394</c:v>
                </c:pt>
                <c:pt idx="117">
                  <c:v>46395</c:v>
                </c:pt>
                <c:pt idx="118">
                  <c:v>46396</c:v>
                </c:pt>
                <c:pt idx="119">
                  <c:v>46397</c:v>
                </c:pt>
                <c:pt idx="120">
                  <c:v>46398</c:v>
                </c:pt>
                <c:pt idx="121">
                  <c:v>46399</c:v>
                </c:pt>
                <c:pt idx="122">
                  <c:v>46400</c:v>
                </c:pt>
                <c:pt idx="123">
                  <c:v>46401</c:v>
                </c:pt>
                <c:pt idx="124">
                  <c:v>46402</c:v>
                </c:pt>
                <c:pt idx="125">
                  <c:v>46403</c:v>
                </c:pt>
                <c:pt idx="126">
                  <c:v>46404</c:v>
                </c:pt>
                <c:pt idx="127">
                  <c:v>46405</c:v>
                </c:pt>
                <c:pt idx="128">
                  <c:v>46406</c:v>
                </c:pt>
                <c:pt idx="129">
                  <c:v>46407</c:v>
                </c:pt>
                <c:pt idx="130">
                  <c:v>46408</c:v>
                </c:pt>
                <c:pt idx="131">
                  <c:v>46409</c:v>
                </c:pt>
                <c:pt idx="132">
                  <c:v>46410</c:v>
                </c:pt>
                <c:pt idx="133">
                  <c:v>46411</c:v>
                </c:pt>
                <c:pt idx="134">
                  <c:v>46412</c:v>
                </c:pt>
                <c:pt idx="135">
                  <c:v>46413</c:v>
                </c:pt>
                <c:pt idx="136">
                  <c:v>46414</c:v>
                </c:pt>
                <c:pt idx="137">
                  <c:v>46415</c:v>
                </c:pt>
                <c:pt idx="138">
                  <c:v>46416</c:v>
                </c:pt>
                <c:pt idx="139">
                  <c:v>46417</c:v>
                </c:pt>
                <c:pt idx="140">
                  <c:v>46418</c:v>
                </c:pt>
                <c:pt idx="141">
                  <c:v>46419</c:v>
                </c:pt>
                <c:pt idx="142">
                  <c:v>46420</c:v>
                </c:pt>
                <c:pt idx="143">
                  <c:v>46421</c:v>
                </c:pt>
                <c:pt idx="144">
                  <c:v>46422</c:v>
                </c:pt>
                <c:pt idx="145">
                  <c:v>46423</c:v>
                </c:pt>
                <c:pt idx="146">
                  <c:v>46424</c:v>
                </c:pt>
                <c:pt idx="147">
                  <c:v>46425</c:v>
                </c:pt>
                <c:pt idx="148">
                  <c:v>46426</c:v>
                </c:pt>
                <c:pt idx="149">
                  <c:v>46427</c:v>
                </c:pt>
                <c:pt idx="150">
                  <c:v>46428</c:v>
                </c:pt>
                <c:pt idx="151">
                  <c:v>46429</c:v>
                </c:pt>
                <c:pt idx="152">
                  <c:v>46430</c:v>
                </c:pt>
                <c:pt idx="153">
                  <c:v>46431</c:v>
                </c:pt>
                <c:pt idx="154">
                  <c:v>46432</c:v>
                </c:pt>
                <c:pt idx="155">
                  <c:v>46433</c:v>
                </c:pt>
                <c:pt idx="156">
                  <c:v>46434</c:v>
                </c:pt>
                <c:pt idx="157">
                  <c:v>46435</c:v>
                </c:pt>
                <c:pt idx="158">
                  <c:v>46436</c:v>
                </c:pt>
                <c:pt idx="159">
                  <c:v>46437</c:v>
                </c:pt>
                <c:pt idx="160">
                  <c:v>46438</c:v>
                </c:pt>
                <c:pt idx="161">
                  <c:v>46439</c:v>
                </c:pt>
                <c:pt idx="162">
                  <c:v>46440</c:v>
                </c:pt>
                <c:pt idx="163">
                  <c:v>46441</c:v>
                </c:pt>
                <c:pt idx="164">
                  <c:v>46442</c:v>
                </c:pt>
                <c:pt idx="165">
                  <c:v>46443</c:v>
                </c:pt>
                <c:pt idx="166">
                  <c:v>46444</c:v>
                </c:pt>
                <c:pt idx="167">
                  <c:v>46445</c:v>
                </c:pt>
                <c:pt idx="168">
                  <c:v>46446</c:v>
                </c:pt>
                <c:pt idx="169">
                  <c:v>46447</c:v>
                </c:pt>
                <c:pt idx="170">
                  <c:v>46448</c:v>
                </c:pt>
                <c:pt idx="171">
                  <c:v>46449</c:v>
                </c:pt>
                <c:pt idx="172">
                  <c:v>46450</c:v>
                </c:pt>
                <c:pt idx="173">
                  <c:v>46451</c:v>
                </c:pt>
                <c:pt idx="174">
                  <c:v>46452</c:v>
                </c:pt>
                <c:pt idx="175">
                  <c:v>46453</c:v>
                </c:pt>
                <c:pt idx="176">
                  <c:v>46454</c:v>
                </c:pt>
                <c:pt idx="177">
                  <c:v>46455</c:v>
                </c:pt>
                <c:pt idx="178">
                  <c:v>46456</c:v>
                </c:pt>
                <c:pt idx="179">
                  <c:v>46457</c:v>
                </c:pt>
                <c:pt idx="180">
                  <c:v>46458</c:v>
                </c:pt>
                <c:pt idx="181">
                  <c:v>46459</c:v>
                </c:pt>
                <c:pt idx="182">
                  <c:v>46460</c:v>
                </c:pt>
                <c:pt idx="183">
                  <c:v>46461</c:v>
                </c:pt>
                <c:pt idx="184">
                  <c:v>46462</c:v>
                </c:pt>
                <c:pt idx="185">
                  <c:v>46463</c:v>
                </c:pt>
                <c:pt idx="186">
                  <c:v>46464</c:v>
                </c:pt>
                <c:pt idx="187">
                  <c:v>46465</c:v>
                </c:pt>
                <c:pt idx="188">
                  <c:v>46466</c:v>
                </c:pt>
                <c:pt idx="189">
                  <c:v>46467</c:v>
                </c:pt>
                <c:pt idx="190">
                  <c:v>46468</c:v>
                </c:pt>
                <c:pt idx="191">
                  <c:v>46469</c:v>
                </c:pt>
                <c:pt idx="192">
                  <c:v>46470</c:v>
                </c:pt>
                <c:pt idx="193">
                  <c:v>46471</c:v>
                </c:pt>
                <c:pt idx="194">
                  <c:v>46472</c:v>
                </c:pt>
                <c:pt idx="195">
                  <c:v>46473</c:v>
                </c:pt>
                <c:pt idx="196">
                  <c:v>46474</c:v>
                </c:pt>
                <c:pt idx="197">
                  <c:v>46475</c:v>
                </c:pt>
                <c:pt idx="198">
                  <c:v>46476</c:v>
                </c:pt>
                <c:pt idx="199">
                  <c:v>46477</c:v>
                </c:pt>
                <c:pt idx="200">
                  <c:v>46478</c:v>
                </c:pt>
                <c:pt idx="201">
                  <c:v>46479</c:v>
                </c:pt>
                <c:pt idx="202">
                  <c:v>46480</c:v>
                </c:pt>
                <c:pt idx="203">
                  <c:v>46481</c:v>
                </c:pt>
                <c:pt idx="204">
                  <c:v>46482</c:v>
                </c:pt>
                <c:pt idx="205">
                  <c:v>46483</c:v>
                </c:pt>
                <c:pt idx="206">
                  <c:v>46484</c:v>
                </c:pt>
                <c:pt idx="207">
                  <c:v>46485</c:v>
                </c:pt>
                <c:pt idx="208">
                  <c:v>46486</c:v>
                </c:pt>
                <c:pt idx="209">
                  <c:v>46487</c:v>
                </c:pt>
                <c:pt idx="210">
                  <c:v>46488</c:v>
                </c:pt>
                <c:pt idx="211">
                  <c:v>46489</c:v>
                </c:pt>
                <c:pt idx="212">
                  <c:v>46490</c:v>
                </c:pt>
                <c:pt idx="213">
                  <c:v>46491</c:v>
                </c:pt>
                <c:pt idx="214">
                  <c:v>46492</c:v>
                </c:pt>
                <c:pt idx="215">
                  <c:v>46493</c:v>
                </c:pt>
                <c:pt idx="216">
                  <c:v>46494</c:v>
                </c:pt>
                <c:pt idx="217">
                  <c:v>46495</c:v>
                </c:pt>
                <c:pt idx="218">
                  <c:v>46496</c:v>
                </c:pt>
                <c:pt idx="219">
                  <c:v>46497</c:v>
                </c:pt>
                <c:pt idx="220">
                  <c:v>46498</c:v>
                </c:pt>
                <c:pt idx="221">
                  <c:v>46499</c:v>
                </c:pt>
                <c:pt idx="222">
                  <c:v>46500</c:v>
                </c:pt>
                <c:pt idx="223">
                  <c:v>46501</c:v>
                </c:pt>
                <c:pt idx="224">
                  <c:v>46502</c:v>
                </c:pt>
                <c:pt idx="225">
                  <c:v>46503</c:v>
                </c:pt>
                <c:pt idx="226">
                  <c:v>46504</c:v>
                </c:pt>
                <c:pt idx="227">
                  <c:v>46505</c:v>
                </c:pt>
                <c:pt idx="228">
                  <c:v>46506</c:v>
                </c:pt>
                <c:pt idx="229">
                  <c:v>46507</c:v>
                </c:pt>
                <c:pt idx="230">
                  <c:v>46508</c:v>
                </c:pt>
                <c:pt idx="231">
                  <c:v>46509</c:v>
                </c:pt>
                <c:pt idx="232">
                  <c:v>46510</c:v>
                </c:pt>
                <c:pt idx="233">
                  <c:v>46511</c:v>
                </c:pt>
                <c:pt idx="234">
                  <c:v>46512</c:v>
                </c:pt>
                <c:pt idx="235">
                  <c:v>46513</c:v>
                </c:pt>
                <c:pt idx="236">
                  <c:v>46514</c:v>
                </c:pt>
                <c:pt idx="237">
                  <c:v>46515</c:v>
                </c:pt>
                <c:pt idx="238">
                  <c:v>46516</c:v>
                </c:pt>
                <c:pt idx="239">
                  <c:v>46517</c:v>
                </c:pt>
                <c:pt idx="240">
                  <c:v>46518</c:v>
                </c:pt>
                <c:pt idx="241">
                  <c:v>46519</c:v>
                </c:pt>
                <c:pt idx="242">
                  <c:v>46520</c:v>
                </c:pt>
                <c:pt idx="243">
                  <c:v>46521</c:v>
                </c:pt>
                <c:pt idx="244">
                  <c:v>46522</c:v>
                </c:pt>
                <c:pt idx="245">
                  <c:v>46523</c:v>
                </c:pt>
                <c:pt idx="246">
                  <c:v>46524</c:v>
                </c:pt>
                <c:pt idx="247">
                  <c:v>46525</c:v>
                </c:pt>
                <c:pt idx="248">
                  <c:v>46526</c:v>
                </c:pt>
                <c:pt idx="249">
                  <c:v>46527</c:v>
                </c:pt>
                <c:pt idx="250">
                  <c:v>46528</c:v>
                </c:pt>
                <c:pt idx="251">
                  <c:v>46529</c:v>
                </c:pt>
                <c:pt idx="252">
                  <c:v>46530</c:v>
                </c:pt>
                <c:pt idx="253">
                  <c:v>46531</c:v>
                </c:pt>
                <c:pt idx="254">
                  <c:v>46532</c:v>
                </c:pt>
                <c:pt idx="255">
                  <c:v>46533</c:v>
                </c:pt>
                <c:pt idx="256">
                  <c:v>46534</c:v>
                </c:pt>
                <c:pt idx="257">
                  <c:v>46535</c:v>
                </c:pt>
                <c:pt idx="258">
                  <c:v>46536</c:v>
                </c:pt>
                <c:pt idx="259">
                  <c:v>46537</c:v>
                </c:pt>
                <c:pt idx="260">
                  <c:v>46538</c:v>
                </c:pt>
                <c:pt idx="261">
                  <c:v>46539</c:v>
                </c:pt>
                <c:pt idx="262">
                  <c:v>46540</c:v>
                </c:pt>
                <c:pt idx="263">
                  <c:v>46541</c:v>
                </c:pt>
                <c:pt idx="264">
                  <c:v>46542</c:v>
                </c:pt>
                <c:pt idx="265">
                  <c:v>46543</c:v>
                </c:pt>
                <c:pt idx="266">
                  <c:v>46544</c:v>
                </c:pt>
                <c:pt idx="267">
                  <c:v>46545</c:v>
                </c:pt>
                <c:pt idx="268">
                  <c:v>46546</c:v>
                </c:pt>
                <c:pt idx="269">
                  <c:v>46547</c:v>
                </c:pt>
                <c:pt idx="270">
                  <c:v>46548</c:v>
                </c:pt>
                <c:pt idx="271">
                  <c:v>46549</c:v>
                </c:pt>
                <c:pt idx="272">
                  <c:v>46550</c:v>
                </c:pt>
                <c:pt idx="273">
                  <c:v>46551</c:v>
                </c:pt>
                <c:pt idx="274">
                  <c:v>46552</c:v>
                </c:pt>
                <c:pt idx="275">
                  <c:v>46553</c:v>
                </c:pt>
                <c:pt idx="276">
                  <c:v>46554</c:v>
                </c:pt>
                <c:pt idx="277">
                  <c:v>46555</c:v>
                </c:pt>
                <c:pt idx="278">
                  <c:v>46556</c:v>
                </c:pt>
                <c:pt idx="279">
                  <c:v>46557</c:v>
                </c:pt>
                <c:pt idx="280">
                  <c:v>46558</c:v>
                </c:pt>
                <c:pt idx="281">
                  <c:v>46559</c:v>
                </c:pt>
                <c:pt idx="282">
                  <c:v>46560</c:v>
                </c:pt>
                <c:pt idx="283">
                  <c:v>46561</c:v>
                </c:pt>
                <c:pt idx="284">
                  <c:v>46562</c:v>
                </c:pt>
                <c:pt idx="285">
                  <c:v>46563</c:v>
                </c:pt>
                <c:pt idx="286">
                  <c:v>46564</c:v>
                </c:pt>
                <c:pt idx="287">
                  <c:v>46565</c:v>
                </c:pt>
                <c:pt idx="288">
                  <c:v>46566</c:v>
                </c:pt>
                <c:pt idx="289">
                  <c:v>46567</c:v>
                </c:pt>
                <c:pt idx="290">
                  <c:v>46568</c:v>
                </c:pt>
                <c:pt idx="291">
                  <c:v>46569</c:v>
                </c:pt>
                <c:pt idx="292">
                  <c:v>46570</c:v>
                </c:pt>
                <c:pt idx="293">
                  <c:v>46571</c:v>
                </c:pt>
                <c:pt idx="294">
                  <c:v>46572</c:v>
                </c:pt>
                <c:pt idx="295">
                  <c:v>46573</c:v>
                </c:pt>
                <c:pt idx="296">
                  <c:v>46574</c:v>
                </c:pt>
                <c:pt idx="297">
                  <c:v>46575</c:v>
                </c:pt>
                <c:pt idx="298">
                  <c:v>46576</c:v>
                </c:pt>
                <c:pt idx="299">
                  <c:v>46577</c:v>
                </c:pt>
                <c:pt idx="300">
                  <c:v>46578</c:v>
                </c:pt>
                <c:pt idx="301">
                  <c:v>46579</c:v>
                </c:pt>
                <c:pt idx="302">
                  <c:v>46580</c:v>
                </c:pt>
                <c:pt idx="303">
                  <c:v>46581</c:v>
                </c:pt>
                <c:pt idx="304">
                  <c:v>46582</c:v>
                </c:pt>
                <c:pt idx="305">
                  <c:v>46583</c:v>
                </c:pt>
                <c:pt idx="306">
                  <c:v>46584</c:v>
                </c:pt>
                <c:pt idx="307">
                  <c:v>46585</c:v>
                </c:pt>
                <c:pt idx="308">
                  <c:v>46586</c:v>
                </c:pt>
                <c:pt idx="309">
                  <c:v>46587</c:v>
                </c:pt>
                <c:pt idx="310">
                  <c:v>46588</c:v>
                </c:pt>
                <c:pt idx="311">
                  <c:v>46589</c:v>
                </c:pt>
                <c:pt idx="312">
                  <c:v>46590</c:v>
                </c:pt>
                <c:pt idx="313">
                  <c:v>46591</c:v>
                </c:pt>
                <c:pt idx="314">
                  <c:v>46592</c:v>
                </c:pt>
                <c:pt idx="315">
                  <c:v>46593</c:v>
                </c:pt>
                <c:pt idx="316">
                  <c:v>46594</c:v>
                </c:pt>
                <c:pt idx="317">
                  <c:v>46595</c:v>
                </c:pt>
                <c:pt idx="318">
                  <c:v>46596</c:v>
                </c:pt>
                <c:pt idx="319">
                  <c:v>46597</c:v>
                </c:pt>
                <c:pt idx="320">
                  <c:v>46598</c:v>
                </c:pt>
                <c:pt idx="321">
                  <c:v>46599</c:v>
                </c:pt>
                <c:pt idx="322">
                  <c:v>46600</c:v>
                </c:pt>
                <c:pt idx="323">
                  <c:v>46601</c:v>
                </c:pt>
                <c:pt idx="324">
                  <c:v>46602</c:v>
                </c:pt>
                <c:pt idx="325">
                  <c:v>46603</c:v>
                </c:pt>
                <c:pt idx="326">
                  <c:v>46604</c:v>
                </c:pt>
                <c:pt idx="327">
                  <c:v>46605</c:v>
                </c:pt>
                <c:pt idx="328">
                  <c:v>46606</c:v>
                </c:pt>
                <c:pt idx="329">
                  <c:v>46607</c:v>
                </c:pt>
                <c:pt idx="330">
                  <c:v>46608</c:v>
                </c:pt>
                <c:pt idx="331">
                  <c:v>46609</c:v>
                </c:pt>
                <c:pt idx="332">
                  <c:v>46610</c:v>
                </c:pt>
                <c:pt idx="333">
                  <c:v>46611</c:v>
                </c:pt>
                <c:pt idx="334">
                  <c:v>46612</c:v>
                </c:pt>
                <c:pt idx="335">
                  <c:v>46613</c:v>
                </c:pt>
                <c:pt idx="336">
                  <c:v>46614</c:v>
                </c:pt>
                <c:pt idx="337">
                  <c:v>46615</c:v>
                </c:pt>
                <c:pt idx="338">
                  <c:v>46616</c:v>
                </c:pt>
                <c:pt idx="339">
                  <c:v>46617</c:v>
                </c:pt>
                <c:pt idx="340">
                  <c:v>46618</c:v>
                </c:pt>
                <c:pt idx="341">
                  <c:v>46619</c:v>
                </c:pt>
                <c:pt idx="342">
                  <c:v>46620</c:v>
                </c:pt>
                <c:pt idx="343">
                  <c:v>46621</c:v>
                </c:pt>
                <c:pt idx="344">
                  <c:v>46622</c:v>
                </c:pt>
                <c:pt idx="345">
                  <c:v>46623</c:v>
                </c:pt>
                <c:pt idx="346">
                  <c:v>46624</c:v>
                </c:pt>
                <c:pt idx="347">
                  <c:v>46625</c:v>
                </c:pt>
                <c:pt idx="348">
                  <c:v>46626</c:v>
                </c:pt>
                <c:pt idx="349">
                  <c:v>46627</c:v>
                </c:pt>
                <c:pt idx="350">
                  <c:v>46628</c:v>
                </c:pt>
                <c:pt idx="351">
                  <c:v>46629</c:v>
                </c:pt>
                <c:pt idx="352">
                  <c:v>46630</c:v>
                </c:pt>
                <c:pt idx="353">
                  <c:v>46631</c:v>
                </c:pt>
                <c:pt idx="354">
                  <c:v>46632</c:v>
                </c:pt>
                <c:pt idx="355">
                  <c:v>46633</c:v>
                </c:pt>
                <c:pt idx="356">
                  <c:v>46634</c:v>
                </c:pt>
                <c:pt idx="357">
                  <c:v>46635</c:v>
                </c:pt>
                <c:pt idx="358">
                  <c:v>46636</c:v>
                </c:pt>
                <c:pt idx="359">
                  <c:v>46637</c:v>
                </c:pt>
                <c:pt idx="360">
                  <c:v>46638</c:v>
                </c:pt>
                <c:pt idx="361">
                  <c:v>46639</c:v>
                </c:pt>
                <c:pt idx="362">
                  <c:v>46640</c:v>
                </c:pt>
                <c:pt idx="363">
                  <c:v>46641</c:v>
                </c:pt>
                <c:pt idx="364">
                  <c:v>46642</c:v>
                </c:pt>
                <c:pt idx="365">
                  <c:v>46643</c:v>
                </c:pt>
                <c:pt idx="366">
                  <c:v>46644</c:v>
                </c:pt>
                <c:pt idx="367">
                  <c:v>46645</c:v>
                </c:pt>
                <c:pt idx="368">
                  <c:v>46646</c:v>
                </c:pt>
                <c:pt idx="369">
                  <c:v>46647</c:v>
                </c:pt>
                <c:pt idx="370">
                  <c:v>46648</c:v>
                </c:pt>
                <c:pt idx="371">
                  <c:v>46649</c:v>
                </c:pt>
                <c:pt idx="372">
                  <c:v>46650</c:v>
                </c:pt>
                <c:pt idx="373">
                  <c:v>46651</c:v>
                </c:pt>
                <c:pt idx="374">
                  <c:v>46652</c:v>
                </c:pt>
                <c:pt idx="375">
                  <c:v>46653</c:v>
                </c:pt>
                <c:pt idx="376">
                  <c:v>46654</c:v>
                </c:pt>
                <c:pt idx="377">
                  <c:v>46655</c:v>
                </c:pt>
                <c:pt idx="378">
                  <c:v>46656</c:v>
                </c:pt>
                <c:pt idx="379">
                  <c:v>46657</c:v>
                </c:pt>
                <c:pt idx="380">
                  <c:v>46658</c:v>
                </c:pt>
                <c:pt idx="381">
                  <c:v>46659</c:v>
                </c:pt>
                <c:pt idx="382">
                  <c:v>46660</c:v>
                </c:pt>
                <c:pt idx="383">
                  <c:v>46661</c:v>
                </c:pt>
                <c:pt idx="384">
                  <c:v>46662</c:v>
                </c:pt>
                <c:pt idx="385">
                  <c:v>46663</c:v>
                </c:pt>
                <c:pt idx="386">
                  <c:v>46664</c:v>
                </c:pt>
                <c:pt idx="387">
                  <c:v>46665</c:v>
                </c:pt>
                <c:pt idx="388">
                  <c:v>46666</c:v>
                </c:pt>
                <c:pt idx="389">
                  <c:v>46667</c:v>
                </c:pt>
                <c:pt idx="390">
                  <c:v>46668</c:v>
                </c:pt>
                <c:pt idx="391">
                  <c:v>46669</c:v>
                </c:pt>
                <c:pt idx="392">
                  <c:v>46670</c:v>
                </c:pt>
                <c:pt idx="393">
                  <c:v>46671</c:v>
                </c:pt>
                <c:pt idx="394">
                  <c:v>46672</c:v>
                </c:pt>
                <c:pt idx="395">
                  <c:v>46673</c:v>
                </c:pt>
                <c:pt idx="396">
                  <c:v>46674</c:v>
                </c:pt>
                <c:pt idx="397">
                  <c:v>46675</c:v>
                </c:pt>
                <c:pt idx="398">
                  <c:v>46676</c:v>
                </c:pt>
                <c:pt idx="399">
                  <c:v>46677</c:v>
                </c:pt>
                <c:pt idx="400">
                  <c:v>46678</c:v>
                </c:pt>
                <c:pt idx="401">
                  <c:v>46679</c:v>
                </c:pt>
                <c:pt idx="402">
                  <c:v>46680</c:v>
                </c:pt>
                <c:pt idx="403">
                  <c:v>46681</c:v>
                </c:pt>
                <c:pt idx="404">
                  <c:v>46682</c:v>
                </c:pt>
                <c:pt idx="405">
                  <c:v>46683</c:v>
                </c:pt>
                <c:pt idx="406">
                  <c:v>46684</c:v>
                </c:pt>
                <c:pt idx="407">
                  <c:v>46685</c:v>
                </c:pt>
                <c:pt idx="408">
                  <c:v>46686</c:v>
                </c:pt>
                <c:pt idx="409">
                  <c:v>46687</c:v>
                </c:pt>
                <c:pt idx="410">
                  <c:v>46688</c:v>
                </c:pt>
                <c:pt idx="411">
                  <c:v>46689</c:v>
                </c:pt>
                <c:pt idx="412">
                  <c:v>46690</c:v>
                </c:pt>
                <c:pt idx="413">
                  <c:v>46691</c:v>
                </c:pt>
                <c:pt idx="414">
                  <c:v>46692</c:v>
                </c:pt>
                <c:pt idx="415">
                  <c:v>46693</c:v>
                </c:pt>
                <c:pt idx="416">
                  <c:v>46694</c:v>
                </c:pt>
                <c:pt idx="417">
                  <c:v>46695</c:v>
                </c:pt>
                <c:pt idx="418">
                  <c:v>46696</c:v>
                </c:pt>
                <c:pt idx="419">
                  <c:v>46697</c:v>
                </c:pt>
                <c:pt idx="420">
                  <c:v>46698</c:v>
                </c:pt>
                <c:pt idx="421">
                  <c:v>46699</c:v>
                </c:pt>
                <c:pt idx="422">
                  <c:v>46700</c:v>
                </c:pt>
                <c:pt idx="423">
                  <c:v>46701</c:v>
                </c:pt>
                <c:pt idx="424">
                  <c:v>46702</c:v>
                </c:pt>
                <c:pt idx="425">
                  <c:v>46703</c:v>
                </c:pt>
                <c:pt idx="426">
                  <c:v>46704</c:v>
                </c:pt>
                <c:pt idx="427">
                  <c:v>46705</c:v>
                </c:pt>
                <c:pt idx="428">
                  <c:v>46706</c:v>
                </c:pt>
                <c:pt idx="429">
                  <c:v>46707</c:v>
                </c:pt>
                <c:pt idx="430">
                  <c:v>46708</c:v>
                </c:pt>
                <c:pt idx="431">
                  <c:v>46709</c:v>
                </c:pt>
                <c:pt idx="432">
                  <c:v>46710</c:v>
                </c:pt>
                <c:pt idx="433">
                  <c:v>46711</c:v>
                </c:pt>
                <c:pt idx="434">
                  <c:v>46712</c:v>
                </c:pt>
                <c:pt idx="435">
                  <c:v>46713</c:v>
                </c:pt>
                <c:pt idx="436">
                  <c:v>46714</c:v>
                </c:pt>
                <c:pt idx="437">
                  <c:v>46715</c:v>
                </c:pt>
                <c:pt idx="438">
                  <c:v>46716</c:v>
                </c:pt>
                <c:pt idx="439">
                  <c:v>46717</c:v>
                </c:pt>
                <c:pt idx="440">
                  <c:v>46718</c:v>
                </c:pt>
                <c:pt idx="441">
                  <c:v>46719</c:v>
                </c:pt>
                <c:pt idx="442">
                  <c:v>46720</c:v>
                </c:pt>
                <c:pt idx="443">
                  <c:v>46721</c:v>
                </c:pt>
                <c:pt idx="444">
                  <c:v>46722</c:v>
                </c:pt>
                <c:pt idx="445">
                  <c:v>46723</c:v>
                </c:pt>
                <c:pt idx="446">
                  <c:v>46724</c:v>
                </c:pt>
                <c:pt idx="447">
                  <c:v>46725</c:v>
                </c:pt>
                <c:pt idx="448">
                  <c:v>46726</c:v>
                </c:pt>
                <c:pt idx="449">
                  <c:v>46727</c:v>
                </c:pt>
                <c:pt idx="450">
                  <c:v>46728</c:v>
                </c:pt>
                <c:pt idx="451">
                  <c:v>46729</c:v>
                </c:pt>
                <c:pt idx="452">
                  <c:v>46730</c:v>
                </c:pt>
                <c:pt idx="453">
                  <c:v>46731</c:v>
                </c:pt>
                <c:pt idx="454">
                  <c:v>46732</c:v>
                </c:pt>
                <c:pt idx="455">
                  <c:v>46733</c:v>
                </c:pt>
                <c:pt idx="456">
                  <c:v>46734</c:v>
                </c:pt>
                <c:pt idx="457">
                  <c:v>46735</c:v>
                </c:pt>
                <c:pt idx="458">
                  <c:v>46736</c:v>
                </c:pt>
                <c:pt idx="459">
                  <c:v>46737</c:v>
                </c:pt>
                <c:pt idx="460">
                  <c:v>46738</c:v>
                </c:pt>
                <c:pt idx="461">
                  <c:v>46739</c:v>
                </c:pt>
                <c:pt idx="462">
                  <c:v>46740</c:v>
                </c:pt>
                <c:pt idx="463">
                  <c:v>46741</c:v>
                </c:pt>
                <c:pt idx="464">
                  <c:v>46742</c:v>
                </c:pt>
                <c:pt idx="465">
                  <c:v>46743</c:v>
                </c:pt>
                <c:pt idx="466">
                  <c:v>46744</c:v>
                </c:pt>
                <c:pt idx="467">
                  <c:v>46745</c:v>
                </c:pt>
                <c:pt idx="468">
                  <c:v>46746</c:v>
                </c:pt>
                <c:pt idx="469">
                  <c:v>46747</c:v>
                </c:pt>
                <c:pt idx="470">
                  <c:v>46748</c:v>
                </c:pt>
                <c:pt idx="471">
                  <c:v>46749</c:v>
                </c:pt>
                <c:pt idx="472">
                  <c:v>46750</c:v>
                </c:pt>
                <c:pt idx="473">
                  <c:v>46751</c:v>
                </c:pt>
                <c:pt idx="474">
                  <c:v>46752</c:v>
                </c:pt>
                <c:pt idx="475">
                  <c:v>46753</c:v>
                </c:pt>
                <c:pt idx="476">
                  <c:v>46754</c:v>
                </c:pt>
                <c:pt idx="477">
                  <c:v>46755</c:v>
                </c:pt>
                <c:pt idx="478">
                  <c:v>46756</c:v>
                </c:pt>
                <c:pt idx="479">
                  <c:v>46757</c:v>
                </c:pt>
                <c:pt idx="480">
                  <c:v>46758</c:v>
                </c:pt>
                <c:pt idx="481">
                  <c:v>46759</c:v>
                </c:pt>
                <c:pt idx="482">
                  <c:v>46760</c:v>
                </c:pt>
                <c:pt idx="483">
                  <c:v>46761</c:v>
                </c:pt>
                <c:pt idx="484">
                  <c:v>46762</c:v>
                </c:pt>
                <c:pt idx="485">
                  <c:v>46763</c:v>
                </c:pt>
                <c:pt idx="486">
                  <c:v>46764</c:v>
                </c:pt>
                <c:pt idx="487">
                  <c:v>46765</c:v>
                </c:pt>
                <c:pt idx="488">
                  <c:v>46766</c:v>
                </c:pt>
                <c:pt idx="489">
                  <c:v>46767</c:v>
                </c:pt>
                <c:pt idx="490">
                  <c:v>46768</c:v>
                </c:pt>
                <c:pt idx="491">
                  <c:v>46769</c:v>
                </c:pt>
                <c:pt idx="492">
                  <c:v>46770</c:v>
                </c:pt>
                <c:pt idx="493">
                  <c:v>46771</c:v>
                </c:pt>
                <c:pt idx="494">
                  <c:v>46772</c:v>
                </c:pt>
                <c:pt idx="495">
                  <c:v>46773</c:v>
                </c:pt>
                <c:pt idx="496">
                  <c:v>46774</c:v>
                </c:pt>
                <c:pt idx="497">
                  <c:v>46775</c:v>
                </c:pt>
                <c:pt idx="498">
                  <c:v>46776</c:v>
                </c:pt>
                <c:pt idx="499">
                  <c:v>46777</c:v>
                </c:pt>
                <c:pt idx="500">
                  <c:v>46778</c:v>
                </c:pt>
                <c:pt idx="501">
                  <c:v>46779</c:v>
                </c:pt>
                <c:pt idx="502">
                  <c:v>46780</c:v>
                </c:pt>
                <c:pt idx="503">
                  <c:v>46781</c:v>
                </c:pt>
                <c:pt idx="504">
                  <c:v>46782</c:v>
                </c:pt>
                <c:pt idx="505">
                  <c:v>46783</c:v>
                </c:pt>
                <c:pt idx="506">
                  <c:v>46784</c:v>
                </c:pt>
                <c:pt idx="507">
                  <c:v>46785</c:v>
                </c:pt>
                <c:pt idx="508">
                  <c:v>46786</c:v>
                </c:pt>
                <c:pt idx="509">
                  <c:v>46787</c:v>
                </c:pt>
                <c:pt idx="510">
                  <c:v>46788</c:v>
                </c:pt>
                <c:pt idx="511">
                  <c:v>46789</c:v>
                </c:pt>
                <c:pt idx="512">
                  <c:v>46790</c:v>
                </c:pt>
                <c:pt idx="513">
                  <c:v>46791</c:v>
                </c:pt>
                <c:pt idx="514">
                  <c:v>46792</c:v>
                </c:pt>
                <c:pt idx="515">
                  <c:v>46793</c:v>
                </c:pt>
                <c:pt idx="516">
                  <c:v>46794</c:v>
                </c:pt>
                <c:pt idx="517">
                  <c:v>46795</c:v>
                </c:pt>
                <c:pt idx="518">
                  <c:v>46796</c:v>
                </c:pt>
                <c:pt idx="519">
                  <c:v>46797</c:v>
                </c:pt>
                <c:pt idx="520">
                  <c:v>46798</c:v>
                </c:pt>
                <c:pt idx="521">
                  <c:v>46799</c:v>
                </c:pt>
                <c:pt idx="522">
                  <c:v>46800</c:v>
                </c:pt>
                <c:pt idx="523">
                  <c:v>46801</c:v>
                </c:pt>
                <c:pt idx="524">
                  <c:v>46802</c:v>
                </c:pt>
                <c:pt idx="525">
                  <c:v>46803</c:v>
                </c:pt>
                <c:pt idx="526">
                  <c:v>46804</c:v>
                </c:pt>
                <c:pt idx="527">
                  <c:v>46805</c:v>
                </c:pt>
                <c:pt idx="528">
                  <c:v>46806</c:v>
                </c:pt>
                <c:pt idx="529">
                  <c:v>46807</c:v>
                </c:pt>
                <c:pt idx="530">
                  <c:v>46808</c:v>
                </c:pt>
                <c:pt idx="531">
                  <c:v>46809</c:v>
                </c:pt>
                <c:pt idx="532">
                  <c:v>46810</c:v>
                </c:pt>
                <c:pt idx="533">
                  <c:v>46811</c:v>
                </c:pt>
                <c:pt idx="534">
                  <c:v>46812</c:v>
                </c:pt>
                <c:pt idx="535">
                  <c:v>46813</c:v>
                </c:pt>
                <c:pt idx="536">
                  <c:v>46814</c:v>
                </c:pt>
                <c:pt idx="537">
                  <c:v>46815</c:v>
                </c:pt>
                <c:pt idx="538">
                  <c:v>46816</c:v>
                </c:pt>
                <c:pt idx="539">
                  <c:v>46817</c:v>
                </c:pt>
                <c:pt idx="540">
                  <c:v>46818</c:v>
                </c:pt>
                <c:pt idx="541">
                  <c:v>46819</c:v>
                </c:pt>
                <c:pt idx="542">
                  <c:v>46820</c:v>
                </c:pt>
                <c:pt idx="543">
                  <c:v>46821</c:v>
                </c:pt>
                <c:pt idx="544">
                  <c:v>46822</c:v>
                </c:pt>
                <c:pt idx="545">
                  <c:v>46823</c:v>
                </c:pt>
                <c:pt idx="546">
                  <c:v>46824</c:v>
                </c:pt>
                <c:pt idx="547">
                  <c:v>46825</c:v>
                </c:pt>
                <c:pt idx="548">
                  <c:v>46826</c:v>
                </c:pt>
                <c:pt idx="549">
                  <c:v>46827</c:v>
                </c:pt>
                <c:pt idx="550">
                  <c:v>46828</c:v>
                </c:pt>
                <c:pt idx="551">
                  <c:v>46829</c:v>
                </c:pt>
                <c:pt idx="552">
                  <c:v>46830</c:v>
                </c:pt>
                <c:pt idx="553">
                  <c:v>46831</c:v>
                </c:pt>
                <c:pt idx="554">
                  <c:v>46832</c:v>
                </c:pt>
                <c:pt idx="555">
                  <c:v>46833</c:v>
                </c:pt>
                <c:pt idx="556">
                  <c:v>46834</c:v>
                </c:pt>
                <c:pt idx="557">
                  <c:v>46835</c:v>
                </c:pt>
                <c:pt idx="558">
                  <c:v>46836</c:v>
                </c:pt>
                <c:pt idx="559">
                  <c:v>46837</c:v>
                </c:pt>
                <c:pt idx="560">
                  <c:v>46838</c:v>
                </c:pt>
                <c:pt idx="561">
                  <c:v>46839</c:v>
                </c:pt>
                <c:pt idx="562">
                  <c:v>46840</c:v>
                </c:pt>
                <c:pt idx="563">
                  <c:v>46841</c:v>
                </c:pt>
                <c:pt idx="564">
                  <c:v>46842</c:v>
                </c:pt>
                <c:pt idx="565">
                  <c:v>46843</c:v>
                </c:pt>
                <c:pt idx="566">
                  <c:v>46844</c:v>
                </c:pt>
                <c:pt idx="567">
                  <c:v>46845</c:v>
                </c:pt>
                <c:pt idx="568">
                  <c:v>46846</c:v>
                </c:pt>
                <c:pt idx="569">
                  <c:v>46847</c:v>
                </c:pt>
                <c:pt idx="570">
                  <c:v>46848</c:v>
                </c:pt>
                <c:pt idx="571">
                  <c:v>46849</c:v>
                </c:pt>
                <c:pt idx="572">
                  <c:v>46850</c:v>
                </c:pt>
                <c:pt idx="573">
                  <c:v>46851</c:v>
                </c:pt>
                <c:pt idx="574">
                  <c:v>46852</c:v>
                </c:pt>
                <c:pt idx="575">
                  <c:v>46853</c:v>
                </c:pt>
                <c:pt idx="576">
                  <c:v>46854</c:v>
                </c:pt>
                <c:pt idx="577">
                  <c:v>46855</c:v>
                </c:pt>
                <c:pt idx="578">
                  <c:v>46856</c:v>
                </c:pt>
                <c:pt idx="579">
                  <c:v>46857</c:v>
                </c:pt>
                <c:pt idx="580">
                  <c:v>46858</c:v>
                </c:pt>
                <c:pt idx="581">
                  <c:v>46859</c:v>
                </c:pt>
                <c:pt idx="582">
                  <c:v>46860</c:v>
                </c:pt>
                <c:pt idx="583">
                  <c:v>46861</c:v>
                </c:pt>
                <c:pt idx="584">
                  <c:v>46862</c:v>
                </c:pt>
                <c:pt idx="585">
                  <c:v>46863</c:v>
                </c:pt>
                <c:pt idx="586">
                  <c:v>46864</c:v>
                </c:pt>
                <c:pt idx="587">
                  <c:v>46865</c:v>
                </c:pt>
                <c:pt idx="588">
                  <c:v>46866</c:v>
                </c:pt>
                <c:pt idx="589">
                  <c:v>46867</c:v>
                </c:pt>
                <c:pt idx="590">
                  <c:v>46868</c:v>
                </c:pt>
                <c:pt idx="591">
                  <c:v>46869</c:v>
                </c:pt>
                <c:pt idx="592">
                  <c:v>46870</c:v>
                </c:pt>
                <c:pt idx="593">
                  <c:v>46871</c:v>
                </c:pt>
                <c:pt idx="594">
                  <c:v>46872</c:v>
                </c:pt>
                <c:pt idx="595">
                  <c:v>46873</c:v>
                </c:pt>
                <c:pt idx="596">
                  <c:v>46874</c:v>
                </c:pt>
                <c:pt idx="597">
                  <c:v>46875</c:v>
                </c:pt>
                <c:pt idx="598">
                  <c:v>46876</c:v>
                </c:pt>
                <c:pt idx="599">
                  <c:v>46877</c:v>
                </c:pt>
                <c:pt idx="600">
                  <c:v>46878</c:v>
                </c:pt>
                <c:pt idx="601">
                  <c:v>46879</c:v>
                </c:pt>
                <c:pt idx="602">
                  <c:v>46880</c:v>
                </c:pt>
                <c:pt idx="603">
                  <c:v>46881</c:v>
                </c:pt>
                <c:pt idx="604">
                  <c:v>46882</c:v>
                </c:pt>
                <c:pt idx="605">
                  <c:v>46883</c:v>
                </c:pt>
                <c:pt idx="606">
                  <c:v>46884</c:v>
                </c:pt>
                <c:pt idx="607">
                  <c:v>46885</c:v>
                </c:pt>
                <c:pt idx="608">
                  <c:v>46886</c:v>
                </c:pt>
                <c:pt idx="609">
                  <c:v>46887</c:v>
                </c:pt>
                <c:pt idx="610">
                  <c:v>46888</c:v>
                </c:pt>
                <c:pt idx="611">
                  <c:v>46889</c:v>
                </c:pt>
                <c:pt idx="612">
                  <c:v>46890</c:v>
                </c:pt>
                <c:pt idx="613">
                  <c:v>46891</c:v>
                </c:pt>
                <c:pt idx="614">
                  <c:v>46892</c:v>
                </c:pt>
                <c:pt idx="615">
                  <c:v>46893</c:v>
                </c:pt>
                <c:pt idx="616">
                  <c:v>46894</c:v>
                </c:pt>
                <c:pt idx="617">
                  <c:v>46895</c:v>
                </c:pt>
                <c:pt idx="618">
                  <c:v>46896</c:v>
                </c:pt>
                <c:pt idx="619">
                  <c:v>46897</c:v>
                </c:pt>
                <c:pt idx="620">
                  <c:v>46898</c:v>
                </c:pt>
                <c:pt idx="621">
                  <c:v>46899</c:v>
                </c:pt>
                <c:pt idx="622">
                  <c:v>46900</c:v>
                </c:pt>
                <c:pt idx="623">
                  <c:v>46901</c:v>
                </c:pt>
                <c:pt idx="624">
                  <c:v>46902</c:v>
                </c:pt>
                <c:pt idx="625">
                  <c:v>46903</c:v>
                </c:pt>
                <c:pt idx="626">
                  <c:v>46904</c:v>
                </c:pt>
                <c:pt idx="627">
                  <c:v>46905</c:v>
                </c:pt>
                <c:pt idx="628">
                  <c:v>46906</c:v>
                </c:pt>
                <c:pt idx="629">
                  <c:v>46907</c:v>
                </c:pt>
                <c:pt idx="630">
                  <c:v>46908</c:v>
                </c:pt>
                <c:pt idx="631">
                  <c:v>46909</c:v>
                </c:pt>
                <c:pt idx="632">
                  <c:v>46910</c:v>
                </c:pt>
                <c:pt idx="633">
                  <c:v>46911</c:v>
                </c:pt>
                <c:pt idx="634">
                  <c:v>46912</c:v>
                </c:pt>
                <c:pt idx="635">
                  <c:v>46913</c:v>
                </c:pt>
                <c:pt idx="636">
                  <c:v>46914</c:v>
                </c:pt>
                <c:pt idx="637">
                  <c:v>46915</c:v>
                </c:pt>
                <c:pt idx="638">
                  <c:v>46916</c:v>
                </c:pt>
                <c:pt idx="639">
                  <c:v>46917</c:v>
                </c:pt>
                <c:pt idx="640">
                  <c:v>46918</c:v>
                </c:pt>
                <c:pt idx="641">
                  <c:v>46919</c:v>
                </c:pt>
                <c:pt idx="642">
                  <c:v>46920</c:v>
                </c:pt>
                <c:pt idx="643">
                  <c:v>46921</c:v>
                </c:pt>
                <c:pt idx="644">
                  <c:v>46922</c:v>
                </c:pt>
                <c:pt idx="645">
                  <c:v>46923</c:v>
                </c:pt>
                <c:pt idx="646">
                  <c:v>46924</c:v>
                </c:pt>
                <c:pt idx="647">
                  <c:v>46925</c:v>
                </c:pt>
                <c:pt idx="648">
                  <c:v>46926</c:v>
                </c:pt>
                <c:pt idx="649">
                  <c:v>46927</c:v>
                </c:pt>
                <c:pt idx="650">
                  <c:v>46928</c:v>
                </c:pt>
                <c:pt idx="651">
                  <c:v>46929</c:v>
                </c:pt>
                <c:pt idx="652">
                  <c:v>46930</c:v>
                </c:pt>
                <c:pt idx="653">
                  <c:v>46931</c:v>
                </c:pt>
                <c:pt idx="654">
                  <c:v>46932</c:v>
                </c:pt>
                <c:pt idx="655">
                  <c:v>46933</c:v>
                </c:pt>
                <c:pt idx="656">
                  <c:v>46934</c:v>
                </c:pt>
                <c:pt idx="657">
                  <c:v>46935</c:v>
                </c:pt>
                <c:pt idx="658">
                  <c:v>46936</c:v>
                </c:pt>
                <c:pt idx="659">
                  <c:v>46937</c:v>
                </c:pt>
                <c:pt idx="660">
                  <c:v>46938</c:v>
                </c:pt>
                <c:pt idx="661">
                  <c:v>46939</c:v>
                </c:pt>
                <c:pt idx="662">
                  <c:v>46940</c:v>
                </c:pt>
                <c:pt idx="663">
                  <c:v>46941</c:v>
                </c:pt>
                <c:pt idx="664">
                  <c:v>46942</c:v>
                </c:pt>
                <c:pt idx="665">
                  <c:v>46943</c:v>
                </c:pt>
                <c:pt idx="666">
                  <c:v>46944</c:v>
                </c:pt>
                <c:pt idx="667">
                  <c:v>46945</c:v>
                </c:pt>
                <c:pt idx="668">
                  <c:v>46946</c:v>
                </c:pt>
                <c:pt idx="669">
                  <c:v>46947</c:v>
                </c:pt>
                <c:pt idx="670">
                  <c:v>46948</c:v>
                </c:pt>
                <c:pt idx="671">
                  <c:v>46949</c:v>
                </c:pt>
                <c:pt idx="672">
                  <c:v>46950</c:v>
                </c:pt>
                <c:pt idx="673">
                  <c:v>46951</c:v>
                </c:pt>
                <c:pt idx="674">
                  <c:v>46952</c:v>
                </c:pt>
                <c:pt idx="675">
                  <c:v>46953</c:v>
                </c:pt>
                <c:pt idx="676">
                  <c:v>46954</c:v>
                </c:pt>
                <c:pt idx="677">
                  <c:v>46955</c:v>
                </c:pt>
                <c:pt idx="678">
                  <c:v>46956</c:v>
                </c:pt>
                <c:pt idx="679">
                  <c:v>46957</c:v>
                </c:pt>
                <c:pt idx="680">
                  <c:v>46958</c:v>
                </c:pt>
                <c:pt idx="681">
                  <c:v>46959</c:v>
                </c:pt>
                <c:pt idx="682">
                  <c:v>46960</c:v>
                </c:pt>
                <c:pt idx="683">
                  <c:v>46961</c:v>
                </c:pt>
                <c:pt idx="684">
                  <c:v>46962</c:v>
                </c:pt>
                <c:pt idx="685">
                  <c:v>46963</c:v>
                </c:pt>
                <c:pt idx="686">
                  <c:v>46964</c:v>
                </c:pt>
                <c:pt idx="687">
                  <c:v>46965</c:v>
                </c:pt>
                <c:pt idx="688">
                  <c:v>46966</c:v>
                </c:pt>
                <c:pt idx="689">
                  <c:v>46967</c:v>
                </c:pt>
                <c:pt idx="690">
                  <c:v>46968</c:v>
                </c:pt>
                <c:pt idx="691">
                  <c:v>46969</c:v>
                </c:pt>
                <c:pt idx="692">
                  <c:v>46970</c:v>
                </c:pt>
                <c:pt idx="693">
                  <c:v>46971</c:v>
                </c:pt>
                <c:pt idx="694">
                  <c:v>46972</c:v>
                </c:pt>
                <c:pt idx="695">
                  <c:v>46973</c:v>
                </c:pt>
                <c:pt idx="696">
                  <c:v>46974</c:v>
                </c:pt>
                <c:pt idx="697">
                  <c:v>46975</c:v>
                </c:pt>
                <c:pt idx="698">
                  <c:v>46976</c:v>
                </c:pt>
                <c:pt idx="699">
                  <c:v>46977</c:v>
                </c:pt>
                <c:pt idx="700">
                  <c:v>46978</c:v>
                </c:pt>
                <c:pt idx="701">
                  <c:v>46979</c:v>
                </c:pt>
                <c:pt idx="702">
                  <c:v>46980</c:v>
                </c:pt>
                <c:pt idx="703">
                  <c:v>46981</c:v>
                </c:pt>
                <c:pt idx="704">
                  <c:v>46982</c:v>
                </c:pt>
                <c:pt idx="705">
                  <c:v>46983</c:v>
                </c:pt>
                <c:pt idx="706">
                  <c:v>46984</c:v>
                </c:pt>
                <c:pt idx="707">
                  <c:v>46985</c:v>
                </c:pt>
                <c:pt idx="708">
                  <c:v>46986</c:v>
                </c:pt>
                <c:pt idx="709">
                  <c:v>46987</c:v>
                </c:pt>
                <c:pt idx="710">
                  <c:v>46988</c:v>
                </c:pt>
                <c:pt idx="711">
                  <c:v>46989</c:v>
                </c:pt>
                <c:pt idx="712">
                  <c:v>46990</c:v>
                </c:pt>
                <c:pt idx="713">
                  <c:v>46991</c:v>
                </c:pt>
                <c:pt idx="714">
                  <c:v>46992</c:v>
                </c:pt>
                <c:pt idx="715">
                  <c:v>46993</c:v>
                </c:pt>
                <c:pt idx="716">
                  <c:v>46994</c:v>
                </c:pt>
                <c:pt idx="717">
                  <c:v>46995</c:v>
                </c:pt>
                <c:pt idx="718">
                  <c:v>46996</c:v>
                </c:pt>
                <c:pt idx="719">
                  <c:v>46997</c:v>
                </c:pt>
                <c:pt idx="720">
                  <c:v>46998</c:v>
                </c:pt>
                <c:pt idx="721">
                  <c:v>46999</c:v>
                </c:pt>
                <c:pt idx="722">
                  <c:v>47000</c:v>
                </c:pt>
                <c:pt idx="723">
                  <c:v>47001</c:v>
                </c:pt>
                <c:pt idx="724">
                  <c:v>47002</c:v>
                </c:pt>
                <c:pt idx="725">
                  <c:v>47003</c:v>
                </c:pt>
                <c:pt idx="726">
                  <c:v>47004</c:v>
                </c:pt>
                <c:pt idx="727">
                  <c:v>47005</c:v>
                </c:pt>
                <c:pt idx="728">
                  <c:v>47006</c:v>
                </c:pt>
                <c:pt idx="729">
                  <c:v>47007</c:v>
                </c:pt>
              </c:numCache>
            </c:numRef>
          </c:cat>
          <c:val>
            <c:numRef>
              <c:f>'Daily Tracking'!$T$6:$T$735</c:f>
              <c:numCache>
                <c:formatCode>General</c:formatCode>
                <c:ptCount val="730"/>
                <c:pt idx="0">
                  <c:v>157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AE-40CA-9BE0-0A8E99D97C2A}"/>
            </c:ext>
          </c:extLst>
        </c:ser>
        <c:ser>
          <c:idx val="2"/>
          <c:order val="2"/>
          <c:tx>
            <c:strRef>
              <c:f>'Daily Tracking'!$U$5</c:f>
              <c:strCache>
                <c:ptCount val="1"/>
                <c:pt idx="0">
                  <c:v>Goal</c:v>
                </c:pt>
              </c:strCache>
            </c:strRef>
          </c:tx>
          <c:spPr>
            <a:ln w="25400" cap="rnd">
              <a:solidFill>
                <a:srgbClr val="F59E0B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'Daily Tracking'!$R$6:$R$735</c:f>
              <c:numCache>
                <c:formatCode>dd/mm/yy</c:formatCode>
                <c:ptCount val="730"/>
                <c:pt idx="0">
                  <c:v>46278</c:v>
                </c:pt>
                <c:pt idx="1">
                  <c:v>46279</c:v>
                </c:pt>
                <c:pt idx="2">
                  <c:v>46280</c:v>
                </c:pt>
                <c:pt idx="3">
                  <c:v>46281</c:v>
                </c:pt>
                <c:pt idx="4">
                  <c:v>46282</c:v>
                </c:pt>
                <c:pt idx="5">
                  <c:v>46283</c:v>
                </c:pt>
                <c:pt idx="6">
                  <c:v>46284</c:v>
                </c:pt>
                <c:pt idx="7">
                  <c:v>46285</c:v>
                </c:pt>
                <c:pt idx="8">
                  <c:v>46286</c:v>
                </c:pt>
                <c:pt idx="9">
                  <c:v>46287</c:v>
                </c:pt>
                <c:pt idx="10">
                  <c:v>46288</c:v>
                </c:pt>
                <c:pt idx="11">
                  <c:v>46289</c:v>
                </c:pt>
                <c:pt idx="12">
                  <c:v>46290</c:v>
                </c:pt>
                <c:pt idx="13">
                  <c:v>46291</c:v>
                </c:pt>
                <c:pt idx="14">
                  <c:v>46292</c:v>
                </c:pt>
                <c:pt idx="15">
                  <c:v>46293</c:v>
                </c:pt>
                <c:pt idx="16">
                  <c:v>46294</c:v>
                </c:pt>
                <c:pt idx="17">
                  <c:v>46295</c:v>
                </c:pt>
                <c:pt idx="18">
                  <c:v>46296</c:v>
                </c:pt>
                <c:pt idx="19">
                  <c:v>46297</c:v>
                </c:pt>
                <c:pt idx="20">
                  <c:v>46298</c:v>
                </c:pt>
                <c:pt idx="21">
                  <c:v>46299</c:v>
                </c:pt>
                <c:pt idx="22">
                  <c:v>46300</c:v>
                </c:pt>
                <c:pt idx="23">
                  <c:v>46301</c:v>
                </c:pt>
                <c:pt idx="24">
                  <c:v>46302</c:v>
                </c:pt>
                <c:pt idx="25">
                  <c:v>46303</c:v>
                </c:pt>
                <c:pt idx="26">
                  <c:v>46304</c:v>
                </c:pt>
                <c:pt idx="27">
                  <c:v>46305</c:v>
                </c:pt>
                <c:pt idx="28">
                  <c:v>46306</c:v>
                </c:pt>
                <c:pt idx="29">
                  <c:v>46307</c:v>
                </c:pt>
                <c:pt idx="30">
                  <c:v>46308</c:v>
                </c:pt>
                <c:pt idx="31">
                  <c:v>46309</c:v>
                </c:pt>
                <c:pt idx="32">
                  <c:v>46310</c:v>
                </c:pt>
                <c:pt idx="33">
                  <c:v>46311</c:v>
                </c:pt>
                <c:pt idx="34">
                  <c:v>46312</c:v>
                </c:pt>
                <c:pt idx="35">
                  <c:v>46313</c:v>
                </c:pt>
                <c:pt idx="36">
                  <c:v>46314</c:v>
                </c:pt>
                <c:pt idx="37">
                  <c:v>46315</c:v>
                </c:pt>
                <c:pt idx="38">
                  <c:v>46316</c:v>
                </c:pt>
                <c:pt idx="39">
                  <c:v>46317</c:v>
                </c:pt>
                <c:pt idx="40">
                  <c:v>46318</c:v>
                </c:pt>
                <c:pt idx="41">
                  <c:v>46319</c:v>
                </c:pt>
                <c:pt idx="42">
                  <c:v>46320</c:v>
                </c:pt>
                <c:pt idx="43">
                  <c:v>46321</c:v>
                </c:pt>
                <c:pt idx="44">
                  <c:v>46322</c:v>
                </c:pt>
                <c:pt idx="45">
                  <c:v>46323</c:v>
                </c:pt>
                <c:pt idx="46">
                  <c:v>46324</c:v>
                </c:pt>
                <c:pt idx="47">
                  <c:v>46325</c:v>
                </c:pt>
                <c:pt idx="48">
                  <c:v>46326</c:v>
                </c:pt>
                <c:pt idx="49">
                  <c:v>46327</c:v>
                </c:pt>
                <c:pt idx="50">
                  <c:v>46328</c:v>
                </c:pt>
                <c:pt idx="51">
                  <c:v>46329</c:v>
                </c:pt>
                <c:pt idx="52">
                  <c:v>46330</c:v>
                </c:pt>
                <c:pt idx="53">
                  <c:v>46331</c:v>
                </c:pt>
                <c:pt idx="54">
                  <c:v>46332</c:v>
                </c:pt>
                <c:pt idx="55">
                  <c:v>46333</c:v>
                </c:pt>
                <c:pt idx="56">
                  <c:v>46334</c:v>
                </c:pt>
                <c:pt idx="57">
                  <c:v>46335</c:v>
                </c:pt>
                <c:pt idx="58">
                  <c:v>46336</c:v>
                </c:pt>
                <c:pt idx="59">
                  <c:v>46337</c:v>
                </c:pt>
                <c:pt idx="60">
                  <c:v>46338</c:v>
                </c:pt>
                <c:pt idx="61">
                  <c:v>46339</c:v>
                </c:pt>
                <c:pt idx="62">
                  <c:v>46340</c:v>
                </c:pt>
                <c:pt idx="63">
                  <c:v>46341</c:v>
                </c:pt>
                <c:pt idx="64">
                  <c:v>46342</c:v>
                </c:pt>
                <c:pt idx="65">
                  <c:v>46343</c:v>
                </c:pt>
                <c:pt idx="66">
                  <c:v>46344</c:v>
                </c:pt>
                <c:pt idx="67">
                  <c:v>46345</c:v>
                </c:pt>
                <c:pt idx="68">
                  <c:v>46346</c:v>
                </c:pt>
                <c:pt idx="69">
                  <c:v>46347</c:v>
                </c:pt>
                <c:pt idx="70">
                  <c:v>46348</c:v>
                </c:pt>
                <c:pt idx="71">
                  <c:v>46349</c:v>
                </c:pt>
                <c:pt idx="72">
                  <c:v>46350</c:v>
                </c:pt>
                <c:pt idx="73">
                  <c:v>46351</c:v>
                </c:pt>
                <c:pt idx="74">
                  <c:v>46352</c:v>
                </c:pt>
                <c:pt idx="75">
                  <c:v>46353</c:v>
                </c:pt>
                <c:pt idx="76">
                  <c:v>46354</c:v>
                </c:pt>
                <c:pt idx="77">
                  <c:v>46355</c:v>
                </c:pt>
                <c:pt idx="78">
                  <c:v>46356</c:v>
                </c:pt>
                <c:pt idx="79">
                  <c:v>46357</c:v>
                </c:pt>
                <c:pt idx="80">
                  <c:v>46358</c:v>
                </c:pt>
                <c:pt idx="81">
                  <c:v>46359</c:v>
                </c:pt>
                <c:pt idx="82">
                  <c:v>46360</c:v>
                </c:pt>
                <c:pt idx="83">
                  <c:v>46361</c:v>
                </c:pt>
                <c:pt idx="84">
                  <c:v>46362</c:v>
                </c:pt>
                <c:pt idx="85">
                  <c:v>46363</c:v>
                </c:pt>
                <c:pt idx="86">
                  <c:v>46364</c:v>
                </c:pt>
                <c:pt idx="87">
                  <c:v>46365</c:v>
                </c:pt>
                <c:pt idx="88">
                  <c:v>46366</c:v>
                </c:pt>
                <c:pt idx="89">
                  <c:v>46367</c:v>
                </c:pt>
                <c:pt idx="90">
                  <c:v>46368</c:v>
                </c:pt>
                <c:pt idx="91">
                  <c:v>46369</c:v>
                </c:pt>
                <c:pt idx="92">
                  <c:v>46370</c:v>
                </c:pt>
                <c:pt idx="93">
                  <c:v>46371</c:v>
                </c:pt>
                <c:pt idx="94">
                  <c:v>46372</c:v>
                </c:pt>
                <c:pt idx="95">
                  <c:v>46373</c:v>
                </c:pt>
                <c:pt idx="96">
                  <c:v>46374</c:v>
                </c:pt>
                <c:pt idx="97">
                  <c:v>46375</c:v>
                </c:pt>
                <c:pt idx="98">
                  <c:v>46376</c:v>
                </c:pt>
                <c:pt idx="99">
                  <c:v>46377</c:v>
                </c:pt>
                <c:pt idx="100">
                  <c:v>46378</c:v>
                </c:pt>
                <c:pt idx="101">
                  <c:v>46379</c:v>
                </c:pt>
                <c:pt idx="102">
                  <c:v>46380</c:v>
                </c:pt>
                <c:pt idx="103">
                  <c:v>46381</c:v>
                </c:pt>
                <c:pt idx="104">
                  <c:v>46382</c:v>
                </c:pt>
                <c:pt idx="105">
                  <c:v>46383</c:v>
                </c:pt>
                <c:pt idx="106">
                  <c:v>46384</c:v>
                </c:pt>
                <c:pt idx="107">
                  <c:v>46385</c:v>
                </c:pt>
                <c:pt idx="108">
                  <c:v>46386</c:v>
                </c:pt>
                <c:pt idx="109">
                  <c:v>46387</c:v>
                </c:pt>
                <c:pt idx="110">
                  <c:v>46388</c:v>
                </c:pt>
                <c:pt idx="111">
                  <c:v>46389</c:v>
                </c:pt>
                <c:pt idx="112">
                  <c:v>46390</c:v>
                </c:pt>
                <c:pt idx="113">
                  <c:v>46391</c:v>
                </c:pt>
                <c:pt idx="114">
                  <c:v>46392</c:v>
                </c:pt>
                <c:pt idx="115">
                  <c:v>46393</c:v>
                </c:pt>
                <c:pt idx="116">
                  <c:v>46394</c:v>
                </c:pt>
                <c:pt idx="117">
                  <c:v>46395</c:v>
                </c:pt>
                <c:pt idx="118">
                  <c:v>46396</c:v>
                </c:pt>
                <c:pt idx="119">
                  <c:v>46397</c:v>
                </c:pt>
                <c:pt idx="120">
                  <c:v>46398</c:v>
                </c:pt>
                <c:pt idx="121">
                  <c:v>46399</c:v>
                </c:pt>
                <c:pt idx="122">
                  <c:v>46400</c:v>
                </c:pt>
                <c:pt idx="123">
                  <c:v>46401</c:v>
                </c:pt>
                <c:pt idx="124">
                  <c:v>46402</c:v>
                </c:pt>
                <c:pt idx="125">
                  <c:v>46403</c:v>
                </c:pt>
                <c:pt idx="126">
                  <c:v>46404</c:v>
                </c:pt>
                <c:pt idx="127">
                  <c:v>46405</c:v>
                </c:pt>
                <c:pt idx="128">
                  <c:v>46406</c:v>
                </c:pt>
                <c:pt idx="129">
                  <c:v>46407</c:v>
                </c:pt>
                <c:pt idx="130">
                  <c:v>46408</c:v>
                </c:pt>
                <c:pt idx="131">
                  <c:v>46409</c:v>
                </c:pt>
                <c:pt idx="132">
                  <c:v>46410</c:v>
                </c:pt>
                <c:pt idx="133">
                  <c:v>46411</c:v>
                </c:pt>
                <c:pt idx="134">
                  <c:v>46412</c:v>
                </c:pt>
                <c:pt idx="135">
                  <c:v>46413</c:v>
                </c:pt>
                <c:pt idx="136">
                  <c:v>46414</c:v>
                </c:pt>
                <c:pt idx="137">
                  <c:v>46415</c:v>
                </c:pt>
                <c:pt idx="138">
                  <c:v>46416</c:v>
                </c:pt>
                <c:pt idx="139">
                  <c:v>46417</c:v>
                </c:pt>
                <c:pt idx="140">
                  <c:v>46418</c:v>
                </c:pt>
                <c:pt idx="141">
                  <c:v>46419</c:v>
                </c:pt>
                <c:pt idx="142">
                  <c:v>46420</c:v>
                </c:pt>
                <c:pt idx="143">
                  <c:v>46421</c:v>
                </c:pt>
                <c:pt idx="144">
                  <c:v>46422</c:v>
                </c:pt>
                <c:pt idx="145">
                  <c:v>46423</c:v>
                </c:pt>
                <c:pt idx="146">
                  <c:v>46424</c:v>
                </c:pt>
                <c:pt idx="147">
                  <c:v>46425</c:v>
                </c:pt>
                <c:pt idx="148">
                  <c:v>46426</c:v>
                </c:pt>
                <c:pt idx="149">
                  <c:v>46427</c:v>
                </c:pt>
                <c:pt idx="150">
                  <c:v>46428</c:v>
                </c:pt>
                <c:pt idx="151">
                  <c:v>46429</c:v>
                </c:pt>
                <c:pt idx="152">
                  <c:v>46430</c:v>
                </c:pt>
                <c:pt idx="153">
                  <c:v>46431</c:v>
                </c:pt>
                <c:pt idx="154">
                  <c:v>46432</c:v>
                </c:pt>
                <c:pt idx="155">
                  <c:v>46433</c:v>
                </c:pt>
                <c:pt idx="156">
                  <c:v>46434</c:v>
                </c:pt>
                <c:pt idx="157">
                  <c:v>46435</c:v>
                </c:pt>
                <c:pt idx="158">
                  <c:v>46436</c:v>
                </c:pt>
                <c:pt idx="159">
                  <c:v>46437</c:v>
                </c:pt>
                <c:pt idx="160">
                  <c:v>46438</c:v>
                </c:pt>
                <c:pt idx="161">
                  <c:v>46439</c:v>
                </c:pt>
                <c:pt idx="162">
                  <c:v>46440</c:v>
                </c:pt>
                <c:pt idx="163">
                  <c:v>46441</c:v>
                </c:pt>
                <c:pt idx="164">
                  <c:v>46442</c:v>
                </c:pt>
                <c:pt idx="165">
                  <c:v>46443</c:v>
                </c:pt>
                <c:pt idx="166">
                  <c:v>46444</c:v>
                </c:pt>
                <c:pt idx="167">
                  <c:v>46445</c:v>
                </c:pt>
                <c:pt idx="168">
                  <c:v>46446</c:v>
                </c:pt>
                <c:pt idx="169">
                  <c:v>46447</c:v>
                </c:pt>
                <c:pt idx="170">
                  <c:v>46448</c:v>
                </c:pt>
                <c:pt idx="171">
                  <c:v>46449</c:v>
                </c:pt>
                <c:pt idx="172">
                  <c:v>46450</c:v>
                </c:pt>
                <c:pt idx="173">
                  <c:v>46451</c:v>
                </c:pt>
                <c:pt idx="174">
                  <c:v>46452</c:v>
                </c:pt>
                <c:pt idx="175">
                  <c:v>46453</c:v>
                </c:pt>
                <c:pt idx="176">
                  <c:v>46454</c:v>
                </c:pt>
                <c:pt idx="177">
                  <c:v>46455</c:v>
                </c:pt>
                <c:pt idx="178">
                  <c:v>46456</c:v>
                </c:pt>
                <c:pt idx="179">
                  <c:v>46457</c:v>
                </c:pt>
                <c:pt idx="180">
                  <c:v>46458</c:v>
                </c:pt>
                <c:pt idx="181">
                  <c:v>46459</c:v>
                </c:pt>
                <c:pt idx="182">
                  <c:v>46460</c:v>
                </c:pt>
                <c:pt idx="183">
                  <c:v>46461</c:v>
                </c:pt>
                <c:pt idx="184">
                  <c:v>46462</c:v>
                </c:pt>
                <c:pt idx="185">
                  <c:v>46463</c:v>
                </c:pt>
                <c:pt idx="186">
                  <c:v>46464</c:v>
                </c:pt>
                <c:pt idx="187">
                  <c:v>46465</c:v>
                </c:pt>
                <c:pt idx="188">
                  <c:v>46466</c:v>
                </c:pt>
                <c:pt idx="189">
                  <c:v>46467</c:v>
                </c:pt>
                <c:pt idx="190">
                  <c:v>46468</c:v>
                </c:pt>
                <c:pt idx="191">
                  <c:v>46469</c:v>
                </c:pt>
                <c:pt idx="192">
                  <c:v>46470</c:v>
                </c:pt>
                <c:pt idx="193">
                  <c:v>46471</c:v>
                </c:pt>
                <c:pt idx="194">
                  <c:v>46472</c:v>
                </c:pt>
                <c:pt idx="195">
                  <c:v>46473</c:v>
                </c:pt>
                <c:pt idx="196">
                  <c:v>46474</c:v>
                </c:pt>
                <c:pt idx="197">
                  <c:v>46475</c:v>
                </c:pt>
                <c:pt idx="198">
                  <c:v>46476</c:v>
                </c:pt>
                <c:pt idx="199">
                  <c:v>46477</c:v>
                </c:pt>
                <c:pt idx="200">
                  <c:v>46478</c:v>
                </c:pt>
                <c:pt idx="201">
                  <c:v>46479</c:v>
                </c:pt>
                <c:pt idx="202">
                  <c:v>46480</c:v>
                </c:pt>
                <c:pt idx="203">
                  <c:v>46481</c:v>
                </c:pt>
                <c:pt idx="204">
                  <c:v>46482</c:v>
                </c:pt>
                <c:pt idx="205">
                  <c:v>46483</c:v>
                </c:pt>
                <c:pt idx="206">
                  <c:v>46484</c:v>
                </c:pt>
                <c:pt idx="207">
                  <c:v>46485</c:v>
                </c:pt>
                <c:pt idx="208">
                  <c:v>46486</c:v>
                </c:pt>
                <c:pt idx="209">
                  <c:v>46487</c:v>
                </c:pt>
                <c:pt idx="210">
                  <c:v>46488</c:v>
                </c:pt>
                <c:pt idx="211">
                  <c:v>46489</c:v>
                </c:pt>
                <c:pt idx="212">
                  <c:v>46490</c:v>
                </c:pt>
                <c:pt idx="213">
                  <c:v>46491</c:v>
                </c:pt>
                <c:pt idx="214">
                  <c:v>46492</c:v>
                </c:pt>
                <c:pt idx="215">
                  <c:v>46493</c:v>
                </c:pt>
                <c:pt idx="216">
                  <c:v>46494</c:v>
                </c:pt>
                <c:pt idx="217">
                  <c:v>46495</c:v>
                </c:pt>
                <c:pt idx="218">
                  <c:v>46496</c:v>
                </c:pt>
                <c:pt idx="219">
                  <c:v>46497</c:v>
                </c:pt>
                <c:pt idx="220">
                  <c:v>46498</c:v>
                </c:pt>
                <c:pt idx="221">
                  <c:v>46499</c:v>
                </c:pt>
                <c:pt idx="222">
                  <c:v>46500</c:v>
                </c:pt>
                <c:pt idx="223">
                  <c:v>46501</c:v>
                </c:pt>
                <c:pt idx="224">
                  <c:v>46502</c:v>
                </c:pt>
                <c:pt idx="225">
                  <c:v>46503</c:v>
                </c:pt>
                <c:pt idx="226">
                  <c:v>46504</c:v>
                </c:pt>
                <c:pt idx="227">
                  <c:v>46505</c:v>
                </c:pt>
                <c:pt idx="228">
                  <c:v>46506</c:v>
                </c:pt>
                <c:pt idx="229">
                  <c:v>46507</c:v>
                </c:pt>
                <c:pt idx="230">
                  <c:v>46508</c:v>
                </c:pt>
                <c:pt idx="231">
                  <c:v>46509</c:v>
                </c:pt>
                <c:pt idx="232">
                  <c:v>46510</c:v>
                </c:pt>
                <c:pt idx="233">
                  <c:v>46511</c:v>
                </c:pt>
                <c:pt idx="234">
                  <c:v>46512</c:v>
                </c:pt>
                <c:pt idx="235">
                  <c:v>46513</c:v>
                </c:pt>
                <c:pt idx="236">
                  <c:v>46514</c:v>
                </c:pt>
                <c:pt idx="237">
                  <c:v>46515</c:v>
                </c:pt>
                <c:pt idx="238">
                  <c:v>46516</c:v>
                </c:pt>
                <c:pt idx="239">
                  <c:v>46517</c:v>
                </c:pt>
                <c:pt idx="240">
                  <c:v>46518</c:v>
                </c:pt>
                <c:pt idx="241">
                  <c:v>46519</c:v>
                </c:pt>
                <c:pt idx="242">
                  <c:v>46520</c:v>
                </c:pt>
                <c:pt idx="243">
                  <c:v>46521</c:v>
                </c:pt>
                <c:pt idx="244">
                  <c:v>46522</c:v>
                </c:pt>
                <c:pt idx="245">
                  <c:v>46523</c:v>
                </c:pt>
                <c:pt idx="246">
                  <c:v>46524</c:v>
                </c:pt>
                <c:pt idx="247">
                  <c:v>46525</c:v>
                </c:pt>
                <c:pt idx="248">
                  <c:v>46526</c:v>
                </c:pt>
                <c:pt idx="249">
                  <c:v>46527</c:v>
                </c:pt>
                <c:pt idx="250">
                  <c:v>46528</c:v>
                </c:pt>
                <c:pt idx="251">
                  <c:v>46529</c:v>
                </c:pt>
                <c:pt idx="252">
                  <c:v>46530</c:v>
                </c:pt>
                <c:pt idx="253">
                  <c:v>46531</c:v>
                </c:pt>
                <c:pt idx="254">
                  <c:v>46532</c:v>
                </c:pt>
                <c:pt idx="255">
                  <c:v>46533</c:v>
                </c:pt>
                <c:pt idx="256">
                  <c:v>46534</c:v>
                </c:pt>
                <c:pt idx="257">
                  <c:v>46535</c:v>
                </c:pt>
                <c:pt idx="258">
                  <c:v>46536</c:v>
                </c:pt>
                <c:pt idx="259">
                  <c:v>46537</c:v>
                </c:pt>
                <c:pt idx="260">
                  <c:v>46538</c:v>
                </c:pt>
                <c:pt idx="261">
                  <c:v>46539</c:v>
                </c:pt>
                <c:pt idx="262">
                  <c:v>46540</c:v>
                </c:pt>
                <c:pt idx="263">
                  <c:v>46541</c:v>
                </c:pt>
                <c:pt idx="264">
                  <c:v>46542</c:v>
                </c:pt>
                <c:pt idx="265">
                  <c:v>46543</c:v>
                </c:pt>
                <c:pt idx="266">
                  <c:v>46544</c:v>
                </c:pt>
                <c:pt idx="267">
                  <c:v>46545</c:v>
                </c:pt>
                <c:pt idx="268">
                  <c:v>46546</c:v>
                </c:pt>
                <c:pt idx="269">
                  <c:v>46547</c:v>
                </c:pt>
                <c:pt idx="270">
                  <c:v>46548</c:v>
                </c:pt>
                <c:pt idx="271">
                  <c:v>46549</c:v>
                </c:pt>
                <c:pt idx="272">
                  <c:v>46550</c:v>
                </c:pt>
                <c:pt idx="273">
                  <c:v>46551</c:v>
                </c:pt>
                <c:pt idx="274">
                  <c:v>46552</c:v>
                </c:pt>
                <c:pt idx="275">
                  <c:v>46553</c:v>
                </c:pt>
                <c:pt idx="276">
                  <c:v>46554</c:v>
                </c:pt>
                <c:pt idx="277">
                  <c:v>46555</c:v>
                </c:pt>
                <c:pt idx="278">
                  <c:v>46556</c:v>
                </c:pt>
                <c:pt idx="279">
                  <c:v>46557</c:v>
                </c:pt>
                <c:pt idx="280">
                  <c:v>46558</c:v>
                </c:pt>
                <c:pt idx="281">
                  <c:v>46559</c:v>
                </c:pt>
                <c:pt idx="282">
                  <c:v>46560</c:v>
                </c:pt>
                <c:pt idx="283">
                  <c:v>46561</c:v>
                </c:pt>
                <c:pt idx="284">
                  <c:v>46562</c:v>
                </c:pt>
                <c:pt idx="285">
                  <c:v>46563</c:v>
                </c:pt>
                <c:pt idx="286">
                  <c:v>46564</c:v>
                </c:pt>
                <c:pt idx="287">
                  <c:v>46565</c:v>
                </c:pt>
                <c:pt idx="288">
                  <c:v>46566</c:v>
                </c:pt>
                <c:pt idx="289">
                  <c:v>46567</c:v>
                </c:pt>
                <c:pt idx="290">
                  <c:v>46568</c:v>
                </c:pt>
                <c:pt idx="291">
                  <c:v>46569</c:v>
                </c:pt>
                <c:pt idx="292">
                  <c:v>46570</c:v>
                </c:pt>
                <c:pt idx="293">
                  <c:v>46571</c:v>
                </c:pt>
                <c:pt idx="294">
                  <c:v>46572</c:v>
                </c:pt>
                <c:pt idx="295">
                  <c:v>46573</c:v>
                </c:pt>
                <c:pt idx="296">
                  <c:v>46574</c:v>
                </c:pt>
                <c:pt idx="297">
                  <c:v>46575</c:v>
                </c:pt>
                <c:pt idx="298">
                  <c:v>46576</c:v>
                </c:pt>
                <c:pt idx="299">
                  <c:v>46577</c:v>
                </c:pt>
                <c:pt idx="300">
                  <c:v>46578</c:v>
                </c:pt>
                <c:pt idx="301">
                  <c:v>46579</c:v>
                </c:pt>
                <c:pt idx="302">
                  <c:v>46580</c:v>
                </c:pt>
                <c:pt idx="303">
                  <c:v>46581</c:v>
                </c:pt>
                <c:pt idx="304">
                  <c:v>46582</c:v>
                </c:pt>
                <c:pt idx="305">
                  <c:v>46583</c:v>
                </c:pt>
                <c:pt idx="306">
                  <c:v>46584</c:v>
                </c:pt>
                <c:pt idx="307">
                  <c:v>46585</c:v>
                </c:pt>
                <c:pt idx="308">
                  <c:v>46586</c:v>
                </c:pt>
                <c:pt idx="309">
                  <c:v>46587</c:v>
                </c:pt>
                <c:pt idx="310">
                  <c:v>46588</c:v>
                </c:pt>
                <c:pt idx="311">
                  <c:v>46589</c:v>
                </c:pt>
                <c:pt idx="312">
                  <c:v>46590</c:v>
                </c:pt>
                <c:pt idx="313">
                  <c:v>46591</c:v>
                </c:pt>
                <c:pt idx="314">
                  <c:v>46592</c:v>
                </c:pt>
                <c:pt idx="315">
                  <c:v>46593</c:v>
                </c:pt>
                <c:pt idx="316">
                  <c:v>46594</c:v>
                </c:pt>
                <c:pt idx="317">
                  <c:v>46595</c:v>
                </c:pt>
                <c:pt idx="318">
                  <c:v>46596</c:v>
                </c:pt>
                <c:pt idx="319">
                  <c:v>46597</c:v>
                </c:pt>
                <c:pt idx="320">
                  <c:v>46598</c:v>
                </c:pt>
                <c:pt idx="321">
                  <c:v>46599</c:v>
                </c:pt>
                <c:pt idx="322">
                  <c:v>46600</c:v>
                </c:pt>
                <c:pt idx="323">
                  <c:v>46601</c:v>
                </c:pt>
                <c:pt idx="324">
                  <c:v>46602</c:v>
                </c:pt>
                <c:pt idx="325">
                  <c:v>46603</c:v>
                </c:pt>
                <c:pt idx="326">
                  <c:v>46604</c:v>
                </c:pt>
                <c:pt idx="327">
                  <c:v>46605</c:v>
                </c:pt>
                <c:pt idx="328">
                  <c:v>46606</c:v>
                </c:pt>
                <c:pt idx="329">
                  <c:v>46607</c:v>
                </c:pt>
                <c:pt idx="330">
                  <c:v>46608</c:v>
                </c:pt>
                <c:pt idx="331">
                  <c:v>46609</c:v>
                </c:pt>
                <c:pt idx="332">
                  <c:v>46610</c:v>
                </c:pt>
                <c:pt idx="333">
                  <c:v>46611</c:v>
                </c:pt>
                <c:pt idx="334">
                  <c:v>46612</c:v>
                </c:pt>
                <c:pt idx="335">
                  <c:v>46613</c:v>
                </c:pt>
                <c:pt idx="336">
                  <c:v>46614</c:v>
                </c:pt>
                <c:pt idx="337">
                  <c:v>46615</c:v>
                </c:pt>
                <c:pt idx="338">
                  <c:v>46616</c:v>
                </c:pt>
                <c:pt idx="339">
                  <c:v>46617</c:v>
                </c:pt>
                <c:pt idx="340">
                  <c:v>46618</c:v>
                </c:pt>
                <c:pt idx="341">
                  <c:v>46619</c:v>
                </c:pt>
                <c:pt idx="342">
                  <c:v>46620</c:v>
                </c:pt>
                <c:pt idx="343">
                  <c:v>46621</c:v>
                </c:pt>
                <c:pt idx="344">
                  <c:v>46622</c:v>
                </c:pt>
                <c:pt idx="345">
                  <c:v>46623</c:v>
                </c:pt>
                <c:pt idx="346">
                  <c:v>46624</c:v>
                </c:pt>
                <c:pt idx="347">
                  <c:v>46625</c:v>
                </c:pt>
                <c:pt idx="348">
                  <c:v>46626</c:v>
                </c:pt>
                <c:pt idx="349">
                  <c:v>46627</c:v>
                </c:pt>
                <c:pt idx="350">
                  <c:v>46628</c:v>
                </c:pt>
                <c:pt idx="351">
                  <c:v>46629</c:v>
                </c:pt>
                <c:pt idx="352">
                  <c:v>46630</c:v>
                </c:pt>
                <c:pt idx="353">
                  <c:v>46631</c:v>
                </c:pt>
                <c:pt idx="354">
                  <c:v>46632</c:v>
                </c:pt>
                <c:pt idx="355">
                  <c:v>46633</c:v>
                </c:pt>
                <c:pt idx="356">
                  <c:v>46634</c:v>
                </c:pt>
                <c:pt idx="357">
                  <c:v>46635</c:v>
                </c:pt>
                <c:pt idx="358">
                  <c:v>46636</c:v>
                </c:pt>
                <c:pt idx="359">
                  <c:v>46637</c:v>
                </c:pt>
                <c:pt idx="360">
                  <c:v>46638</c:v>
                </c:pt>
                <c:pt idx="361">
                  <c:v>46639</c:v>
                </c:pt>
                <c:pt idx="362">
                  <c:v>46640</c:v>
                </c:pt>
                <c:pt idx="363">
                  <c:v>46641</c:v>
                </c:pt>
                <c:pt idx="364">
                  <c:v>46642</c:v>
                </c:pt>
                <c:pt idx="365">
                  <c:v>46643</c:v>
                </c:pt>
                <c:pt idx="366">
                  <c:v>46644</c:v>
                </c:pt>
                <c:pt idx="367">
                  <c:v>46645</c:v>
                </c:pt>
                <c:pt idx="368">
                  <c:v>46646</c:v>
                </c:pt>
                <c:pt idx="369">
                  <c:v>46647</c:v>
                </c:pt>
                <c:pt idx="370">
                  <c:v>46648</c:v>
                </c:pt>
                <c:pt idx="371">
                  <c:v>46649</c:v>
                </c:pt>
                <c:pt idx="372">
                  <c:v>46650</c:v>
                </c:pt>
                <c:pt idx="373">
                  <c:v>46651</c:v>
                </c:pt>
                <c:pt idx="374">
                  <c:v>46652</c:v>
                </c:pt>
                <c:pt idx="375">
                  <c:v>46653</c:v>
                </c:pt>
                <c:pt idx="376">
                  <c:v>46654</c:v>
                </c:pt>
                <c:pt idx="377">
                  <c:v>46655</c:v>
                </c:pt>
                <c:pt idx="378">
                  <c:v>46656</c:v>
                </c:pt>
                <c:pt idx="379">
                  <c:v>46657</c:v>
                </c:pt>
                <c:pt idx="380">
                  <c:v>46658</c:v>
                </c:pt>
                <c:pt idx="381">
                  <c:v>46659</c:v>
                </c:pt>
                <c:pt idx="382">
                  <c:v>46660</c:v>
                </c:pt>
                <c:pt idx="383">
                  <c:v>46661</c:v>
                </c:pt>
                <c:pt idx="384">
                  <c:v>46662</c:v>
                </c:pt>
                <c:pt idx="385">
                  <c:v>46663</c:v>
                </c:pt>
                <c:pt idx="386">
                  <c:v>46664</c:v>
                </c:pt>
                <c:pt idx="387">
                  <c:v>46665</c:v>
                </c:pt>
                <c:pt idx="388">
                  <c:v>46666</c:v>
                </c:pt>
                <c:pt idx="389">
                  <c:v>46667</c:v>
                </c:pt>
                <c:pt idx="390">
                  <c:v>46668</c:v>
                </c:pt>
                <c:pt idx="391">
                  <c:v>46669</c:v>
                </c:pt>
                <c:pt idx="392">
                  <c:v>46670</c:v>
                </c:pt>
                <c:pt idx="393">
                  <c:v>46671</c:v>
                </c:pt>
                <c:pt idx="394">
                  <c:v>46672</c:v>
                </c:pt>
                <c:pt idx="395">
                  <c:v>46673</c:v>
                </c:pt>
                <c:pt idx="396">
                  <c:v>46674</c:v>
                </c:pt>
                <c:pt idx="397">
                  <c:v>46675</c:v>
                </c:pt>
                <c:pt idx="398">
                  <c:v>46676</c:v>
                </c:pt>
                <c:pt idx="399">
                  <c:v>46677</c:v>
                </c:pt>
                <c:pt idx="400">
                  <c:v>46678</c:v>
                </c:pt>
                <c:pt idx="401">
                  <c:v>46679</c:v>
                </c:pt>
                <c:pt idx="402">
                  <c:v>46680</c:v>
                </c:pt>
                <c:pt idx="403">
                  <c:v>46681</c:v>
                </c:pt>
                <c:pt idx="404">
                  <c:v>46682</c:v>
                </c:pt>
                <c:pt idx="405">
                  <c:v>46683</c:v>
                </c:pt>
                <c:pt idx="406">
                  <c:v>46684</c:v>
                </c:pt>
                <c:pt idx="407">
                  <c:v>46685</c:v>
                </c:pt>
                <c:pt idx="408">
                  <c:v>46686</c:v>
                </c:pt>
                <c:pt idx="409">
                  <c:v>46687</c:v>
                </c:pt>
                <c:pt idx="410">
                  <c:v>46688</c:v>
                </c:pt>
                <c:pt idx="411">
                  <c:v>46689</c:v>
                </c:pt>
                <c:pt idx="412">
                  <c:v>46690</c:v>
                </c:pt>
                <c:pt idx="413">
                  <c:v>46691</c:v>
                </c:pt>
                <c:pt idx="414">
                  <c:v>46692</c:v>
                </c:pt>
                <c:pt idx="415">
                  <c:v>46693</c:v>
                </c:pt>
                <c:pt idx="416">
                  <c:v>46694</c:v>
                </c:pt>
                <c:pt idx="417">
                  <c:v>46695</c:v>
                </c:pt>
                <c:pt idx="418">
                  <c:v>46696</c:v>
                </c:pt>
                <c:pt idx="419">
                  <c:v>46697</c:v>
                </c:pt>
                <c:pt idx="420">
                  <c:v>46698</c:v>
                </c:pt>
                <c:pt idx="421">
                  <c:v>46699</c:v>
                </c:pt>
                <c:pt idx="422">
                  <c:v>46700</c:v>
                </c:pt>
                <c:pt idx="423">
                  <c:v>46701</c:v>
                </c:pt>
                <c:pt idx="424">
                  <c:v>46702</c:v>
                </c:pt>
                <c:pt idx="425">
                  <c:v>46703</c:v>
                </c:pt>
                <c:pt idx="426">
                  <c:v>46704</c:v>
                </c:pt>
                <c:pt idx="427">
                  <c:v>46705</c:v>
                </c:pt>
                <c:pt idx="428">
                  <c:v>46706</c:v>
                </c:pt>
                <c:pt idx="429">
                  <c:v>46707</c:v>
                </c:pt>
                <c:pt idx="430">
                  <c:v>46708</c:v>
                </c:pt>
                <c:pt idx="431">
                  <c:v>46709</c:v>
                </c:pt>
                <c:pt idx="432">
                  <c:v>46710</c:v>
                </c:pt>
                <c:pt idx="433">
                  <c:v>46711</c:v>
                </c:pt>
                <c:pt idx="434">
                  <c:v>46712</c:v>
                </c:pt>
                <c:pt idx="435">
                  <c:v>46713</c:v>
                </c:pt>
                <c:pt idx="436">
                  <c:v>46714</c:v>
                </c:pt>
                <c:pt idx="437">
                  <c:v>46715</c:v>
                </c:pt>
                <c:pt idx="438">
                  <c:v>46716</c:v>
                </c:pt>
                <c:pt idx="439">
                  <c:v>46717</c:v>
                </c:pt>
                <c:pt idx="440">
                  <c:v>46718</c:v>
                </c:pt>
                <c:pt idx="441">
                  <c:v>46719</c:v>
                </c:pt>
                <c:pt idx="442">
                  <c:v>46720</c:v>
                </c:pt>
                <c:pt idx="443">
                  <c:v>46721</c:v>
                </c:pt>
                <c:pt idx="444">
                  <c:v>46722</c:v>
                </c:pt>
                <c:pt idx="445">
                  <c:v>46723</c:v>
                </c:pt>
                <c:pt idx="446">
                  <c:v>46724</c:v>
                </c:pt>
                <c:pt idx="447">
                  <c:v>46725</c:v>
                </c:pt>
                <c:pt idx="448">
                  <c:v>46726</c:v>
                </c:pt>
                <c:pt idx="449">
                  <c:v>46727</c:v>
                </c:pt>
                <c:pt idx="450">
                  <c:v>46728</c:v>
                </c:pt>
                <c:pt idx="451">
                  <c:v>46729</c:v>
                </c:pt>
                <c:pt idx="452">
                  <c:v>46730</c:v>
                </c:pt>
                <c:pt idx="453">
                  <c:v>46731</c:v>
                </c:pt>
                <c:pt idx="454">
                  <c:v>46732</c:v>
                </c:pt>
                <c:pt idx="455">
                  <c:v>46733</c:v>
                </c:pt>
                <c:pt idx="456">
                  <c:v>46734</c:v>
                </c:pt>
                <c:pt idx="457">
                  <c:v>46735</c:v>
                </c:pt>
                <c:pt idx="458">
                  <c:v>46736</c:v>
                </c:pt>
                <c:pt idx="459">
                  <c:v>46737</c:v>
                </c:pt>
                <c:pt idx="460">
                  <c:v>46738</c:v>
                </c:pt>
                <c:pt idx="461">
                  <c:v>46739</c:v>
                </c:pt>
                <c:pt idx="462">
                  <c:v>46740</c:v>
                </c:pt>
                <c:pt idx="463">
                  <c:v>46741</c:v>
                </c:pt>
                <c:pt idx="464">
                  <c:v>46742</c:v>
                </c:pt>
                <c:pt idx="465">
                  <c:v>46743</c:v>
                </c:pt>
                <c:pt idx="466">
                  <c:v>46744</c:v>
                </c:pt>
                <c:pt idx="467">
                  <c:v>46745</c:v>
                </c:pt>
                <c:pt idx="468">
                  <c:v>46746</c:v>
                </c:pt>
                <c:pt idx="469">
                  <c:v>46747</c:v>
                </c:pt>
                <c:pt idx="470">
                  <c:v>46748</c:v>
                </c:pt>
                <c:pt idx="471">
                  <c:v>46749</c:v>
                </c:pt>
                <c:pt idx="472">
                  <c:v>46750</c:v>
                </c:pt>
                <c:pt idx="473">
                  <c:v>46751</c:v>
                </c:pt>
                <c:pt idx="474">
                  <c:v>46752</c:v>
                </c:pt>
                <c:pt idx="475">
                  <c:v>46753</c:v>
                </c:pt>
                <c:pt idx="476">
                  <c:v>46754</c:v>
                </c:pt>
                <c:pt idx="477">
                  <c:v>46755</c:v>
                </c:pt>
                <c:pt idx="478">
                  <c:v>46756</c:v>
                </c:pt>
                <c:pt idx="479">
                  <c:v>46757</c:v>
                </c:pt>
                <c:pt idx="480">
                  <c:v>46758</c:v>
                </c:pt>
                <c:pt idx="481">
                  <c:v>46759</c:v>
                </c:pt>
                <c:pt idx="482">
                  <c:v>46760</c:v>
                </c:pt>
                <c:pt idx="483">
                  <c:v>46761</c:v>
                </c:pt>
                <c:pt idx="484">
                  <c:v>46762</c:v>
                </c:pt>
                <c:pt idx="485">
                  <c:v>46763</c:v>
                </c:pt>
                <c:pt idx="486">
                  <c:v>46764</c:v>
                </c:pt>
                <c:pt idx="487">
                  <c:v>46765</c:v>
                </c:pt>
                <c:pt idx="488">
                  <c:v>46766</c:v>
                </c:pt>
                <c:pt idx="489">
                  <c:v>46767</c:v>
                </c:pt>
                <c:pt idx="490">
                  <c:v>46768</c:v>
                </c:pt>
                <c:pt idx="491">
                  <c:v>46769</c:v>
                </c:pt>
                <c:pt idx="492">
                  <c:v>46770</c:v>
                </c:pt>
                <c:pt idx="493">
                  <c:v>46771</c:v>
                </c:pt>
                <c:pt idx="494">
                  <c:v>46772</c:v>
                </c:pt>
                <c:pt idx="495">
                  <c:v>46773</c:v>
                </c:pt>
                <c:pt idx="496">
                  <c:v>46774</c:v>
                </c:pt>
                <c:pt idx="497">
                  <c:v>46775</c:v>
                </c:pt>
                <c:pt idx="498">
                  <c:v>46776</c:v>
                </c:pt>
                <c:pt idx="499">
                  <c:v>46777</c:v>
                </c:pt>
                <c:pt idx="500">
                  <c:v>46778</c:v>
                </c:pt>
                <c:pt idx="501">
                  <c:v>46779</c:v>
                </c:pt>
                <c:pt idx="502">
                  <c:v>46780</c:v>
                </c:pt>
                <c:pt idx="503">
                  <c:v>46781</c:v>
                </c:pt>
                <c:pt idx="504">
                  <c:v>46782</c:v>
                </c:pt>
                <c:pt idx="505">
                  <c:v>46783</c:v>
                </c:pt>
                <c:pt idx="506">
                  <c:v>46784</c:v>
                </c:pt>
                <c:pt idx="507">
                  <c:v>46785</c:v>
                </c:pt>
                <c:pt idx="508">
                  <c:v>46786</c:v>
                </c:pt>
                <c:pt idx="509">
                  <c:v>46787</c:v>
                </c:pt>
                <c:pt idx="510">
                  <c:v>46788</c:v>
                </c:pt>
                <c:pt idx="511">
                  <c:v>46789</c:v>
                </c:pt>
                <c:pt idx="512">
                  <c:v>46790</c:v>
                </c:pt>
                <c:pt idx="513">
                  <c:v>46791</c:v>
                </c:pt>
                <c:pt idx="514">
                  <c:v>46792</c:v>
                </c:pt>
                <c:pt idx="515">
                  <c:v>46793</c:v>
                </c:pt>
                <c:pt idx="516">
                  <c:v>46794</c:v>
                </c:pt>
                <c:pt idx="517">
                  <c:v>46795</c:v>
                </c:pt>
                <c:pt idx="518">
                  <c:v>46796</c:v>
                </c:pt>
                <c:pt idx="519">
                  <c:v>46797</c:v>
                </c:pt>
                <c:pt idx="520">
                  <c:v>46798</c:v>
                </c:pt>
                <c:pt idx="521">
                  <c:v>46799</c:v>
                </c:pt>
                <c:pt idx="522">
                  <c:v>46800</c:v>
                </c:pt>
                <c:pt idx="523">
                  <c:v>46801</c:v>
                </c:pt>
                <c:pt idx="524">
                  <c:v>46802</c:v>
                </c:pt>
                <c:pt idx="525">
                  <c:v>46803</c:v>
                </c:pt>
                <c:pt idx="526">
                  <c:v>46804</c:v>
                </c:pt>
                <c:pt idx="527">
                  <c:v>46805</c:v>
                </c:pt>
                <c:pt idx="528">
                  <c:v>46806</c:v>
                </c:pt>
                <c:pt idx="529">
                  <c:v>46807</c:v>
                </c:pt>
                <c:pt idx="530">
                  <c:v>46808</c:v>
                </c:pt>
                <c:pt idx="531">
                  <c:v>46809</c:v>
                </c:pt>
                <c:pt idx="532">
                  <c:v>46810</c:v>
                </c:pt>
                <c:pt idx="533">
                  <c:v>46811</c:v>
                </c:pt>
                <c:pt idx="534">
                  <c:v>46812</c:v>
                </c:pt>
                <c:pt idx="535">
                  <c:v>46813</c:v>
                </c:pt>
                <c:pt idx="536">
                  <c:v>46814</c:v>
                </c:pt>
                <c:pt idx="537">
                  <c:v>46815</c:v>
                </c:pt>
                <c:pt idx="538">
                  <c:v>46816</c:v>
                </c:pt>
                <c:pt idx="539">
                  <c:v>46817</c:v>
                </c:pt>
                <c:pt idx="540">
                  <c:v>46818</c:v>
                </c:pt>
                <c:pt idx="541">
                  <c:v>46819</c:v>
                </c:pt>
                <c:pt idx="542">
                  <c:v>46820</c:v>
                </c:pt>
                <c:pt idx="543">
                  <c:v>46821</c:v>
                </c:pt>
                <c:pt idx="544">
                  <c:v>46822</c:v>
                </c:pt>
                <c:pt idx="545">
                  <c:v>46823</c:v>
                </c:pt>
                <c:pt idx="546">
                  <c:v>46824</c:v>
                </c:pt>
                <c:pt idx="547">
                  <c:v>46825</c:v>
                </c:pt>
                <c:pt idx="548">
                  <c:v>46826</c:v>
                </c:pt>
                <c:pt idx="549">
                  <c:v>46827</c:v>
                </c:pt>
                <c:pt idx="550">
                  <c:v>46828</c:v>
                </c:pt>
                <c:pt idx="551">
                  <c:v>46829</c:v>
                </c:pt>
                <c:pt idx="552">
                  <c:v>46830</c:v>
                </c:pt>
                <c:pt idx="553">
                  <c:v>46831</c:v>
                </c:pt>
                <c:pt idx="554">
                  <c:v>46832</c:v>
                </c:pt>
                <c:pt idx="555">
                  <c:v>46833</c:v>
                </c:pt>
                <c:pt idx="556">
                  <c:v>46834</c:v>
                </c:pt>
                <c:pt idx="557">
                  <c:v>46835</c:v>
                </c:pt>
                <c:pt idx="558">
                  <c:v>46836</c:v>
                </c:pt>
                <c:pt idx="559">
                  <c:v>46837</c:v>
                </c:pt>
                <c:pt idx="560">
                  <c:v>46838</c:v>
                </c:pt>
                <c:pt idx="561">
                  <c:v>46839</c:v>
                </c:pt>
                <c:pt idx="562">
                  <c:v>46840</c:v>
                </c:pt>
                <c:pt idx="563">
                  <c:v>46841</c:v>
                </c:pt>
                <c:pt idx="564">
                  <c:v>46842</c:v>
                </c:pt>
                <c:pt idx="565">
                  <c:v>46843</c:v>
                </c:pt>
                <c:pt idx="566">
                  <c:v>46844</c:v>
                </c:pt>
                <c:pt idx="567">
                  <c:v>46845</c:v>
                </c:pt>
                <c:pt idx="568">
                  <c:v>46846</c:v>
                </c:pt>
                <c:pt idx="569">
                  <c:v>46847</c:v>
                </c:pt>
                <c:pt idx="570">
                  <c:v>46848</c:v>
                </c:pt>
                <c:pt idx="571">
                  <c:v>46849</c:v>
                </c:pt>
                <c:pt idx="572">
                  <c:v>46850</c:v>
                </c:pt>
                <c:pt idx="573">
                  <c:v>46851</c:v>
                </c:pt>
                <c:pt idx="574">
                  <c:v>46852</c:v>
                </c:pt>
                <c:pt idx="575">
                  <c:v>46853</c:v>
                </c:pt>
                <c:pt idx="576">
                  <c:v>46854</c:v>
                </c:pt>
                <c:pt idx="577">
                  <c:v>46855</c:v>
                </c:pt>
                <c:pt idx="578">
                  <c:v>46856</c:v>
                </c:pt>
                <c:pt idx="579">
                  <c:v>46857</c:v>
                </c:pt>
                <c:pt idx="580">
                  <c:v>46858</c:v>
                </c:pt>
                <c:pt idx="581">
                  <c:v>46859</c:v>
                </c:pt>
                <c:pt idx="582">
                  <c:v>46860</c:v>
                </c:pt>
                <c:pt idx="583">
                  <c:v>46861</c:v>
                </c:pt>
                <c:pt idx="584">
                  <c:v>46862</c:v>
                </c:pt>
                <c:pt idx="585">
                  <c:v>46863</c:v>
                </c:pt>
                <c:pt idx="586">
                  <c:v>46864</c:v>
                </c:pt>
                <c:pt idx="587">
                  <c:v>46865</c:v>
                </c:pt>
                <c:pt idx="588">
                  <c:v>46866</c:v>
                </c:pt>
                <c:pt idx="589">
                  <c:v>46867</c:v>
                </c:pt>
                <c:pt idx="590">
                  <c:v>46868</c:v>
                </c:pt>
                <c:pt idx="591">
                  <c:v>46869</c:v>
                </c:pt>
                <c:pt idx="592">
                  <c:v>46870</c:v>
                </c:pt>
                <c:pt idx="593">
                  <c:v>46871</c:v>
                </c:pt>
                <c:pt idx="594">
                  <c:v>46872</c:v>
                </c:pt>
                <c:pt idx="595">
                  <c:v>46873</c:v>
                </c:pt>
                <c:pt idx="596">
                  <c:v>46874</c:v>
                </c:pt>
                <c:pt idx="597">
                  <c:v>46875</c:v>
                </c:pt>
                <c:pt idx="598">
                  <c:v>46876</c:v>
                </c:pt>
                <c:pt idx="599">
                  <c:v>46877</c:v>
                </c:pt>
                <c:pt idx="600">
                  <c:v>46878</c:v>
                </c:pt>
                <c:pt idx="601">
                  <c:v>46879</c:v>
                </c:pt>
                <c:pt idx="602">
                  <c:v>46880</c:v>
                </c:pt>
                <c:pt idx="603">
                  <c:v>46881</c:v>
                </c:pt>
                <c:pt idx="604">
                  <c:v>46882</c:v>
                </c:pt>
                <c:pt idx="605">
                  <c:v>46883</c:v>
                </c:pt>
                <c:pt idx="606">
                  <c:v>46884</c:v>
                </c:pt>
                <c:pt idx="607">
                  <c:v>46885</c:v>
                </c:pt>
                <c:pt idx="608">
                  <c:v>46886</c:v>
                </c:pt>
                <c:pt idx="609">
                  <c:v>46887</c:v>
                </c:pt>
                <c:pt idx="610">
                  <c:v>46888</c:v>
                </c:pt>
                <c:pt idx="611">
                  <c:v>46889</c:v>
                </c:pt>
                <c:pt idx="612">
                  <c:v>46890</c:v>
                </c:pt>
                <c:pt idx="613">
                  <c:v>46891</c:v>
                </c:pt>
                <c:pt idx="614">
                  <c:v>46892</c:v>
                </c:pt>
                <c:pt idx="615">
                  <c:v>46893</c:v>
                </c:pt>
                <c:pt idx="616">
                  <c:v>46894</c:v>
                </c:pt>
                <c:pt idx="617">
                  <c:v>46895</c:v>
                </c:pt>
                <c:pt idx="618">
                  <c:v>46896</c:v>
                </c:pt>
                <c:pt idx="619">
                  <c:v>46897</c:v>
                </c:pt>
                <c:pt idx="620">
                  <c:v>46898</c:v>
                </c:pt>
                <c:pt idx="621">
                  <c:v>46899</c:v>
                </c:pt>
                <c:pt idx="622">
                  <c:v>46900</c:v>
                </c:pt>
                <c:pt idx="623">
                  <c:v>46901</c:v>
                </c:pt>
                <c:pt idx="624">
                  <c:v>46902</c:v>
                </c:pt>
                <c:pt idx="625">
                  <c:v>46903</c:v>
                </c:pt>
                <c:pt idx="626">
                  <c:v>46904</c:v>
                </c:pt>
                <c:pt idx="627">
                  <c:v>46905</c:v>
                </c:pt>
                <c:pt idx="628">
                  <c:v>46906</c:v>
                </c:pt>
                <c:pt idx="629">
                  <c:v>46907</c:v>
                </c:pt>
                <c:pt idx="630">
                  <c:v>46908</c:v>
                </c:pt>
                <c:pt idx="631">
                  <c:v>46909</c:v>
                </c:pt>
                <c:pt idx="632">
                  <c:v>46910</c:v>
                </c:pt>
                <c:pt idx="633">
                  <c:v>46911</c:v>
                </c:pt>
                <c:pt idx="634">
                  <c:v>46912</c:v>
                </c:pt>
                <c:pt idx="635">
                  <c:v>46913</c:v>
                </c:pt>
                <c:pt idx="636">
                  <c:v>46914</c:v>
                </c:pt>
                <c:pt idx="637">
                  <c:v>46915</c:v>
                </c:pt>
                <c:pt idx="638">
                  <c:v>46916</c:v>
                </c:pt>
                <c:pt idx="639">
                  <c:v>46917</c:v>
                </c:pt>
                <c:pt idx="640">
                  <c:v>46918</c:v>
                </c:pt>
                <c:pt idx="641">
                  <c:v>46919</c:v>
                </c:pt>
                <c:pt idx="642">
                  <c:v>46920</c:v>
                </c:pt>
                <c:pt idx="643">
                  <c:v>46921</c:v>
                </c:pt>
                <c:pt idx="644">
                  <c:v>46922</c:v>
                </c:pt>
                <c:pt idx="645">
                  <c:v>46923</c:v>
                </c:pt>
                <c:pt idx="646">
                  <c:v>46924</c:v>
                </c:pt>
                <c:pt idx="647">
                  <c:v>46925</c:v>
                </c:pt>
                <c:pt idx="648">
                  <c:v>46926</c:v>
                </c:pt>
                <c:pt idx="649">
                  <c:v>46927</c:v>
                </c:pt>
                <c:pt idx="650">
                  <c:v>46928</c:v>
                </c:pt>
                <c:pt idx="651">
                  <c:v>46929</c:v>
                </c:pt>
                <c:pt idx="652">
                  <c:v>46930</c:v>
                </c:pt>
                <c:pt idx="653">
                  <c:v>46931</c:v>
                </c:pt>
                <c:pt idx="654">
                  <c:v>46932</c:v>
                </c:pt>
                <c:pt idx="655">
                  <c:v>46933</c:v>
                </c:pt>
                <c:pt idx="656">
                  <c:v>46934</c:v>
                </c:pt>
                <c:pt idx="657">
                  <c:v>46935</c:v>
                </c:pt>
                <c:pt idx="658">
                  <c:v>46936</c:v>
                </c:pt>
                <c:pt idx="659">
                  <c:v>46937</c:v>
                </c:pt>
                <c:pt idx="660">
                  <c:v>46938</c:v>
                </c:pt>
                <c:pt idx="661">
                  <c:v>46939</c:v>
                </c:pt>
                <c:pt idx="662">
                  <c:v>46940</c:v>
                </c:pt>
                <c:pt idx="663">
                  <c:v>46941</c:v>
                </c:pt>
                <c:pt idx="664">
                  <c:v>46942</c:v>
                </c:pt>
                <c:pt idx="665">
                  <c:v>46943</c:v>
                </c:pt>
                <c:pt idx="666">
                  <c:v>46944</c:v>
                </c:pt>
                <c:pt idx="667">
                  <c:v>46945</c:v>
                </c:pt>
                <c:pt idx="668">
                  <c:v>46946</c:v>
                </c:pt>
                <c:pt idx="669">
                  <c:v>46947</c:v>
                </c:pt>
                <c:pt idx="670">
                  <c:v>46948</c:v>
                </c:pt>
                <c:pt idx="671">
                  <c:v>46949</c:v>
                </c:pt>
                <c:pt idx="672">
                  <c:v>46950</c:v>
                </c:pt>
                <c:pt idx="673">
                  <c:v>46951</c:v>
                </c:pt>
                <c:pt idx="674">
                  <c:v>46952</c:v>
                </c:pt>
                <c:pt idx="675">
                  <c:v>46953</c:v>
                </c:pt>
                <c:pt idx="676">
                  <c:v>46954</c:v>
                </c:pt>
                <c:pt idx="677">
                  <c:v>46955</c:v>
                </c:pt>
                <c:pt idx="678">
                  <c:v>46956</c:v>
                </c:pt>
                <c:pt idx="679">
                  <c:v>46957</c:v>
                </c:pt>
                <c:pt idx="680">
                  <c:v>46958</c:v>
                </c:pt>
                <c:pt idx="681">
                  <c:v>46959</c:v>
                </c:pt>
                <c:pt idx="682">
                  <c:v>46960</c:v>
                </c:pt>
                <c:pt idx="683">
                  <c:v>46961</c:v>
                </c:pt>
                <c:pt idx="684">
                  <c:v>46962</c:v>
                </c:pt>
                <c:pt idx="685">
                  <c:v>46963</c:v>
                </c:pt>
                <c:pt idx="686">
                  <c:v>46964</c:v>
                </c:pt>
                <c:pt idx="687">
                  <c:v>46965</c:v>
                </c:pt>
                <c:pt idx="688">
                  <c:v>46966</c:v>
                </c:pt>
                <c:pt idx="689">
                  <c:v>46967</c:v>
                </c:pt>
                <c:pt idx="690">
                  <c:v>46968</c:v>
                </c:pt>
                <c:pt idx="691">
                  <c:v>46969</c:v>
                </c:pt>
                <c:pt idx="692">
                  <c:v>46970</c:v>
                </c:pt>
                <c:pt idx="693">
                  <c:v>46971</c:v>
                </c:pt>
                <c:pt idx="694">
                  <c:v>46972</c:v>
                </c:pt>
                <c:pt idx="695">
                  <c:v>46973</c:v>
                </c:pt>
                <c:pt idx="696">
                  <c:v>46974</c:v>
                </c:pt>
                <c:pt idx="697">
                  <c:v>46975</c:v>
                </c:pt>
                <c:pt idx="698">
                  <c:v>46976</c:v>
                </c:pt>
                <c:pt idx="699">
                  <c:v>46977</c:v>
                </c:pt>
                <c:pt idx="700">
                  <c:v>46978</c:v>
                </c:pt>
                <c:pt idx="701">
                  <c:v>46979</c:v>
                </c:pt>
                <c:pt idx="702">
                  <c:v>46980</c:v>
                </c:pt>
                <c:pt idx="703">
                  <c:v>46981</c:v>
                </c:pt>
                <c:pt idx="704">
                  <c:v>46982</c:v>
                </c:pt>
                <c:pt idx="705">
                  <c:v>46983</c:v>
                </c:pt>
                <c:pt idx="706">
                  <c:v>46984</c:v>
                </c:pt>
                <c:pt idx="707">
                  <c:v>46985</c:v>
                </c:pt>
                <c:pt idx="708">
                  <c:v>46986</c:v>
                </c:pt>
                <c:pt idx="709">
                  <c:v>46987</c:v>
                </c:pt>
                <c:pt idx="710">
                  <c:v>46988</c:v>
                </c:pt>
                <c:pt idx="711">
                  <c:v>46989</c:v>
                </c:pt>
                <c:pt idx="712">
                  <c:v>46990</c:v>
                </c:pt>
                <c:pt idx="713">
                  <c:v>46991</c:v>
                </c:pt>
                <c:pt idx="714">
                  <c:v>46992</c:v>
                </c:pt>
                <c:pt idx="715">
                  <c:v>46993</c:v>
                </c:pt>
                <c:pt idx="716">
                  <c:v>46994</c:v>
                </c:pt>
                <c:pt idx="717">
                  <c:v>46995</c:v>
                </c:pt>
                <c:pt idx="718">
                  <c:v>46996</c:v>
                </c:pt>
                <c:pt idx="719">
                  <c:v>46997</c:v>
                </c:pt>
                <c:pt idx="720">
                  <c:v>46998</c:v>
                </c:pt>
                <c:pt idx="721">
                  <c:v>46999</c:v>
                </c:pt>
                <c:pt idx="722">
                  <c:v>47000</c:v>
                </c:pt>
                <c:pt idx="723">
                  <c:v>47001</c:v>
                </c:pt>
                <c:pt idx="724">
                  <c:v>47002</c:v>
                </c:pt>
                <c:pt idx="725">
                  <c:v>47003</c:v>
                </c:pt>
                <c:pt idx="726">
                  <c:v>47004</c:v>
                </c:pt>
                <c:pt idx="727">
                  <c:v>47005</c:v>
                </c:pt>
                <c:pt idx="728">
                  <c:v>47006</c:v>
                </c:pt>
                <c:pt idx="729">
                  <c:v>47007</c:v>
                </c:pt>
              </c:numCache>
            </c:numRef>
          </c:cat>
          <c:val>
            <c:numRef>
              <c:f>'Daily Tracking'!$U$6:$U$735</c:f>
              <c:numCache>
                <c:formatCode>General</c:formatCode>
                <c:ptCount val="73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  <c:pt idx="147">
                  <c:v>100</c:v>
                </c:pt>
                <c:pt idx="148">
                  <c:v>100</c:v>
                </c:pt>
                <c:pt idx="149">
                  <c:v>100</c:v>
                </c:pt>
                <c:pt idx="150">
                  <c:v>100</c:v>
                </c:pt>
                <c:pt idx="151">
                  <c:v>100</c:v>
                </c:pt>
                <c:pt idx="152">
                  <c:v>100</c:v>
                </c:pt>
                <c:pt idx="153">
                  <c:v>100</c:v>
                </c:pt>
                <c:pt idx="154">
                  <c:v>100</c:v>
                </c:pt>
                <c:pt idx="155">
                  <c:v>100</c:v>
                </c:pt>
                <c:pt idx="156">
                  <c:v>100</c:v>
                </c:pt>
                <c:pt idx="157">
                  <c:v>100</c:v>
                </c:pt>
                <c:pt idx="158">
                  <c:v>100</c:v>
                </c:pt>
                <c:pt idx="159">
                  <c:v>100</c:v>
                </c:pt>
                <c:pt idx="160">
                  <c:v>100</c:v>
                </c:pt>
                <c:pt idx="161">
                  <c:v>100</c:v>
                </c:pt>
                <c:pt idx="162">
                  <c:v>100</c:v>
                </c:pt>
                <c:pt idx="163">
                  <c:v>100</c:v>
                </c:pt>
                <c:pt idx="164">
                  <c:v>100</c:v>
                </c:pt>
                <c:pt idx="165">
                  <c:v>100</c:v>
                </c:pt>
                <c:pt idx="166">
                  <c:v>100</c:v>
                </c:pt>
                <c:pt idx="167">
                  <c:v>100</c:v>
                </c:pt>
                <c:pt idx="168">
                  <c:v>100</c:v>
                </c:pt>
                <c:pt idx="169">
                  <c:v>100</c:v>
                </c:pt>
                <c:pt idx="170">
                  <c:v>100</c:v>
                </c:pt>
                <c:pt idx="171">
                  <c:v>100</c:v>
                </c:pt>
                <c:pt idx="172">
                  <c:v>100</c:v>
                </c:pt>
                <c:pt idx="173">
                  <c:v>100</c:v>
                </c:pt>
                <c:pt idx="174">
                  <c:v>100</c:v>
                </c:pt>
                <c:pt idx="175">
                  <c:v>100</c:v>
                </c:pt>
                <c:pt idx="176">
                  <c:v>100</c:v>
                </c:pt>
                <c:pt idx="177">
                  <c:v>100</c:v>
                </c:pt>
                <c:pt idx="178">
                  <c:v>100</c:v>
                </c:pt>
                <c:pt idx="179">
                  <c:v>100</c:v>
                </c:pt>
                <c:pt idx="180">
                  <c:v>100</c:v>
                </c:pt>
                <c:pt idx="181">
                  <c:v>100</c:v>
                </c:pt>
                <c:pt idx="182">
                  <c:v>100</c:v>
                </c:pt>
                <c:pt idx="183">
                  <c:v>100</c:v>
                </c:pt>
                <c:pt idx="184">
                  <c:v>100</c:v>
                </c:pt>
                <c:pt idx="185">
                  <c:v>100</c:v>
                </c:pt>
                <c:pt idx="186">
                  <c:v>100</c:v>
                </c:pt>
                <c:pt idx="187">
                  <c:v>100</c:v>
                </c:pt>
                <c:pt idx="188">
                  <c:v>100</c:v>
                </c:pt>
                <c:pt idx="189">
                  <c:v>100</c:v>
                </c:pt>
                <c:pt idx="190">
                  <c:v>100</c:v>
                </c:pt>
                <c:pt idx="191">
                  <c:v>100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100</c:v>
                </c:pt>
                <c:pt idx="198">
                  <c:v>100</c:v>
                </c:pt>
                <c:pt idx="199">
                  <c:v>100</c:v>
                </c:pt>
                <c:pt idx="200">
                  <c:v>100</c:v>
                </c:pt>
                <c:pt idx="201">
                  <c:v>100</c:v>
                </c:pt>
                <c:pt idx="202">
                  <c:v>100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100</c:v>
                </c:pt>
                <c:pt idx="226">
                  <c:v>100</c:v>
                </c:pt>
                <c:pt idx="227">
                  <c:v>100</c:v>
                </c:pt>
                <c:pt idx="228">
                  <c:v>100</c:v>
                </c:pt>
                <c:pt idx="229">
                  <c:v>100</c:v>
                </c:pt>
                <c:pt idx="230">
                  <c:v>100</c:v>
                </c:pt>
                <c:pt idx="231">
                  <c:v>100</c:v>
                </c:pt>
                <c:pt idx="232">
                  <c:v>100</c:v>
                </c:pt>
                <c:pt idx="233">
                  <c:v>100</c:v>
                </c:pt>
                <c:pt idx="234">
                  <c:v>100</c:v>
                </c:pt>
                <c:pt idx="235">
                  <c:v>100</c:v>
                </c:pt>
                <c:pt idx="236">
                  <c:v>100</c:v>
                </c:pt>
                <c:pt idx="237">
                  <c:v>100</c:v>
                </c:pt>
                <c:pt idx="238">
                  <c:v>100</c:v>
                </c:pt>
                <c:pt idx="239">
                  <c:v>100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100</c:v>
                </c:pt>
                <c:pt idx="246">
                  <c:v>100</c:v>
                </c:pt>
                <c:pt idx="247">
                  <c:v>100</c:v>
                </c:pt>
                <c:pt idx="248">
                  <c:v>100</c:v>
                </c:pt>
                <c:pt idx="249">
                  <c:v>100</c:v>
                </c:pt>
                <c:pt idx="250">
                  <c:v>100</c:v>
                </c:pt>
                <c:pt idx="251">
                  <c:v>100</c:v>
                </c:pt>
                <c:pt idx="252">
                  <c:v>100</c:v>
                </c:pt>
                <c:pt idx="253">
                  <c:v>100</c:v>
                </c:pt>
                <c:pt idx="254">
                  <c:v>100</c:v>
                </c:pt>
                <c:pt idx="255">
                  <c:v>100</c:v>
                </c:pt>
                <c:pt idx="256">
                  <c:v>100</c:v>
                </c:pt>
                <c:pt idx="257">
                  <c:v>100</c:v>
                </c:pt>
                <c:pt idx="258">
                  <c:v>100</c:v>
                </c:pt>
                <c:pt idx="259">
                  <c:v>100</c:v>
                </c:pt>
                <c:pt idx="260">
                  <c:v>100</c:v>
                </c:pt>
                <c:pt idx="261">
                  <c:v>100</c:v>
                </c:pt>
                <c:pt idx="262">
                  <c:v>100</c:v>
                </c:pt>
                <c:pt idx="263">
                  <c:v>100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100</c:v>
                </c:pt>
                <c:pt idx="270">
                  <c:v>100</c:v>
                </c:pt>
                <c:pt idx="271">
                  <c:v>100</c:v>
                </c:pt>
                <c:pt idx="272">
                  <c:v>100</c:v>
                </c:pt>
                <c:pt idx="273">
                  <c:v>100</c:v>
                </c:pt>
                <c:pt idx="274">
                  <c:v>100</c:v>
                </c:pt>
                <c:pt idx="275">
                  <c:v>100</c:v>
                </c:pt>
                <c:pt idx="276">
                  <c:v>100</c:v>
                </c:pt>
                <c:pt idx="277">
                  <c:v>100</c:v>
                </c:pt>
                <c:pt idx="278">
                  <c:v>100</c:v>
                </c:pt>
                <c:pt idx="279">
                  <c:v>100</c:v>
                </c:pt>
                <c:pt idx="280">
                  <c:v>100</c:v>
                </c:pt>
                <c:pt idx="281">
                  <c:v>100</c:v>
                </c:pt>
                <c:pt idx="282">
                  <c:v>100</c:v>
                </c:pt>
                <c:pt idx="283">
                  <c:v>100</c:v>
                </c:pt>
                <c:pt idx="284">
                  <c:v>100</c:v>
                </c:pt>
                <c:pt idx="285">
                  <c:v>100</c:v>
                </c:pt>
                <c:pt idx="286">
                  <c:v>100</c:v>
                </c:pt>
                <c:pt idx="287">
                  <c:v>100</c:v>
                </c:pt>
                <c:pt idx="288">
                  <c:v>100</c:v>
                </c:pt>
                <c:pt idx="289">
                  <c:v>100</c:v>
                </c:pt>
                <c:pt idx="290">
                  <c:v>100</c:v>
                </c:pt>
                <c:pt idx="291">
                  <c:v>100</c:v>
                </c:pt>
                <c:pt idx="292">
                  <c:v>100</c:v>
                </c:pt>
                <c:pt idx="293">
                  <c:v>100</c:v>
                </c:pt>
                <c:pt idx="294">
                  <c:v>100</c:v>
                </c:pt>
                <c:pt idx="295">
                  <c:v>100</c:v>
                </c:pt>
                <c:pt idx="296">
                  <c:v>100</c:v>
                </c:pt>
                <c:pt idx="297">
                  <c:v>100</c:v>
                </c:pt>
                <c:pt idx="298">
                  <c:v>100</c:v>
                </c:pt>
                <c:pt idx="299">
                  <c:v>100</c:v>
                </c:pt>
                <c:pt idx="300">
                  <c:v>100</c:v>
                </c:pt>
                <c:pt idx="301">
                  <c:v>100</c:v>
                </c:pt>
                <c:pt idx="302">
                  <c:v>100</c:v>
                </c:pt>
                <c:pt idx="303">
                  <c:v>100</c:v>
                </c:pt>
                <c:pt idx="304">
                  <c:v>100</c:v>
                </c:pt>
                <c:pt idx="305">
                  <c:v>100</c:v>
                </c:pt>
                <c:pt idx="306">
                  <c:v>100</c:v>
                </c:pt>
                <c:pt idx="307">
                  <c:v>100</c:v>
                </c:pt>
                <c:pt idx="308">
                  <c:v>100</c:v>
                </c:pt>
                <c:pt idx="309">
                  <c:v>100</c:v>
                </c:pt>
                <c:pt idx="310">
                  <c:v>100</c:v>
                </c:pt>
                <c:pt idx="311">
                  <c:v>100</c:v>
                </c:pt>
                <c:pt idx="312">
                  <c:v>100</c:v>
                </c:pt>
                <c:pt idx="313">
                  <c:v>100</c:v>
                </c:pt>
                <c:pt idx="314">
                  <c:v>100</c:v>
                </c:pt>
                <c:pt idx="315">
                  <c:v>100</c:v>
                </c:pt>
                <c:pt idx="316">
                  <c:v>100</c:v>
                </c:pt>
                <c:pt idx="317">
                  <c:v>100</c:v>
                </c:pt>
                <c:pt idx="318">
                  <c:v>100</c:v>
                </c:pt>
                <c:pt idx="319">
                  <c:v>100</c:v>
                </c:pt>
                <c:pt idx="320">
                  <c:v>100</c:v>
                </c:pt>
                <c:pt idx="321">
                  <c:v>100</c:v>
                </c:pt>
                <c:pt idx="322">
                  <c:v>100</c:v>
                </c:pt>
                <c:pt idx="323">
                  <c:v>100</c:v>
                </c:pt>
                <c:pt idx="324">
                  <c:v>100</c:v>
                </c:pt>
                <c:pt idx="325">
                  <c:v>100</c:v>
                </c:pt>
                <c:pt idx="326">
                  <c:v>100</c:v>
                </c:pt>
                <c:pt idx="327">
                  <c:v>100</c:v>
                </c:pt>
                <c:pt idx="328">
                  <c:v>100</c:v>
                </c:pt>
                <c:pt idx="329">
                  <c:v>100</c:v>
                </c:pt>
                <c:pt idx="330">
                  <c:v>100</c:v>
                </c:pt>
                <c:pt idx="331">
                  <c:v>100</c:v>
                </c:pt>
                <c:pt idx="332">
                  <c:v>100</c:v>
                </c:pt>
                <c:pt idx="333">
                  <c:v>100</c:v>
                </c:pt>
                <c:pt idx="334">
                  <c:v>100</c:v>
                </c:pt>
                <c:pt idx="335">
                  <c:v>100</c:v>
                </c:pt>
                <c:pt idx="336">
                  <c:v>100</c:v>
                </c:pt>
                <c:pt idx="337">
                  <c:v>100</c:v>
                </c:pt>
                <c:pt idx="338">
                  <c:v>100</c:v>
                </c:pt>
                <c:pt idx="339">
                  <c:v>100</c:v>
                </c:pt>
                <c:pt idx="340">
                  <c:v>100</c:v>
                </c:pt>
                <c:pt idx="341">
                  <c:v>100</c:v>
                </c:pt>
                <c:pt idx="342">
                  <c:v>100</c:v>
                </c:pt>
                <c:pt idx="343">
                  <c:v>100</c:v>
                </c:pt>
                <c:pt idx="344">
                  <c:v>100</c:v>
                </c:pt>
                <c:pt idx="345">
                  <c:v>100</c:v>
                </c:pt>
                <c:pt idx="346">
                  <c:v>100</c:v>
                </c:pt>
                <c:pt idx="347">
                  <c:v>100</c:v>
                </c:pt>
                <c:pt idx="348">
                  <c:v>100</c:v>
                </c:pt>
                <c:pt idx="349">
                  <c:v>100</c:v>
                </c:pt>
                <c:pt idx="350">
                  <c:v>100</c:v>
                </c:pt>
                <c:pt idx="351">
                  <c:v>100</c:v>
                </c:pt>
                <c:pt idx="352">
                  <c:v>100</c:v>
                </c:pt>
                <c:pt idx="353">
                  <c:v>100</c:v>
                </c:pt>
                <c:pt idx="354">
                  <c:v>100</c:v>
                </c:pt>
                <c:pt idx="355">
                  <c:v>100</c:v>
                </c:pt>
                <c:pt idx="356">
                  <c:v>100</c:v>
                </c:pt>
                <c:pt idx="357">
                  <c:v>100</c:v>
                </c:pt>
                <c:pt idx="358">
                  <c:v>100</c:v>
                </c:pt>
                <c:pt idx="359">
                  <c:v>100</c:v>
                </c:pt>
                <c:pt idx="360">
                  <c:v>100</c:v>
                </c:pt>
                <c:pt idx="361">
                  <c:v>100</c:v>
                </c:pt>
                <c:pt idx="362">
                  <c:v>100</c:v>
                </c:pt>
                <c:pt idx="363">
                  <c:v>100</c:v>
                </c:pt>
                <c:pt idx="364">
                  <c:v>100</c:v>
                </c:pt>
                <c:pt idx="365">
                  <c:v>100</c:v>
                </c:pt>
                <c:pt idx="366">
                  <c:v>100</c:v>
                </c:pt>
                <c:pt idx="367">
                  <c:v>100</c:v>
                </c:pt>
                <c:pt idx="368">
                  <c:v>100</c:v>
                </c:pt>
                <c:pt idx="369">
                  <c:v>100</c:v>
                </c:pt>
                <c:pt idx="370">
                  <c:v>100</c:v>
                </c:pt>
                <c:pt idx="371">
                  <c:v>100</c:v>
                </c:pt>
                <c:pt idx="372">
                  <c:v>100</c:v>
                </c:pt>
                <c:pt idx="373">
                  <c:v>100</c:v>
                </c:pt>
                <c:pt idx="374">
                  <c:v>100</c:v>
                </c:pt>
                <c:pt idx="375">
                  <c:v>100</c:v>
                </c:pt>
                <c:pt idx="376">
                  <c:v>100</c:v>
                </c:pt>
                <c:pt idx="377">
                  <c:v>100</c:v>
                </c:pt>
                <c:pt idx="378">
                  <c:v>100</c:v>
                </c:pt>
                <c:pt idx="379">
                  <c:v>100</c:v>
                </c:pt>
                <c:pt idx="380">
                  <c:v>100</c:v>
                </c:pt>
                <c:pt idx="381">
                  <c:v>100</c:v>
                </c:pt>
                <c:pt idx="382">
                  <c:v>100</c:v>
                </c:pt>
                <c:pt idx="383">
                  <c:v>100</c:v>
                </c:pt>
                <c:pt idx="384">
                  <c:v>100</c:v>
                </c:pt>
                <c:pt idx="385">
                  <c:v>100</c:v>
                </c:pt>
                <c:pt idx="386">
                  <c:v>100</c:v>
                </c:pt>
                <c:pt idx="387">
                  <c:v>100</c:v>
                </c:pt>
                <c:pt idx="388">
                  <c:v>100</c:v>
                </c:pt>
                <c:pt idx="389">
                  <c:v>100</c:v>
                </c:pt>
                <c:pt idx="390">
                  <c:v>100</c:v>
                </c:pt>
                <c:pt idx="391">
                  <c:v>100</c:v>
                </c:pt>
                <c:pt idx="392">
                  <c:v>100</c:v>
                </c:pt>
                <c:pt idx="393">
                  <c:v>100</c:v>
                </c:pt>
                <c:pt idx="394">
                  <c:v>100</c:v>
                </c:pt>
                <c:pt idx="395">
                  <c:v>100</c:v>
                </c:pt>
                <c:pt idx="396">
                  <c:v>100</c:v>
                </c:pt>
                <c:pt idx="397">
                  <c:v>100</c:v>
                </c:pt>
                <c:pt idx="398">
                  <c:v>100</c:v>
                </c:pt>
                <c:pt idx="399">
                  <c:v>100</c:v>
                </c:pt>
                <c:pt idx="400">
                  <c:v>100</c:v>
                </c:pt>
                <c:pt idx="401">
                  <c:v>100</c:v>
                </c:pt>
                <c:pt idx="402">
                  <c:v>100</c:v>
                </c:pt>
                <c:pt idx="403">
                  <c:v>100</c:v>
                </c:pt>
                <c:pt idx="404">
                  <c:v>100</c:v>
                </c:pt>
                <c:pt idx="405">
                  <c:v>100</c:v>
                </c:pt>
                <c:pt idx="406">
                  <c:v>100</c:v>
                </c:pt>
                <c:pt idx="407">
                  <c:v>100</c:v>
                </c:pt>
                <c:pt idx="408">
                  <c:v>100</c:v>
                </c:pt>
                <c:pt idx="409">
                  <c:v>100</c:v>
                </c:pt>
                <c:pt idx="410">
                  <c:v>100</c:v>
                </c:pt>
                <c:pt idx="411">
                  <c:v>100</c:v>
                </c:pt>
                <c:pt idx="412">
                  <c:v>100</c:v>
                </c:pt>
                <c:pt idx="413">
                  <c:v>100</c:v>
                </c:pt>
                <c:pt idx="414">
                  <c:v>100</c:v>
                </c:pt>
                <c:pt idx="415">
                  <c:v>100</c:v>
                </c:pt>
                <c:pt idx="416">
                  <c:v>100</c:v>
                </c:pt>
                <c:pt idx="417">
                  <c:v>100</c:v>
                </c:pt>
                <c:pt idx="418">
                  <c:v>100</c:v>
                </c:pt>
                <c:pt idx="419">
                  <c:v>100</c:v>
                </c:pt>
                <c:pt idx="420">
                  <c:v>100</c:v>
                </c:pt>
                <c:pt idx="421">
                  <c:v>100</c:v>
                </c:pt>
                <c:pt idx="422">
                  <c:v>100</c:v>
                </c:pt>
                <c:pt idx="423">
                  <c:v>100</c:v>
                </c:pt>
                <c:pt idx="424">
                  <c:v>100</c:v>
                </c:pt>
                <c:pt idx="425">
                  <c:v>100</c:v>
                </c:pt>
                <c:pt idx="426">
                  <c:v>100</c:v>
                </c:pt>
                <c:pt idx="427">
                  <c:v>100</c:v>
                </c:pt>
                <c:pt idx="428">
                  <c:v>100</c:v>
                </c:pt>
                <c:pt idx="429">
                  <c:v>100</c:v>
                </c:pt>
                <c:pt idx="430">
                  <c:v>100</c:v>
                </c:pt>
                <c:pt idx="431">
                  <c:v>100</c:v>
                </c:pt>
                <c:pt idx="432">
                  <c:v>100</c:v>
                </c:pt>
                <c:pt idx="433">
                  <c:v>100</c:v>
                </c:pt>
                <c:pt idx="434">
                  <c:v>100</c:v>
                </c:pt>
                <c:pt idx="435">
                  <c:v>100</c:v>
                </c:pt>
                <c:pt idx="436">
                  <c:v>100</c:v>
                </c:pt>
                <c:pt idx="437">
                  <c:v>100</c:v>
                </c:pt>
                <c:pt idx="438">
                  <c:v>100</c:v>
                </c:pt>
                <c:pt idx="439">
                  <c:v>100</c:v>
                </c:pt>
                <c:pt idx="440">
                  <c:v>100</c:v>
                </c:pt>
                <c:pt idx="441">
                  <c:v>100</c:v>
                </c:pt>
                <c:pt idx="442">
                  <c:v>100</c:v>
                </c:pt>
                <c:pt idx="443">
                  <c:v>100</c:v>
                </c:pt>
                <c:pt idx="444">
                  <c:v>100</c:v>
                </c:pt>
                <c:pt idx="445">
                  <c:v>100</c:v>
                </c:pt>
                <c:pt idx="446">
                  <c:v>100</c:v>
                </c:pt>
                <c:pt idx="447">
                  <c:v>100</c:v>
                </c:pt>
                <c:pt idx="448">
                  <c:v>100</c:v>
                </c:pt>
                <c:pt idx="449">
                  <c:v>100</c:v>
                </c:pt>
                <c:pt idx="450">
                  <c:v>100</c:v>
                </c:pt>
                <c:pt idx="451">
                  <c:v>100</c:v>
                </c:pt>
                <c:pt idx="452">
                  <c:v>100</c:v>
                </c:pt>
                <c:pt idx="453">
                  <c:v>100</c:v>
                </c:pt>
                <c:pt idx="454">
                  <c:v>100</c:v>
                </c:pt>
                <c:pt idx="455">
                  <c:v>100</c:v>
                </c:pt>
                <c:pt idx="456">
                  <c:v>100</c:v>
                </c:pt>
                <c:pt idx="457">
                  <c:v>100</c:v>
                </c:pt>
                <c:pt idx="458">
                  <c:v>100</c:v>
                </c:pt>
                <c:pt idx="459">
                  <c:v>100</c:v>
                </c:pt>
                <c:pt idx="460">
                  <c:v>100</c:v>
                </c:pt>
                <c:pt idx="461">
                  <c:v>100</c:v>
                </c:pt>
                <c:pt idx="462">
                  <c:v>100</c:v>
                </c:pt>
                <c:pt idx="463">
                  <c:v>100</c:v>
                </c:pt>
                <c:pt idx="464">
                  <c:v>100</c:v>
                </c:pt>
                <c:pt idx="465">
                  <c:v>100</c:v>
                </c:pt>
                <c:pt idx="466">
                  <c:v>100</c:v>
                </c:pt>
                <c:pt idx="467">
                  <c:v>100</c:v>
                </c:pt>
                <c:pt idx="468">
                  <c:v>100</c:v>
                </c:pt>
                <c:pt idx="469">
                  <c:v>100</c:v>
                </c:pt>
                <c:pt idx="470">
                  <c:v>100</c:v>
                </c:pt>
                <c:pt idx="471">
                  <c:v>100</c:v>
                </c:pt>
                <c:pt idx="472">
                  <c:v>100</c:v>
                </c:pt>
                <c:pt idx="473">
                  <c:v>100</c:v>
                </c:pt>
                <c:pt idx="474">
                  <c:v>100</c:v>
                </c:pt>
                <c:pt idx="475">
                  <c:v>100</c:v>
                </c:pt>
                <c:pt idx="476">
                  <c:v>100</c:v>
                </c:pt>
                <c:pt idx="477">
                  <c:v>100</c:v>
                </c:pt>
                <c:pt idx="478">
                  <c:v>100</c:v>
                </c:pt>
                <c:pt idx="479">
                  <c:v>100</c:v>
                </c:pt>
                <c:pt idx="480">
                  <c:v>100</c:v>
                </c:pt>
                <c:pt idx="481">
                  <c:v>100</c:v>
                </c:pt>
                <c:pt idx="482">
                  <c:v>100</c:v>
                </c:pt>
                <c:pt idx="483">
                  <c:v>100</c:v>
                </c:pt>
                <c:pt idx="484">
                  <c:v>100</c:v>
                </c:pt>
                <c:pt idx="485">
                  <c:v>100</c:v>
                </c:pt>
                <c:pt idx="486">
                  <c:v>100</c:v>
                </c:pt>
                <c:pt idx="487">
                  <c:v>100</c:v>
                </c:pt>
                <c:pt idx="488">
                  <c:v>100</c:v>
                </c:pt>
                <c:pt idx="489">
                  <c:v>100</c:v>
                </c:pt>
                <c:pt idx="490">
                  <c:v>100</c:v>
                </c:pt>
                <c:pt idx="491">
                  <c:v>100</c:v>
                </c:pt>
                <c:pt idx="492">
                  <c:v>100</c:v>
                </c:pt>
                <c:pt idx="493">
                  <c:v>100</c:v>
                </c:pt>
                <c:pt idx="494">
                  <c:v>100</c:v>
                </c:pt>
                <c:pt idx="495">
                  <c:v>100</c:v>
                </c:pt>
                <c:pt idx="496">
                  <c:v>100</c:v>
                </c:pt>
                <c:pt idx="497">
                  <c:v>100</c:v>
                </c:pt>
                <c:pt idx="498">
                  <c:v>100</c:v>
                </c:pt>
                <c:pt idx="499">
                  <c:v>100</c:v>
                </c:pt>
                <c:pt idx="500">
                  <c:v>100</c:v>
                </c:pt>
                <c:pt idx="501">
                  <c:v>100</c:v>
                </c:pt>
                <c:pt idx="502">
                  <c:v>100</c:v>
                </c:pt>
                <c:pt idx="503">
                  <c:v>100</c:v>
                </c:pt>
                <c:pt idx="504">
                  <c:v>100</c:v>
                </c:pt>
                <c:pt idx="505">
                  <c:v>100</c:v>
                </c:pt>
                <c:pt idx="506">
                  <c:v>100</c:v>
                </c:pt>
                <c:pt idx="507">
                  <c:v>100</c:v>
                </c:pt>
                <c:pt idx="508">
                  <c:v>100</c:v>
                </c:pt>
                <c:pt idx="509">
                  <c:v>100</c:v>
                </c:pt>
                <c:pt idx="510">
                  <c:v>100</c:v>
                </c:pt>
                <c:pt idx="511">
                  <c:v>100</c:v>
                </c:pt>
                <c:pt idx="512">
                  <c:v>100</c:v>
                </c:pt>
                <c:pt idx="513">
                  <c:v>100</c:v>
                </c:pt>
                <c:pt idx="514">
                  <c:v>100</c:v>
                </c:pt>
                <c:pt idx="515">
                  <c:v>100</c:v>
                </c:pt>
                <c:pt idx="516">
                  <c:v>100</c:v>
                </c:pt>
                <c:pt idx="517">
                  <c:v>100</c:v>
                </c:pt>
                <c:pt idx="518">
                  <c:v>100</c:v>
                </c:pt>
                <c:pt idx="519">
                  <c:v>100</c:v>
                </c:pt>
                <c:pt idx="520">
                  <c:v>100</c:v>
                </c:pt>
                <c:pt idx="521">
                  <c:v>100</c:v>
                </c:pt>
                <c:pt idx="522">
                  <c:v>100</c:v>
                </c:pt>
                <c:pt idx="523">
                  <c:v>100</c:v>
                </c:pt>
                <c:pt idx="524">
                  <c:v>100</c:v>
                </c:pt>
                <c:pt idx="525">
                  <c:v>100</c:v>
                </c:pt>
                <c:pt idx="526">
                  <c:v>100</c:v>
                </c:pt>
                <c:pt idx="527">
                  <c:v>100</c:v>
                </c:pt>
                <c:pt idx="528">
                  <c:v>100</c:v>
                </c:pt>
                <c:pt idx="529">
                  <c:v>100</c:v>
                </c:pt>
                <c:pt idx="530">
                  <c:v>100</c:v>
                </c:pt>
                <c:pt idx="531">
                  <c:v>100</c:v>
                </c:pt>
                <c:pt idx="532">
                  <c:v>100</c:v>
                </c:pt>
                <c:pt idx="533">
                  <c:v>100</c:v>
                </c:pt>
                <c:pt idx="534">
                  <c:v>100</c:v>
                </c:pt>
                <c:pt idx="535">
                  <c:v>100</c:v>
                </c:pt>
                <c:pt idx="536">
                  <c:v>100</c:v>
                </c:pt>
                <c:pt idx="537">
                  <c:v>100</c:v>
                </c:pt>
                <c:pt idx="538">
                  <c:v>100</c:v>
                </c:pt>
                <c:pt idx="539">
                  <c:v>100</c:v>
                </c:pt>
                <c:pt idx="540">
                  <c:v>100</c:v>
                </c:pt>
                <c:pt idx="541">
                  <c:v>100</c:v>
                </c:pt>
                <c:pt idx="542">
                  <c:v>100</c:v>
                </c:pt>
                <c:pt idx="543">
                  <c:v>100</c:v>
                </c:pt>
                <c:pt idx="544">
                  <c:v>100</c:v>
                </c:pt>
                <c:pt idx="545">
                  <c:v>100</c:v>
                </c:pt>
                <c:pt idx="546">
                  <c:v>100</c:v>
                </c:pt>
                <c:pt idx="547">
                  <c:v>100</c:v>
                </c:pt>
                <c:pt idx="548">
                  <c:v>100</c:v>
                </c:pt>
                <c:pt idx="549">
                  <c:v>100</c:v>
                </c:pt>
                <c:pt idx="550">
                  <c:v>100</c:v>
                </c:pt>
                <c:pt idx="551">
                  <c:v>100</c:v>
                </c:pt>
                <c:pt idx="552">
                  <c:v>100</c:v>
                </c:pt>
                <c:pt idx="553">
                  <c:v>100</c:v>
                </c:pt>
                <c:pt idx="554">
                  <c:v>100</c:v>
                </c:pt>
                <c:pt idx="555">
                  <c:v>100</c:v>
                </c:pt>
                <c:pt idx="556">
                  <c:v>100</c:v>
                </c:pt>
                <c:pt idx="557">
                  <c:v>100</c:v>
                </c:pt>
                <c:pt idx="558">
                  <c:v>100</c:v>
                </c:pt>
                <c:pt idx="559">
                  <c:v>100</c:v>
                </c:pt>
                <c:pt idx="560">
                  <c:v>100</c:v>
                </c:pt>
                <c:pt idx="561">
                  <c:v>100</c:v>
                </c:pt>
                <c:pt idx="562">
                  <c:v>100</c:v>
                </c:pt>
                <c:pt idx="563">
                  <c:v>100</c:v>
                </c:pt>
                <c:pt idx="564">
                  <c:v>100</c:v>
                </c:pt>
                <c:pt idx="565">
                  <c:v>100</c:v>
                </c:pt>
                <c:pt idx="566">
                  <c:v>100</c:v>
                </c:pt>
                <c:pt idx="567">
                  <c:v>100</c:v>
                </c:pt>
                <c:pt idx="568">
                  <c:v>100</c:v>
                </c:pt>
                <c:pt idx="569">
                  <c:v>100</c:v>
                </c:pt>
                <c:pt idx="570">
                  <c:v>100</c:v>
                </c:pt>
                <c:pt idx="571">
                  <c:v>100</c:v>
                </c:pt>
                <c:pt idx="572">
                  <c:v>100</c:v>
                </c:pt>
                <c:pt idx="573">
                  <c:v>100</c:v>
                </c:pt>
                <c:pt idx="574">
                  <c:v>100</c:v>
                </c:pt>
                <c:pt idx="575">
                  <c:v>100</c:v>
                </c:pt>
                <c:pt idx="576">
                  <c:v>100</c:v>
                </c:pt>
                <c:pt idx="577">
                  <c:v>100</c:v>
                </c:pt>
                <c:pt idx="578">
                  <c:v>100</c:v>
                </c:pt>
                <c:pt idx="579">
                  <c:v>100</c:v>
                </c:pt>
                <c:pt idx="580">
                  <c:v>100</c:v>
                </c:pt>
                <c:pt idx="581">
                  <c:v>100</c:v>
                </c:pt>
                <c:pt idx="582">
                  <c:v>100</c:v>
                </c:pt>
                <c:pt idx="583">
                  <c:v>100</c:v>
                </c:pt>
                <c:pt idx="584">
                  <c:v>100</c:v>
                </c:pt>
                <c:pt idx="585">
                  <c:v>100</c:v>
                </c:pt>
                <c:pt idx="586">
                  <c:v>100</c:v>
                </c:pt>
                <c:pt idx="587">
                  <c:v>100</c:v>
                </c:pt>
                <c:pt idx="588">
                  <c:v>100</c:v>
                </c:pt>
                <c:pt idx="589">
                  <c:v>100</c:v>
                </c:pt>
                <c:pt idx="590">
                  <c:v>100</c:v>
                </c:pt>
                <c:pt idx="591">
                  <c:v>100</c:v>
                </c:pt>
                <c:pt idx="592">
                  <c:v>100</c:v>
                </c:pt>
                <c:pt idx="593">
                  <c:v>100</c:v>
                </c:pt>
                <c:pt idx="594">
                  <c:v>100</c:v>
                </c:pt>
                <c:pt idx="595">
                  <c:v>100</c:v>
                </c:pt>
                <c:pt idx="596">
                  <c:v>100</c:v>
                </c:pt>
                <c:pt idx="597">
                  <c:v>100</c:v>
                </c:pt>
                <c:pt idx="598">
                  <c:v>100</c:v>
                </c:pt>
                <c:pt idx="599">
                  <c:v>100</c:v>
                </c:pt>
                <c:pt idx="600">
                  <c:v>100</c:v>
                </c:pt>
                <c:pt idx="601">
                  <c:v>100</c:v>
                </c:pt>
                <c:pt idx="602">
                  <c:v>100</c:v>
                </c:pt>
                <c:pt idx="603">
                  <c:v>100</c:v>
                </c:pt>
                <c:pt idx="604">
                  <c:v>100</c:v>
                </c:pt>
                <c:pt idx="605">
                  <c:v>100</c:v>
                </c:pt>
                <c:pt idx="606">
                  <c:v>100</c:v>
                </c:pt>
                <c:pt idx="607">
                  <c:v>100</c:v>
                </c:pt>
                <c:pt idx="608">
                  <c:v>100</c:v>
                </c:pt>
                <c:pt idx="609">
                  <c:v>100</c:v>
                </c:pt>
                <c:pt idx="610">
                  <c:v>100</c:v>
                </c:pt>
                <c:pt idx="611">
                  <c:v>100</c:v>
                </c:pt>
                <c:pt idx="612">
                  <c:v>100</c:v>
                </c:pt>
                <c:pt idx="613">
                  <c:v>100</c:v>
                </c:pt>
                <c:pt idx="614">
                  <c:v>100</c:v>
                </c:pt>
                <c:pt idx="615">
                  <c:v>100</c:v>
                </c:pt>
                <c:pt idx="616">
                  <c:v>100</c:v>
                </c:pt>
                <c:pt idx="617">
                  <c:v>100</c:v>
                </c:pt>
                <c:pt idx="618">
                  <c:v>100</c:v>
                </c:pt>
                <c:pt idx="619">
                  <c:v>100</c:v>
                </c:pt>
                <c:pt idx="620">
                  <c:v>100</c:v>
                </c:pt>
                <c:pt idx="621">
                  <c:v>100</c:v>
                </c:pt>
                <c:pt idx="622">
                  <c:v>100</c:v>
                </c:pt>
                <c:pt idx="623">
                  <c:v>100</c:v>
                </c:pt>
                <c:pt idx="624">
                  <c:v>100</c:v>
                </c:pt>
                <c:pt idx="625">
                  <c:v>100</c:v>
                </c:pt>
                <c:pt idx="626">
                  <c:v>100</c:v>
                </c:pt>
                <c:pt idx="627">
                  <c:v>100</c:v>
                </c:pt>
                <c:pt idx="628">
                  <c:v>100</c:v>
                </c:pt>
                <c:pt idx="629">
                  <c:v>100</c:v>
                </c:pt>
                <c:pt idx="630">
                  <c:v>100</c:v>
                </c:pt>
                <c:pt idx="631">
                  <c:v>100</c:v>
                </c:pt>
                <c:pt idx="632">
                  <c:v>100</c:v>
                </c:pt>
                <c:pt idx="633">
                  <c:v>100</c:v>
                </c:pt>
                <c:pt idx="634">
                  <c:v>100</c:v>
                </c:pt>
                <c:pt idx="635">
                  <c:v>100</c:v>
                </c:pt>
                <c:pt idx="636">
                  <c:v>100</c:v>
                </c:pt>
                <c:pt idx="637">
                  <c:v>100</c:v>
                </c:pt>
                <c:pt idx="638">
                  <c:v>100</c:v>
                </c:pt>
                <c:pt idx="639">
                  <c:v>100</c:v>
                </c:pt>
                <c:pt idx="640">
                  <c:v>100</c:v>
                </c:pt>
                <c:pt idx="641">
                  <c:v>100</c:v>
                </c:pt>
                <c:pt idx="642">
                  <c:v>100</c:v>
                </c:pt>
                <c:pt idx="643">
                  <c:v>100</c:v>
                </c:pt>
                <c:pt idx="644">
                  <c:v>100</c:v>
                </c:pt>
                <c:pt idx="645">
                  <c:v>100</c:v>
                </c:pt>
                <c:pt idx="646">
                  <c:v>100</c:v>
                </c:pt>
                <c:pt idx="647">
                  <c:v>100</c:v>
                </c:pt>
                <c:pt idx="648">
                  <c:v>100</c:v>
                </c:pt>
                <c:pt idx="649">
                  <c:v>100</c:v>
                </c:pt>
                <c:pt idx="650">
                  <c:v>100</c:v>
                </c:pt>
                <c:pt idx="651">
                  <c:v>100</c:v>
                </c:pt>
                <c:pt idx="652">
                  <c:v>100</c:v>
                </c:pt>
                <c:pt idx="653">
                  <c:v>100</c:v>
                </c:pt>
                <c:pt idx="654">
                  <c:v>100</c:v>
                </c:pt>
                <c:pt idx="655">
                  <c:v>100</c:v>
                </c:pt>
                <c:pt idx="656">
                  <c:v>100</c:v>
                </c:pt>
                <c:pt idx="657">
                  <c:v>100</c:v>
                </c:pt>
                <c:pt idx="658">
                  <c:v>100</c:v>
                </c:pt>
                <c:pt idx="659">
                  <c:v>100</c:v>
                </c:pt>
                <c:pt idx="660">
                  <c:v>100</c:v>
                </c:pt>
                <c:pt idx="661">
                  <c:v>100</c:v>
                </c:pt>
                <c:pt idx="662">
                  <c:v>100</c:v>
                </c:pt>
                <c:pt idx="663">
                  <c:v>100</c:v>
                </c:pt>
                <c:pt idx="664">
                  <c:v>100</c:v>
                </c:pt>
                <c:pt idx="665">
                  <c:v>100</c:v>
                </c:pt>
                <c:pt idx="666">
                  <c:v>100</c:v>
                </c:pt>
                <c:pt idx="667">
                  <c:v>100</c:v>
                </c:pt>
                <c:pt idx="668">
                  <c:v>100</c:v>
                </c:pt>
                <c:pt idx="669">
                  <c:v>100</c:v>
                </c:pt>
                <c:pt idx="670">
                  <c:v>100</c:v>
                </c:pt>
                <c:pt idx="671">
                  <c:v>100</c:v>
                </c:pt>
                <c:pt idx="672">
                  <c:v>100</c:v>
                </c:pt>
                <c:pt idx="673">
                  <c:v>100</c:v>
                </c:pt>
                <c:pt idx="674">
                  <c:v>100</c:v>
                </c:pt>
                <c:pt idx="675">
                  <c:v>100</c:v>
                </c:pt>
                <c:pt idx="676">
                  <c:v>100</c:v>
                </c:pt>
                <c:pt idx="677">
                  <c:v>100</c:v>
                </c:pt>
                <c:pt idx="678">
                  <c:v>100</c:v>
                </c:pt>
                <c:pt idx="679">
                  <c:v>100</c:v>
                </c:pt>
                <c:pt idx="680">
                  <c:v>100</c:v>
                </c:pt>
                <c:pt idx="681">
                  <c:v>100</c:v>
                </c:pt>
                <c:pt idx="682">
                  <c:v>100</c:v>
                </c:pt>
                <c:pt idx="683">
                  <c:v>100</c:v>
                </c:pt>
                <c:pt idx="684">
                  <c:v>100</c:v>
                </c:pt>
                <c:pt idx="685">
                  <c:v>100</c:v>
                </c:pt>
                <c:pt idx="686">
                  <c:v>100</c:v>
                </c:pt>
                <c:pt idx="687">
                  <c:v>100</c:v>
                </c:pt>
                <c:pt idx="688">
                  <c:v>100</c:v>
                </c:pt>
                <c:pt idx="689">
                  <c:v>100</c:v>
                </c:pt>
                <c:pt idx="690">
                  <c:v>100</c:v>
                </c:pt>
                <c:pt idx="691">
                  <c:v>100</c:v>
                </c:pt>
                <c:pt idx="692">
                  <c:v>100</c:v>
                </c:pt>
                <c:pt idx="693">
                  <c:v>100</c:v>
                </c:pt>
                <c:pt idx="694">
                  <c:v>100</c:v>
                </c:pt>
                <c:pt idx="695">
                  <c:v>100</c:v>
                </c:pt>
                <c:pt idx="696">
                  <c:v>100</c:v>
                </c:pt>
                <c:pt idx="697">
                  <c:v>100</c:v>
                </c:pt>
                <c:pt idx="698">
                  <c:v>100</c:v>
                </c:pt>
                <c:pt idx="699">
                  <c:v>100</c:v>
                </c:pt>
                <c:pt idx="700">
                  <c:v>100</c:v>
                </c:pt>
                <c:pt idx="701">
                  <c:v>100</c:v>
                </c:pt>
                <c:pt idx="702">
                  <c:v>100</c:v>
                </c:pt>
                <c:pt idx="703">
                  <c:v>100</c:v>
                </c:pt>
                <c:pt idx="704">
                  <c:v>100</c:v>
                </c:pt>
                <c:pt idx="705">
                  <c:v>100</c:v>
                </c:pt>
                <c:pt idx="706">
                  <c:v>100</c:v>
                </c:pt>
                <c:pt idx="707">
                  <c:v>100</c:v>
                </c:pt>
                <c:pt idx="708">
                  <c:v>100</c:v>
                </c:pt>
                <c:pt idx="709">
                  <c:v>100</c:v>
                </c:pt>
                <c:pt idx="710">
                  <c:v>100</c:v>
                </c:pt>
                <c:pt idx="711">
                  <c:v>100</c:v>
                </c:pt>
                <c:pt idx="712">
                  <c:v>100</c:v>
                </c:pt>
                <c:pt idx="713">
                  <c:v>100</c:v>
                </c:pt>
                <c:pt idx="714">
                  <c:v>100</c:v>
                </c:pt>
                <c:pt idx="715">
                  <c:v>100</c:v>
                </c:pt>
                <c:pt idx="716">
                  <c:v>100</c:v>
                </c:pt>
                <c:pt idx="717">
                  <c:v>100</c:v>
                </c:pt>
                <c:pt idx="718">
                  <c:v>100</c:v>
                </c:pt>
                <c:pt idx="719">
                  <c:v>100</c:v>
                </c:pt>
                <c:pt idx="720">
                  <c:v>100</c:v>
                </c:pt>
                <c:pt idx="721">
                  <c:v>100</c:v>
                </c:pt>
                <c:pt idx="722">
                  <c:v>100</c:v>
                </c:pt>
                <c:pt idx="723">
                  <c:v>100</c:v>
                </c:pt>
                <c:pt idx="724">
                  <c:v>100</c:v>
                </c:pt>
                <c:pt idx="725">
                  <c:v>100</c:v>
                </c:pt>
                <c:pt idx="726">
                  <c:v>100</c:v>
                </c:pt>
                <c:pt idx="727">
                  <c:v>100</c:v>
                </c:pt>
                <c:pt idx="728">
                  <c:v>100</c:v>
                </c:pt>
                <c:pt idx="729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3AE-40CA-9BE0-0A8E99D97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8751631"/>
        <c:axId val="1903763215"/>
      </c:lineChart>
      <c:catAx>
        <c:axId val="1908751631"/>
        <c:scaling>
          <c:orientation val="minMax"/>
        </c:scaling>
        <c:delete val="0"/>
        <c:axPos val="b"/>
        <c:numFmt formatCode="dd/mm/yy" sourceLinked="1"/>
        <c:majorTickMark val="out"/>
        <c:minorTickMark val="none"/>
        <c:tickLblPos val="nextTo"/>
        <c:spPr>
          <a:noFill/>
          <a:ln w="9525" cap="flat" cmpd="sng" algn="ctr">
            <a:solidFill>
              <a:srgbClr val="334155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E8F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03763215"/>
        <c:crosses val="autoZero"/>
        <c:auto val="0"/>
        <c:lblAlgn val="ctr"/>
        <c:lblOffset val="100"/>
        <c:tickLblSkip val="60"/>
        <c:tickMarkSkip val="60"/>
        <c:noMultiLvlLbl val="0"/>
      </c:catAx>
      <c:valAx>
        <c:axId val="190376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334155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334155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2E8F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08751631"/>
        <c:crosses val="autoZero"/>
        <c:crossBetween val="between"/>
      </c:valAx>
      <c:spPr>
        <a:solidFill>
          <a:srgbClr val="1E293B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94A3B8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E293B"/>
    </a:solidFill>
    <a:ln w="9525" cap="flat" cmpd="sng" algn="ctr">
      <a:solidFill>
        <a:srgbClr val="334155"/>
      </a:solidFill>
      <a:prstDash val="solid"/>
      <a:round/>
    </a:ln>
    <a:effectLst/>
  </c:spPr>
  <c:txPr>
    <a:bodyPr/>
    <a:lstStyle/>
    <a:p>
      <a:pPr>
        <a:defRPr sz="900">
          <a:solidFill>
            <a:srgbClr val="E2E8F0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 sz="1100" b="1">
                <a:solidFill>
                  <a:srgbClr val="0F172A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Weekly Loss &amp; Average Weight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Lost (kg)</c:v>
          </c:tx>
          <c:spPr>
            <a:solidFill>
              <a:srgbClr val="14B8A6"/>
            </a:solidFill>
            <a:ln>
              <a:prstDash val="solid"/>
            </a:ln>
          </c:spPr>
          <c:invertIfNegative val="1"/>
          <c:cat>
            <c:numRef>
              <c:f>'Weekly Analysis'!$A$6:$A$109</c:f>
              <c:numCache>
                <c:formatCode>General</c:formatCode>
                <c:ptCount val="1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</c:numCache>
            </c:numRef>
          </c:cat>
          <c:val>
            <c:numRef>
              <c:f>'Weekly Analysis'!$S$6:$S$109</c:f>
              <c:numCache>
                <c:formatCode>General</c:formatCode>
                <c:ptCount val="104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80-4A51-9B15-86F346C48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v>Avg Weight</c:v>
          </c:tx>
          <c:spPr>
            <a:ln w="26000">
              <a:solidFill>
                <a:srgbClr val="3B82F6"/>
              </a:solidFill>
              <a:prstDash val="solid"/>
            </a:ln>
          </c:spPr>
          <c:marker>
            <c:symbol val="none"/>
          </c:marker>
          <c:val>
            <c:numRef>
              <c:f>'Weekly Analysis'!$T$6:$T$109</c:f>
              <c:numCache>
                <c:formatCode>General</c:formatCode>
                <c:ptCount val="104"/>
                <c:pt idx="0">
                  <c:v>157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0-4A51-9B15-86F346C481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rgbClr val="64748B"/>
                </a:solidFill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kg lost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rgbClr val="64748B"/>
                </a:solidFill>
              </a:defRPr>
            </a:pPr>
            <a:endParaRPr lang="fr-FR"/>
          </a:p>
        </c:txPr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Avg kg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  <c:txPr>
        <a:bodyPr/>
        <a:lstStyle/>
        <a:p>
          <a:pPr>
            <a:defRPr sz="900">
              <a:solidFill>
                <a:srgbClr val="64748B"/>
              </a:solidFill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>
      <a:solidFill>
        <a:srgbClr val="CBD5E1"/>
      </a:solidFill>
      <a:prstDash val="solid"/>
    </a:ln>
  </c:spPr>
  <c:txPr>
    <a:bodyPr/>
    <a:lstStyle/>
    <a:p>
      <a:pPr>
        <a:defRPr sz="900">
          <a:solidFill>
            <a:srgbClr val="334155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 sz="1100" b="1">
                <a:solidFill>
                  <a:srgbClr val="0F172A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Monthly Weight Loss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Lost (kg)</c:v>
          </c:tx>
          <c:spPr>
            <a:solidFill>
              <a:srgbClr val="8B5CF6"/>
            </a:solidFill>
            <a:ln>
              <a:prstDash val="solid"/>
            </a:ln>
          </c:spPr>
          <c:invertIfNegative val="1"/>
          <c:cat>
            <c:strRef>
              <c:f>'Monthly Analysis'!$A$6:$A$29</c:f>
              <c:strCache>
                <c:ptCount val="24"/>
                <c:pt idx="0">
                  <c:v>sept 2026</c:v>
                </c:pt>
                <c:pt idx="1">
                  <c:v>oct 2026</c:v>
                </c:pt>
                <c:pt idx="2">
                  <c:v>nov 2026</c:v>
                </c:pt>
                <c:pt idx="3">
                  <c:v>déc 2026</c:v>
                </c:pt>
                <c:pt idx="4">
                  <c:v>janv 2027</c:v>
                </c:pt>
                <c:pt idx="5">
                  <c:v>févr 2027</c:v>
                </c:pt>
                <c:pt idx="6">
                  <c:v>mars 2027</c:v>
                </c:pt>
                <c:pt idx="7">
                  <c:v>avr 2027</c:v>
                </c:pt>
                <c:pt idx="8">
                  <c:v>mai 2027</c:v>
                </c:pt>
                <c:pt idx="9">
                  <c:v>juin 2027</c:v>
                </c:pt>
                <c:pt idx="10">
                  <c:v>juil 2027</c:v>
                </c:pt>
                <c:pt idx="11">
                  <c:v>août 2027</c:v>
                </c:pt>
                <c:pt idx="12">
                  <c:v>sept 2027</c:v>
                </c:pt>
                <c:pt idx="13">
                  <c:v>oct 2027</c:v>
                </c:pt>
                <c:pt idx="14">
                  <c:v>nov 2027</c:v>
                </c:pt>
                <c:pt idx="15">
                  <c:v>déc 2027</c:v>
                </c:pt>
                <c:pt idx="16">
                  <c:v>janv 2028</c:v>
                </c:pt>
                <c:pt idx="17">
                  <c:v>févr 2028</c:v>
                </c:pt>
                <c:pt idx="18">
                  <c:v>mars 2028</c:v>
                </c:pt>
                <c:pt idx="19">
                  <c:v>avr 2028</c:v>
                </c:pt>
                <c:pt idx="20">
                  <c:v>mai 2028</c:v>
                </c:pt>
                <c:pt idx="21">
                  <c:v>juin 2028</c:v>
                </c:pt>
                <c:pt idx="22">
                  <c:v>juil 2028</c:v>
                </c:pt>
                <c:pt idx="23">
                  <c:v>août 2028</c:v>
                </c:pt>
              </c:strCache>
            </c:strRef>
          </c:cat>
          <c:val>
            <c:numRef>
              <c:f>'Monthly Analysis'!$L$6:$L$29</c:f>
              <c:numCache>
                <c:formatCode>General</c:formatCode>
                <c:ptCount val="24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897-486A-8A07-5A0DDD42F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rgbClr val="64748B"/>
                </a:solidFill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kg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rgbClr val="64748B"/>
                </a:solidFill>
              </a:defRPr>
            </a:pPr>
            <a:endParaRPr lang="fr-FR"/>
          </a:p>
        </c:txPr>
        <c:crossAx val="10"/>
        <c:crosses val="autoZero"/>
        <c:crossBetween val="between"/>
      </c:valAx>
    </c:plotArea>
    <c:plotVisOnly val="0"/>
    <c:dispBlanksAs val="gap"/>
    <c:showDLblsOverMax val="1"/>
  </c:chart>
  <c:spPr>
    <a:solidFill>
      <a:srgbClr val="FFFFFF"/>
    </a:solidFill>
    <a:ln>
      <a:solidFill>
        <a:srgbClr val="CBD5E1"/>
      </a:solidFill>
      <a:prstDash val="solid"/>
    </a:ln>
  </c:spPr>
  <c:txPr>
    <a:bodyPr/>
    <a:lstStyle/>
    <a:p>
      <a:pPr>
        <a:defRPr sz="900">
          <a:solidFill>
            <a:srgbClr val="334155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 sz="1100" b="1">
                <a:solidFill>
                  <a:srgbClr val="0F172A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Measurements Over Time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'Body Measurements'!$B$5</c:f>
              <c:strCache>
                <c:ptCount val="1"/>
                <c:pt idx="0">
                  <c:v>Waist (cm)</c:v>
                </c:pt>
              </c:strCache>
            </c:strRef>
          </c:tx>
          <c:spPr>
            <a:ln w="24000">
              <a:solidFill>
                <a:srgbClr val="14B8A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'Body Measurements'!$A$6:$A$111</c:f>
              <c:numCache>
                <c:formatCode>dd\ mmm\ yyyy</c:formatCode>
                <c:ptCount val="106"/>
              </c:numCache>
            </c:numRef>
          </c:cat>
          <c:val>
            <c:numRef>
              <c:f>'Body Measurements'!$B$6:$B$111</c:f>
              <c:numCache>
                <c:formatCode>0.0</c:formatCode>
                <c:ptCount val="10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3E0-44CA-8B4C-2E0F19AFCECA}"/>
            </c:ext>
          </c:extLst>
        </c:ser>
        <c:ser>
          <c:idx val="1"/>
          <c:order val="1"/>
          <c:tx>
            <c:strRef>
              <c:f>'Body Measurements'!$C$5</c:f>
              <c:strCache>
                <c:ptCount val="1"/>
                <c:pt idx="0">
                  <c:v>Chest (cm)</c:v>
                </c:pt>
              </c:strCache>
            </c:strRef>
          </c:tx>
          <c:spPr>
            <a:ln w="24000">
              <a:solidFill>
                <a:srgbClr val="3B82F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'Body Measurements'!$A$6:$A$111</c:f>
              <c:numCache>
                <c:formatCode>dd\ mmm\ yyyy</c:formatCode>
                <c:ptCount val="106"/>
              </c:numCache>
            </c:numRef>
          </c:cat>
          <c:val>
            <c:numRef>
              <c:f>'Body Measurements'!$C$6:$C$111</c:f>
              <c:numCache>
                <c:formatCode>0.0</c:formatCode>
                <c:ptCount val="10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3E0-44CA-8B4C-2E0F19AFCECA}"/>
            </c:ext>
          </c:extLst>
        </c:ser>
        <c:ser>
          <c:idx val="2"/>
          <c:order val="2"/>
          <c:tx>
            <c:strRef>
              <c:f>'Body Measurements'!$D$5</c:f>
              <c:strCache>
                <c:ptCount val="1"/>
                <c:pt idx="0">
                  <c:v>Arms (cm)</c:v>
                </c:pt>
              </c:strCache>
            </c:strRef>
          </c:tx>
          <c:spPr>
            <a:ln w="24000">
              <a:solidFill>
                <a:srgbClr val="8B5CF6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'Body Measurements'!$A$6:$A$111</c:f>
              <c:numCache>
                <c:formatCode>dd\ mmm\ yyyy</c:formatCode>
                <c:ptCount val="106"/>
              </c:numCache>
            </c:numRef>
          </c:cat>
          <c:val>
            <c:numRef>
              <c:f>'Body Measurements'!$D$6:$D$111</c:f>
              <c:numCache>
                <c:formatCode>0.0</c:formatCode>
                <c:ptCount val="10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3E0-44CA-8B4C-2E0F19AFCECA}"/>
            </c:ext>
          </c:extLst>
        </c:ser>
        <c:ser>
          <c:idx val="3"/>
          <c:order val="3"/>
          <c:tx>
            <c:strRef>
              <c:f>'Body Measurements'!$E$5</c:f>
              <c:strCache>
                <c:ptCount val="1"/>
                <c:pt idx="0">
                  <c:v>Thighs (cm)</c:v>
                </c:pt>
              </c:strCache>
            </c:strRef>
          </c:tx>
          <c:spPr>
            <a:ln w="24000">
              <a:solidFill>
                <a:srgbClr val="F59E0B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'Body Measurements'!$A$6:$A$111</c:f>
              <c:numCache>
                <c:formatCode>dd\ mmm\ yyyy</c:formatCode>
                <c:ptCount val="106"/>
              </c:numCache>
            </c:numRef>
          </c:cat>
          <c:val>
            <c:numRef>
              <c:f>'Body Measurements'!$E$6:$E$111</c:f>
              <c:numCache>
                <c:formatCode>0.0</c:formatCode>
                <c:ptCount val="10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3E0-44CA-8B4C-2E0F19AFCECA}"/>
            </c:ext>
          </c:extLst>
        </c:ser>
        <c:ser>
          <c:idx val="4"/>
          <c:order val="4"/>
          <c:tx>
            <c:strRef>
              <c:f>'Body Measurements'!$F$5</c:f>
              <c:strCache>
                <c:ptCount val="1"/>
                <c:pt idx="0">
                  <c:v>Neck (cm)</c:v>
                </c:pt>
              </c:strCache>
            </c:strRef>
          </c:tx>
          <c:spPr>
            <a:ln w="24000">
              <a:solidFill>
                <a:srgbClr val="10B981"/>
              </a:solidFill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'Body Measurements'!$A$6:$A$111</c:f>
              <c:numCache>
                <c:formatCode>dd\ mmm\ yyyy</c:formatCode>
                <c:ptCount val="106"/>
              </c:numCache>
            </c:numRef>
          </c:cat>
          <c:val>
            <c:numRef>
              <c:f>'Body Measurements'!$F$6:$F$111</c:f>
              <c:numCache>
                <c:formatCode>0.0</c:formatCode>
                <c:ptCount val="106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3E0-44CA-8B4C-2E0F19AFC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dd\ mmm\ yyyy" sourceLinked="1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rgbClr val="64748B"/>
                </a:solidFill>
              </a:defRPr>
            </a:pPr>
            <a:endParaRPr lang="fr-F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cm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txPr>
          <a:bodyPr/>
          <a:lstStyle/>
          <a:p>
            <a:pPr>
              <a:defRPr>
                <a:solidFill>
                  <a:srgbClr val="64748B"/>
                </a:solidFill>
              </a:defRPr>
            </a:pPr>
            <a:endParaRPr lang="fr-FR"/>
          </a:p>
        </c:txPr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sz="900">
              <a:solidFill>
                <a:srgbClr val="64748B"/>
              </a:solidFill>
            </a:defRPr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>
      <a:solidFill>
        <a:srgbClr val="CBD5E1"/>
      </a:solidFill>
      <a:prstDash val="solid"/>
    </a:ln>
  </c:spPr>
  <c:txPr>
    <a:bodyPr/>
    <a:lstStyle/>
    <a:p>
      <a:pPr>
        <a:defRPr sz="900">
          <a:solidFill>
            <a:srgbClr val="334155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2"/>
  <c:chart>
    <c:title>
      <c:tx>
        <c:rich>
          <a:bodyPr/>
          <a:lstStyle/>
          <a:p>
            <a:pPr>
              <a:defRPr sz="1100" b="1">
                <a:solidFill>
                  <a:srgbClr val="0F172A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12-Week Weight Projection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'Goal Planner'!$C$13</c:f>
              <c:strCache>
                <c:ptCount val="1"/>
                <c:pt idx="0">
                  <c:v>Projected Weight</c:v>
                </c:pt>
              </c:strCache>
            </c:strRef>
          </c:tx>
          <c:spPr>
            <a:ln w="28000">
              <a:solidFill>
                <a:srgbClr val="8B5CF6"/>
              </a:solidFill>
              <a:prstDash val="solid"/>
            </a:ln>
          </c:spPr>
          <c:marker>
            <c:symbol val="none"/>
          </c:marker>
          <c:cat>
            <c:numRef>
              <c:f>'Goal Planner'!$B$14:$B$25</c:f>
              <c:numCache>
                <c:formatCode>dd\ mmm</c:formatCode>
                <c:ptCount val="12"/>
                <c:pt idx="0">
                  <c:v>46285</c:v>
                </c:pt>
                <c:pt idx="1">
                  <c:v>46292</c:v>
                </c:pt>
                <c:pt idx="2">
                  <c:v>46299</c:v>
                </c:pt>
                <c:pt idx="3">
                  <c:v>46306</c:v>
                </c:pt>
                <c:pt idx="4">
                  <c:v>46313</c:v>
                </c:pt>
                <c:pt idx="5">
                  <c:v>46320</c:v>
                </c:pt>
                <c:pt idx="6">
                  <c:v>46327</c:v>
                </c:pt>
                <c:pt idx="7">
                  <c:v>46334</c:v>
                </c:pt>
                <c:pt idx="8">
                  <c:v>46341</c:v>
                </c:pt>
                <c:pt idx="9">
                  <c:v>46348</c:v>
                </c:pt>
                <c:pt idx="10">
                  <c:v>46355</c:v>
                </c:pt>
                <c:pt idx="11">
                  <c:v>46362</c:v>
                </c:pt>
              </c:numCache>
            </c:numRef>
          </c:cat>
          <c:val>
            <c:numRef>
              <c:f>'Goal Planner'!$C$14:$C$25</c:f>
              <c:numCache>
                <c:formatCode>0.0</c:formatCode>
                <c:ptCount val="12"/>
                <c:pt idx="0">
                  <c:v>157</c:v>
                </c:pt>
                <c:pt idx="1">
                  <c:v>157</c:v>
                </c:pt>
                <c:pt idx="2">
                  <c:v>157</c:v>
                </c:pt>
                <c:pt idx="3">
                  <c:v>157</c:v>
                </c:pt>
                <c:pt idx="4">
                  <c:v>157</c:v>
                </c:pt>
                <c:pt idx="5">
                  <c:v>157</c:v>
                </c:pt>
                <c:pt idx="6">
                  <c:v>157</c:v>
                </c:pt>
                <c:pt idx="7">
                  <c:v>157</c:v>
                </c:pt>
                <c:pt idx="8">
                  <c:v>157</c:v>
                </c:pt>
                <c:pt idx="9">
                  <c:v>157</c:v>
                </c:pt>
                <c:pt idx="10">
                  <c:v>157</c:v>
                </c:pt>
                <c:pt idx="11">
                  <c:v>157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EE-4A0B-A197-DCD30672F2CE}"/>
            </c:ext>
          </c:extLst>
        </c:ser>
        <c:ser>
          <c:idx val="1"/>
          <c:order val="1"/>
          <c:tx>
            <c:strRef>
              <c:f>'Goal Planner'!$D$13</c:f>
              <c:strCache>
                <c:ptCount val="1"/>
                <c:pt idx="0">
                  <c:v>Goal</c:v>
                </c:pt>
              </c:strCache>
            </c:strRef>
          </c:tx>
          <c:spPr>
            <a:ln>
              <a:solidFill>
                <a:srgbClr val="F59E0B"/>
              </a:solidFill>
              <a:prstDash val="dash"/>
            </a:ln>
          </c:spPr>
          <c:marker>
            <c:symbol val="none"/>
          </c:marker>
          <c:cat>
            <c:numRef>
              <c:f>'Goal Planner'!$B$14:$B$25</c:f>
              <c:numCache>
                <c:formatCode>dd\ mmm</c:formatCode>
                <c:ptCount val="12"/>
                <c:pt idx="0">
                  <c:v>46285</c:v>
                </c:pt>
                <c:pt idx="1">
                  <c:v>46292</c:v>
                </c:pt>
                <c:pt idx="2">
                  <c:v>46299</c:v>
                </c:pt>
                <c:pt idx="3">
                  <c:v>46306</c:v>
                </c:pt>
                <c:pt idx="4">
                  <c:v>46313</c:v>
                </c:pt>
                <c:pt idx="5">
                  <c:v>46320</c:v>
                </c:pt>
                <c:pt idx="6">
                  <c:v>46327</c:v>
                </c:pt>
                <c:pt idx="7">
                  <c:v>46334</c:v>
                </c:pt>
                <c:pt idx="8">
                  <c:v>46341</c:v>
                </c:pt>
                <c:pt idx="9">
                  <c:v>46348</c:v>
                </c:pt>
                <c:pt idx="10">
                  <c:v>46355</c:v>
                </c:pt>
                <c:pt idx="11">
                  <c:v>46362</c:v>
                </c:pt>
              </c:numCache>
            </c:numRef>
          </c:cat>
          <c:val>
            <c:numRef>
              <c:f>'Goal Planner'!$D$14:$D$25</c:f>
              <c:numCache>
                <c:formatCode>0.0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EE-4A0B-A197-DCD30672F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dd\ 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>
          <c:spPr>
            <a:ln>
              <a:solidFill>
                <a:srgbClr val="E2E8F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kg</a:t>
                </a:r>
              </a:p>
            </c:rich>
          </c:tx>
          <c:overlay val="1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  <c:txPr>
        <a:bodyPr/>
        <a:lstStyle/>
        <a:p>
          <a:pPr>
            <a:defRPr sz="900"/>
          </a:pPr>
          <a:endParaRPr lang="fr-FR"/>
        </a:p>
      </c:txPr>
    </c:legend>
    <c:plotVisOnly val="0"/>
    <c:dispBlanksAs val="gap"/>
    <c:showDLblsOverMax val="1"/>
  </c:chart>
  <c:spPr>
    <a:solidFill>
      <a:srgbClr val="FFFFFF"/>
    </a:solidFill>
    <a:ln>
      <a:solidFill>
        <a:srgbClr val="CBD5E1"/>
      </a:solidFill>
      <a:prstDash val="solid"/>
    </a:ln>
  </c:spPr>
  <c:txPr>
    <a:bodyPr/>
    <a:lstStyle/>
    <a:p>
      <a:pPr>
        <a:defRPr sz="900">
          <a:solidFill>
            <a:srgbClr val="334155"/>
          </a:solidFill>
          <a:latin typeface="Arial"/>
          <a:ea typeface="Arial"/>
          <a:cs typeface="Arial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116840</xdr:colOff>
      <xdr:row>35</xdr:row>
      <xdr:rowOff>99060</xdr:rowOff>
    </xdr:from>
    <xdr:to>
      <xdr:col>16</xdr:col>
      <xdr:colOff>55880</xdr:colOff>
      <xdr:row>52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53</xdr:row>
      <xdr:rowOff>160020</xdr:rowOff>
    </xdr:from>
    <xdr:to>
      <xdr:col>7</xdr:col>
      <xdr:colOff>594360</xdr:colOff>
      <xdr:row>71</xdr:row>
      <xdr:rowOff>43180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116840</xdr:colOff>
      <xdr:row>53</xdr:row>
      <xdr:rowOff>160020</xdr:rowOff>
    </xdr:from>
    <xdr:to>
      <xdr:col>16</xdr:col>
      <xdr:colOff>55880</xdr:colOff>
      <xdr:row>71</xdr:row>
      <xdr:rowOff>43180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72</xdr:row>
      <xdr:rowOff>38100</xdr:rowOff>
    </xdr:from>
    <xdr:to>
      <xdr:col>16</xdr:col>
      <xdr:colOff>55880</xdr:colOff>
      <xdr:row>89</xdr:row>
      <xdr:rowOff>104140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35</xdr:row>
      <xdr:rowOff>99060</xdr:rowOff>
    </xdr:from>
    <xdr:to>
      <xdr:col>7</xdr:col>
      <xdr:colOff>594360</xdr:colOff>
      <xdr:row>55</xdr:row>
      <xdr:rowOff>20320</xdr:rowOff>
    </xdr:to>
    <xdr:graphicFrame macro="">
      <xdr:nvGraphicFramePr>
        <xdr:cNvPr id="7" name="WeightTrend">
          <a:extLst>
            <a:ext uri="{FF2B5EF4-FFF2-40B4-BE49-F238E27FC236}">
              <a16:creationId xmlns:a16="http://schemas.microsoft.com/office/drawing/2014/main" id="{1BE1381E-5E53-0698-B5F0-5988D539A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1104900</xdr:colOff>
      <xdr:row>9</xdr:row>
      <xdr:rowOff>213360</xdr:rowOff>
    </xdr:from>
    <xdr:to>
      <xdr:col>29</xdr:col>
      <xdr:colOff>535940</xdr:colOff>
      <xdr:row>25</xdr:row>
      <xdr:rowOff>111760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106680</xdr:rowOff>
    </xdr:from>
    <xdr:to>
      <xdr:col>13</xdr:col>
      <xdr:colOff>203200</xdr:colOff>
      <xdr:row>36</xdr:row>
      <xdr:rowOff>121920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4</xdr:row>
      <xdr:rowOff>0</xdr:rowOff>
    </xdr:from>
    <xdr:to>
      <xdr:col>23</xdr:col>
      <xdr:colOff>113040</xdr:colOff>
      <xdr:row>19</xdr:row>
      <xdr:rowOff>89580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0</xdr:rowOff>
    </xdr:from>
    <xdr:to>
      <xdr:col>15</xdr:col>
      <xdr:colOff>207360</xdr:colOff>
      <xdr:row>25</xdr:row>
      <xdr:rowOff>52740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123E01-29F9-4CE4-ABF6-6215E9E99BC1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12aec39f-755d-400c-93c2-7149a72f000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BFD44-A602-44C0-9525-6E98BF99A82D}">
  <sheetPr>
    <tabColor rgb="FF0F172A"/>
  </sheetPr>
  <dimension ref="A1:D33"/>
  <sheetViews>
    <sheetView showGridLines="0" workbookViewId="0"/>
  </sheetViews>
  <sheetFormatPr defaultRowHeight="14.4" x14ac:dyDescent="0.3"/>
  <cols>
    <col min="1" max="1" width="3.6640625" style="3" customWidth="1"/>
    <col min="2" max="2" width="27.77734375" style="3" customWidth="1"/>
    <col min="3" max="3" width="61.109375" style="3" customWidth="1"/>
    <col min="4" max="4" width="3.6640625" style="3" customWidth="1"/>
    <col min="5" max="16384" width="8.88671875" style="3"/>
  </cols>
  <sheetData>
    <row r="1" spans="1:4" ht="34.049999999999997" customHeight="1" x14ac:dyDescent="0.4">
      <c r="A1" s="1"/>
      <c r="B1" s="2" t="s">
        <v>168</v>
      </c>
      <c r="C1" s="2"/>
      <c r="D1" s="1"/>
    </row>
    <row r="2" spans="1:4" ht="18" customHeight="1" x14ac:dyDescent="0.3">
      <c r="A2" s="1"/>
      <c r="B2" s="4" t="s">
        <v>169</v>
      </c>
      <c r="C2" s="4"/>
      <c r="D2" s="1"/>
    </row>
    <row r="3" spans="1:4" ht="12" customHeight="1" x14ac:dyDescent="0.3">
      <c r="A3" s="5"/>
      <c r="B3" s="5"/>
      <c r="C3" s="5"/>
      <c r="D3" s="5"/>
    </row>
    <row r="4" spans="1:4" ht="22.05" customHeight="1" x14ac:dyDescent="0.3">
      <c r="A4" s="6"/>
      <c r="B4" s="7" t="s">
        <v>170</v>
      </c>
      <c r="C4" s="8"/>
      <c r="D4" s="6"/>
    </row>
    <row r="5" spans="1:4" ht="43.95" customHeight="1" x14ac:dyDescent="0.3">
      <c r="A5" s="9"/>
      <c r="B5" s="10" t="s">
        <v>171</v>
      </c>
      <c r="C5" s="11" t="s">
        <v>172</v>
      </c>
      <c r="D5" s="9"/>
    </row>
    <row r="6" spans="1:4" ht="30" customHeight="1" x14ac:dyDescent="0.3">
      <c r="A6" s="9"/>
      <c r="B6" s="10" t="s">
        <v>173</v>
      </c>
      <c r="C6" s="11" t="s">
        <v>174</v>
      </c>
      <c r="D6" s="9"/>
    </row>
    <row r="7" spans="1:4" ht="30" customHeight="1" x14ac:dyDescent="0.3">
      <c r="A7" s="9"/>
      <c r="B7" s="10" t="s">
        <v>175</v>
      </c>
      <c r="C7" s="11" t="s">
        <v>176</v>
      </c>
      <c r="D7" s="9"/>
    </row>
    <row r="8" spans="1:4" ht="30" customHeight="1" x14ac:dyDescent="0.3">
      <c r="A8" s="9"/>
      <c r="B8" s="10" t="s">
        <v>177</v>
      </c>
      <c r="C8" s="11" t="s">
        <v>178</v>
      </c>
      <c r="D8" s="9"/>
    </row>
    <row r="9" spans="1:4" x14ac:dyDescent="0.3">
      <c r="A9" s="9"/>
      <c r="B9" s="9"/>
      <c r="C9" s="12"/>
      <c r="D9" s="9"/>
    </row>
    <row r="10" spans="1:4" ht="22.05" customHeight="1" x14ac:dyDescent="0.3">
      <c r="A10" s="9"/>
      <c r="B10" s="13" t="s">
        <v>179</v>
      </c>
      <c r="C10" s="14"/>
      <c r="D10" s="9"/>
    </row>
    <row r="11" spans="1:4" ht="30" customHeight="1" x14ac:dyDescent="0.3">
      <c r="A11" s="9"/>
      <c r="B11" s="10" t="s">
        <v>180</v>
      </c>
      <c r="C11" s="11" t="s">
        <v>181</v>
      </c>
      <c r="D11" s="9"/>
    </row>
    <row r="12" spans="1:4" ht="30" customHeight="1" x14ac:dyDescent="0.3">
      <c r="A12" s="9"/>
      <c r="B12" s="10" t="s">
        <v>182</v>
      </c>
      <c r="C12" s="11" t="s">
        <v>183</v>
      </c>
      <c r="D12" s="9"/>
    </row>
    <row r="13" spans="1:4" ht="31.95" customHeight="1" x14ac:dyDescent="0.3">
      <c r="A13" s="9"/>
      <c r="B13" s="10" t="s">
        <v>184</v>
      </c>
      <c r="C13" s="11" t="s">
        <v>185</v>
      </c>
      <c r="D13" s="9"/>
    </row>
    <row r="14" spans="1:4" ht="30" customHeight="1" x14ac:dyDescent="0.3">
      <c r="A14" s="9"/>
      <c r="B14" s="10" t="s">
        <v>186</v>
      </c>
      <c r="C14" s="11" t="s">
        <v>187</v>
      </c>
      <c r="D14" s="9"/>
    </row>
    <row r="15" spans="1:4" ht="30" customHeight="1" x14ac:dyDescent="0.3">
      <c r="A15" s="9"/>
      <c r="B15" s="10" t="s">
        <v>188</v>
      </c>
      <c r="C15" s="11" t="s">
        <v>189</v>
      </c>
      <c r="D15" s="9"/>
    </row>
    <row r="16" spans="1:4" ht="39.6" x14ac:dyDescent="0.3">
      <c r="A16" s="9"/>
      <c r="B16" s="255" t="s">
        <v>451</v>
      </c>
      <c r="C16" s="11" t="s">
        <v>452</v>
      </c>
      <c r="D16" s="9"/>
    </row>
    <row r="17" spans="1:4" ht="22.05" customHeight="1" x14ac:dyDescent="0.3">
      <c r="A17" s="9"/>
      <c r="B17" s="13" t="s">
        <v>190</v>
      </c>
      <c r="C17" s="14"/>
      <c r="D17" s="9"/>
    </row>
    <row r="18" spans="1:4" ht="25.95" customHeight="1" x14ac:dyDescent="0.3">
      <c r="A18" s="9"/>
      <c r="B18" s="15" t="s">
        <v>191</v>
      </c>
      <c r="C18" s="11" t="s">
        <v>192</v>
      </c>
      <c r="D18" s="9"/>
    </row>
    <row r="19" spans="1:4" ht="25.95" customHeight="1" x14ac:dyDescent="0.3">
      <c r="A19" s="9"/>
      <c r="B19" s="16" t="s">
        <v>193</v>
      </c>
      <c r="C19" s="11" t="s">
        <v>194</v>
      </c>
      <c r="D19" s="9"/>
    </row>
    <row r="20" spans="1:4" ht="25.95" customHeight="1" x14ac:dyDescent="0.3">
      <c r="A20" s="9"/>
      <c r="B20" s="17" t="s">
        <v>195</v>
      </c>
      <c r="C20" s="11" t="s">
        <v>196</v>
      </c>
      <c r="D20" s="9"/>
    </row>
    <row r="21" spans="1:4" ht="25.95" customHeight="1" x14ac:dyDescent="0.3">
      <c r="A21" s="9"/>
      <c r="B21" s="18" t="s">
        <v>197</v>
      </c>
      <c r="C21" s="11" t="s">
        <v>198</v>
      </c>
      <c r="D21" s="9"/>
    </row>
    <row r="22" spans="1:4" ht="31.95" customHeight="1" x14ac:dyDescent="0.3">
      <c r="A22" s="9"/>
      <c r="B22" s="19" t="s">
        <v>199</v>
      </c>
      <c r="C22" s="11" t="s">
        <v>200</v>
      </c>
      <c r="D22" s="9"/>
    </row>
    <row r="23" spans="1:4" x14ac:dyDescent="0.3">
      <c r="A23" s="9"/>
      <c r="B23" s="9"/>
      <c r="C23" s="12"/>
      <c r="D23" s="9"/>
    </row>
    <row r="24" spans="1:4" ht="22.05" customHeight="1" x14ac:dyDescent="0.3">
      <c r="A24" s="9"/>
      <c r="B24" s="13" t="s">
        <v>201</v>
      </c>
      <c r="C24" s="14"/>
      <c r="D24" s="9"/>
    </row>
    <row r="25" spans="1:4" ht="22.05" customHeight="1" x14ac:dyDescent="0.3">
      <c r="A25" s="9"/>
      <c r="B25" s="10" t="s">
        <v>202</v>
      </c>
      <c r="C25" s="11" t="str">
        <f>DAY(Settings!$B$4)&amp;" "&amp;TEXT(Settings!$B$4,"mmm")&amp;" "&amp;YEAR(Settings!$B$4)&amp;"  to  "&amp;DAY('Daily Tracking'!$A$735)&amp;" "&amp;TEXT('Daily Tracking'!$A$735,"mmm")&amp;" "&amp;YEAR('Daily Tracking'!$A$735)&amp;"   (730 days)"</f>
        <v>13 sept 2026  to  11 sept 2028   (730 days)</v>
      </c>
      <c r="D25" s="9"/>
    </row>
    <row r="26" spans="1:4" ht="22.05" customHeight="1" x14ac:dyDescent="0.3">
      <c r="A26" s="9"/>
      <c r="B26" s="10" t="s">
        <v>203</v>
      </c>
      <c r="C26" s="11" t="str">
        <f>FIXED(Settings!$B$5,1)&amp;" kg  →  "&amp;FIXED(Settings!$B$6,1)&amp;" kg   ("&amp;FIXED(Settings!$B$5-Settings!$B$6,1)&amp;" kg to lose)"</f>
        <v>157,0 kg  →  100,0 kg   (57,0 kg to lose)</v>
      </c>
      <c r="D26" s="9"/>
    </row>
    <row r="27" spans="1:4" ht="22.05" customHeight="1" x14ac:dyDescent="0.3">
      <c r="A27" s="9"/>
      <c r="B27" s="10" t="s">
        <v>204</v>
      </c>
      <c r="C27" s="11" t="str">
        <f>FIXED((Settings!$B$5-Settings!$B$6)/104,2)&amp;" kg per week to finish inside the 2-year window"</f>
        <v>0,55 kg per week to finish inside the 2-year window</v>
      </c>
      <c r="D27" s="9"/>
    </row>
    <row r="28" spans="1:4" x14ac:dyDescent="0.3">
      <c r="A28" s="9"/>
      <c r="B28" s="9"/>
      <c r="C28" s="12"/>
      <c r="D28" s="9"/>
    </row>
    <row r="29" spans="1:4" ht="40.049999999999997" customHeight="1" x14ac:dyDescent="0.3">
      <c r="A29" s="9"/>
      <c r="B29" s="20" t="s">
        <v>205</v>
      </c>
      <c r="C29" s="21" t="s">
        <v>206</v>
      </c>
      <c r="D29" s="9"/>
    </row>
    <row r="30" spans="1:4" x14ac:dyDescent="0.3">
      <c r="A30" s="6"/>
      <c r="B30" s="6"/>
      <c r="C30" s="6"/>
      <c r="D30" s="6"/>
    </row>
    <row r="31" spans="1:4" ht="31.95" customHeight="1" x14ac:dyDescent="0.3">
      <c r="B31" s="10" t="s">
        <v>239</v>
      </c>
      <c r="C31" s="11" t="s">
        <v>240</v>
      </c>
    </row>
    <row r="33" spans="2:2" x14ac:dyDescent="0.3">
      <c r="B33" s="238" t="s">
        <v>241</v>
      </c>
    </row>
  </sheetData>
  <sheetProtection sheet="1" objects="1" scenarios="1"/>
  <mergeCells count="6">
    <mergeCell ref="B4:C4"/>
    <mergeCell ref="B10:C10"/>
    <mergeCell ref="B17:C17"/>
    <mergeCell ref="B24:C24"/>
    <mergeCell ref="B1:C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172A"/>
    <pageSetUpPr fitToPage="1"/>
  </sheetPr>
  <dimension ref="A1:T99"/>
  <sheetViews>
    <sheetView showGridLines="0" zoomScaleNormal="100" workbookViewId="0">
      <selection activeCell="O107" sqref="O107"/>
    </sheetView>
  </sheetViews>
  <sheetFormatPr defaultColWidth="8.6640625" defaultRowHeight="14.4" outlineLevelCol="1" x14ac:dyDescent="0.3"/>
  <cols>
    <col min="1" max="16" width="9.5546875" style="3" customWidth="1"/>
    <col min="17" max="18" width="8.6640625" style="3"/>
    <col min="19" max="19" width="13" style="3" hidden="1" customWidth="1" outlineLevel="1"/>
    <col min="20" max="20" width="8.6640625" style="3" collapsed="1"/>
    <col min="21" max="16384" width="8.6640625" style="3"/>
  </cols>
  <sheetData>
    <row r="1" spans="1:19" ht="36" customHeight="1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9" ht="18" customHeight="1" x14ac:dyDescent="0.3">
      <c r="A2" s="23" t="str">
        <f>"Goal: "&amp;FIXED(Settings!$B$6,1)&amp;" kg   •   Started "&amp;DAY(Settings!$B$4)&amp;" "&amp;TEXT(Settings!$B$4,"mmm")&amp;" "&amp;YEAR(Settings!$B$4)&amp;"   •   Last entry "&amp;DAY($S$8)&amp;" "&amp;TEXT($S$8,"mmm")&amp;" "&amp;YEAR($S$8)</f>
        <v>Goal: 100,0 kg   •   Started 13 sept 2026   •   Last entry 13 sept 2026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1:19" ht="10.050000000000001" customHeight="1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S3" s="25">
        <f>Settings!$B$5</f>
        <v>157</v>
      </c>
    </row>
    <row r="4" spans="1:19" ht="18" customHeight="1" x14ac:dyDescent="0.3">
      <c r="A4" s="26" t="s">
        <v>1</v>
      </c>
      <c r="B4" s="27"/>
      <c r="C4" s="27"/>
      <c r="D4" s="27"/>
      <c r="E4" s="26" t="s">
        <v>2</v>
      </c>
      <c r="F4" s="27"/>
      <c r="G4" s="27"/>
      <c r="H4" s="27"/>
      <c r="I4" s="26" t="s">
        <v>3</v>
      </c>
      <c r="J4" s="27"/>
      <c r="K4" s="27"/>
      <c r="L4" s="27"/>
      <c r="M4" s="26" t="s">
        <v>4</v>
      </c>
      <c r="N4" s="27"/>
      <c r="O4" s="27"/>
      <c r="P4" s="28"/>
      <c r="S4" s="25" cm="1">
        <f t="array" ref="S4">IFERROR(LOOKUP(2,1/('Daily Tracking'!$B$6:$B$735&lt;&gt;""),'Daily Tracking'!$B$6:$B$735),Settings!$B$5)</f>
        <v>157</v>
      </c>
    </row>
    <row r="5" spans="1:19" ht="25.95" customHeight="1" x14ac:dyDescent="0.3">
      <c r="A5" s="29">
        <f>$S$3</f>
        <v>157</v>
      </c>
      <c r="B5" s="30"/>
      <c r="C5" s="30"/>
      <c r="D5" s="30"/>
      <c r="E5" s="31">
        <f>$S$4</f>
        <v>157</v>
      </c>
      <c r="F5" s="32"/>
      <c r="G5" s="32"/>
      <c r="H5" s="32"/>
      <c r="I5" s="33">
        <f>$S$5</f>
        <v>100</v>
      </c>
      <c r="J5" s="34"/>
      <c r="K5" s="34"/>
      <c r="L5" s="34"/>
      <c r="M5" s="35">
        <f>$S$6</f>
        <v>0</v>
      </c>
      <c r="N5" s="36"/>
      <c r="O5" s="36"/>
      <c r="P5" s="37"/>
      <c r="S5" s="25">
        <f>Settings!$B$6</f>
        <v>100</v>
      </c>
    </row>
    <row r="6" spans="1:19" ht="12" customHeight="1" x14ac:dyDescent="0.3">
      <c r="A6" s="38"/>
      <c r="B6" s="39"/>
      <c r="C6" s="39"/>
      <c r="D6" s="39"/>
      <c r="E6" s="40"/>
      <c r="F6" s="41"/>
      <c r="G6" s="41"/>
      <c r="H6" s="41"/>
      <c r="I6" s="42"/>
      <c r="J6" s="43"/>
      <c r="K6" s="43"/>
      <c r="L6" s="43"/>
      <c r="M6" s="44"/>
      <c r="N6" s="45"/>
      <c r="O6" s="45"/>
      <c r="P6" s="46"/>
      <c r="S6" s="25">
        <f>$S$3-$S$4</f>
        <v>0</v>
      </c>
    </row>
    <row r="7" spans="1:19" ht="10.050000000000001" customHeight="1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S7" s="25">
        <f>MAX(0,$S$4-$S$5)</f>
        <v>57</v>
      </c>
    </row>
    <row r="8" spans="1:19" ht="18" customHeight="1" x14ac:dyDescent="0.3">
      <c r="A8" s="26" t="s">
        <v>5</v>
      </c>
      <c r="B8" s="27"/>
      <c r="C8" s="27"/>
      <c r="D8" s="27"/>
      <c r="E8" s="26" t="s">
        <v>6</v>
      </c>
      <c r="F8" s="27"/>
      <c r="G8" s="27"/>
      <c r="H8" s="27"/>
      <c r="I8" s="26" t="s">
        <v>7</v>
      </c>
      <c r="J8" s="27"/>
      <c r="K8" s="27"/>
      <c r="L8" s="27"/>
      <c r="M8" s="26" t="s">
        <v>8</v>
      </c>
      <c r="N8" s="27"/>
      <c r="O8" s="27"/>
      <c r="P8" s="28"/>
      <c r="S8" s="47" cm="1">
        <f t="array" ref="S8">IFERROR(LOOKUP(2,1/('Daily Tracking'!$B$6:$B$735&lt;&gt;""),'Daily Tracking'!$A$6:$A$735),Settings!$B$4)</f>
        <v>46278</v>
      </c>
    </row>
    <row r="9" spans="1:19" ht="25.95" customHeight="1" x14ac:dyDescent="0.3">
      <c r="A9" s="48">
        <f>$S$7</f>
        <v>57</v>
      </c>
      <c r="B9" s="49"/>
      <c r="C9" s="49"/>
      <c r="D9" s="49"/>
      <c r="E9" s="50">
        <f>$S$10</f>
        <v>0</v>
      </c>
      <c r="F9" s="51"/>
      <c r="G9" s="51"/>
      <c r="H9" s="51"/>
      <c r="I9" s="52">
        <f>-$S$11</f>
        <v>0</v>
      </c>
      <c r="J9" s="53"/>
      <c r="K9" s="53"/>
      <c r="L9" s="53"/>
      <c r="M9" s="54">
        <f>$S$12</f>
        <v>49.551824264613053</v>
      </c>
      <c r="N9" s="55"/>
      <c r="O9" s="55"/>
      <c r="P9" s="56"/>
      <c r="S9" s="3">
        <f>MAX(1,$S$8-Settings!$B$4+1)</f>
        <v>1</v>
      </c>
    </row>
    <row r="10" spans="1:19" ht="12" customHeight="1" x14ac:dyDescent="0.3">
      <c r="A10" s="57"/>
      <c r="B10" s="58"/>
      <c r="C10" s="58"/>
      <c r="D10" s="58"/>
      <c r="E10" s="59"/>
      <c r="F10" s="60"/>
      <c r="G10" s="60"/>
      <c r="H10" s="60"/>
      <c r="I10" s="61"/>
      <c r="J10" s="62"/>
      <c r="K10" s="62"/>
      <c r="L10" s="62"/>
      <c r="M10" s="63"/>
      <c r="N10" s="64"/>
      <c r="O10" s="64"/>
      <c r="P10" s="65"/>
      <c r="S10" s="3">
        <f>$S$6/$S$9*7</f>
        <v>0</v>
      </c>
    </row>
    <row r="11" spans="1:19" ht="10.050000000000001" customHeight="1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S11" s="3">
        <f>$S$6/$S$9</f>
        <v>0</v>
      </c>
    </row>
    <row r="12" spans="1:19" ht="18" customHeight="1" x14ac:dyDescent="0.3">
      <c r="A12" s="26" t="s">
        <v>9</v>
      </c>
      <c r="B12" s="27"/>
      <c r="C12" s="27"/>
      <c r="D12" s="27"/>
      <c r="E12" s="26" t="s">
        <v>10</v>
      </c>
      <c r="F12" s="27"/>
      <c r="G12" s="27"/>
      <c r="H12" s="27"/>
      <c r="I12" s="26" t="s">
        <v>11</v>
      </c>
      <c r="J12" s="27"/>
      <c r="K12" s="27"/>
      <c r="L12" s="27"/>
      <c r="M12" s="26" t="s">
        <v>12</v>
      </c>
      <c r="N12" s="27"/>
      <c r="O12" s="27"/>
      <c r="P12" s="28"/>
      <c r="S12" s="3">
        <f>$S$4/((Settings!$B$7)/100)^2</f>
        <v>49.551824264613053</v>
      </c>
    </row>
    <row r="13" spans="1:19" ht="25.95" customHeight="1" x14ac:dyDescent="0.3">
      <c r="A13" s="66">
        <f>$S$9</f>
        <v>1</v>
      </c>
      <c r="B13" s="67"/>
      <c r="C13" s="67"/>
      <c r="D13" s="67"/>
      <c r="E13" s="68">
        <f>$S$13</f>
        <v>0</v>
      </c>
      <c r="F13" s="69"/>
      <c r="G13" s="69"/>
      <c r="H13" s="69"/>
      <c r="I13" s="70" t="str">
        <f ca="1">IF($S$16="","—",$S$16)</f>
        <v>—</v>
      </c>
      <c r="J13" s="71"/>
      <c r="K13" s="71"/>
      <c r="L13" s="71"/>
      <c r="M13" s="72">
        <f ca="1">IF($S$22="","—",$S$22)</f>
        <v>0.16666666666666666</v>
      </c>
      <c r="N13" s="73"/>
      <c r="O13" s="73"/>
      <c r="P13" s="74"/>
      <c r="S13" s="3">
        <f>IF($S$3=$S$5,1,MIN(1,MAX(0,$S$6/($S$3-$S$5))))</f>
        <v>0</v>
      </c>
    </row>
    <row r="14" spans="1:19" ht="12" customHeight="1" x14ac:dyDescent="0.3">
      <c r="A14" s="75"/>
      <c r="B14" s="76"/>
      <c r="C14" s="76"/>
      <c r="D14" s="76"/>
      <c r="E14" s="77"/>
      <c r="F14" s="78"/>
      <c r="G14" s="78"/>
      <c r="H14" s="78"/>
      <c r="I14" s="79"/>
      <c r="J14" s="80"/>
      <c r="K14" s="80"/>
      <c r="L14" s="80"/>
      <c r="M14" s="81"/>
      <c r="N14" s="82"/>
      <c r="O14" s="82"/>
      <c r="P14" s="83"/>
      <c r="S14" s="3">
        <f ca="1">'Goal Planner'!$M$4</f>
        <v>0</v>
      </c>
    </row>
    <row r="15" spans="1:19" ht="10.050000000000001" customHeight="1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S15" s="3" t="str">
        <f ca="1">'Goal Planner'!$M$5</f>
        <v/>
      </c>
    </row>
    <row r="16" spans="1:19" ht="18" customHeight="1" x14ac:dyDescent="0.3">
      <c r="A16" s="26" t="s">
        <v>13</v>
      </c>
      <c r="B16" s="27"/>
      <c r="C16" s="27"/>
      <c r="D16" s="27"/>
      <c r="E16" s="26" t="s">
        <v>14</v>
      </c>
      <c r="F16" s="27"/>
      <c r="G16" s="27"/>
      <c r="H16" s="27"/>
      <c r="I16" s="26" t="s">
        <v>15</v>
      </c>
      <c r="J16" s="27"/>
      <c r="K16" s="27"/>
      <c r="L16" s="27"/>
      <c r="M16" s="26" t="s">
        <v>16</v>
      </c>
      <c r="N16" s="27"/>
      <c r="O16" s="27"/>
      <c r="P16" s="28"/>
      <c r="S16" s="3" t="str">
        <f ca="1">'Goal Planner'!$M$6</f>
        <v/>
      </c>
    </row>
    <row r="17" spans="1:19" ht="25.95" customHeight="1" x14ac:dyDescent="0.3">
      <c r="A17" s="84">
        <f>Settings!$B$23</f>
        <v>2578</v>
      </c>
      <c r="B17" s="85"/>
      <c r="C17" s="85"/>
      <c r="D17" s="85"/>
      <c r="E17" s="86">
        <f>Settings!$B$24</f>
        <v>3545</v>
      </c>
      <c r="F17" s="87"/>
      <c r="G17" s="87"/>
      <c r="H17" s="87"/>
      <c r="I17" s="88">
        <f>Settings!$B$11</f>
        <v>2800</v>
      </c>
      <c r="J17" s="89"/>
      <c r="K17" s="89"/>
      <c r="L17" s="89"/>
      <c r="M17" s="90" t="str">
        <f>IF($S$12&lt;18.5,"Underweight",IF($S$12&lt;25,"Healthy range",IF($S$12&lt;30,"Overweight",IF($S$12&lt;35,"Obesity I",IF($S$12&lt;40,"Obesity II","Obesity III")))))</f>
        <v>Obesity III</v>
      </c>
      <c r="N17" s="91"/>
      <c r="O17" s="91"/>
      <c r="P17" s="92"/>
      <c r="S17" s="3">
        <f>IFERROR(AVERAGEIFS('Daily Tracking'!$B$6:$B$735,'Daily Tracking'!$A$6:$A$735,"&gt;"&amp;$S$8-7,'Daily Tracking'!$A$6:$A$735,"&lt;="&amp;$S$8),"")</f>
        <v>157</v>
      </c>
    </row>
    <row r="18" spans="1:19" ht="12" customHeight="1" x14ac:dyDescent="0.3">
      <c r="A18" s="93"/>
      <c r="B18" s="94"/>
      <c r="C18" s="94"/>
      <c r="D18" s="94"/>
      <c r="E18" s="95"/>
      <c r="F18" s="96"/>
      <c r="G18" s="96"/>
      <c r="H18" s="96"/>
      <c r="I18" s="97"/>
      <c r="J18" s="98"/>
      <c r="K18" s="98"/>
      <c r="L18" s="98"/>
      <c r="M18" s="99"/>
      <c r="N18" s="100"/>
      <c r="O18" s="100"/>
      <c r="P18" s="101"/>
      <c r="S18" s="3" t="str">
        <f>IFERROR(AVERAGEIFS('Daily Tracking'!$B$6:$B$735,'Daily Tracking'!$A$6:$A$735,"&gt;"&amp;$S$8-14,'Daily Tracking'!$A$6:$A$735,"&lt;="&amp;$S$8-7),"")</f>
        <v/>
      </c>
    </row>
    <row r="19" spans="1:19" ht="12" customHeight="1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S19" s="3" t="str">
        <f>IF(OR($S$17="",$S$18=""),"",$S$18-$S$17)</f>
        <v/>
      </c>
    </row>
    <row r="20" spans="1:19" ht="22.05" customHeight="1" x14ac:dyDescent="0.3">
      <c r="A20" s="102" t="s">
        <v>17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S20" s="3" t="str">
        <f ca="1">'Goal Planner'!$M$7</f>
        <v/>
      </c>
    </row>
    <row r="21" spans="1:19" ht="16.95" customHeight="1" x14ac:dyDescent="0.3">
      <c r="A21" s="103" t="str">
        <f>IF($S$19="","• Log at least two weeks of weigh-ins to unlock weekly insights.",IF($S$19&gt;=0,"• You lost "&amp;FIXED($S$19,2)&amp;" kg this week — keep it up!","• You gained "&amp;FIXED(-$S$19,2)&amp;" kg this week. One week never defines a journey."))</f>
        <v>• Log at least two weeks of weigh-ins to unlock weekly insights.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S21" s="3" t="str">
        <f ca="1">'Goal Planner'!$M$8</f>
        <v/>
      </c>
    </row>
    <row r="22" spans="1:19" ht="16.95" customHeight="1" x14ac:dyDescent="0.3">
      <c r="A22" s="103" t="str">
        <f>IF(COUNT('Daily Tracking'!$B$6:$B$735)&lt;3,"• Your loss-rate insight unlocks after a few weigh-ins.",IF($S$14&gt;=0,"• Your weight is not trending down right now — review calories and activity.","• Your average loss rate is "&amp;FIXED(-$S$14*7,2)&amp;" kg/week ("&amp;FIXED(-$S$14,3)&amp;" kg/day)."))</f>
        <v>• Your loss-rate insight unlocks after a few weigh-ins.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S22" s="3">
        <f ca="1">IFERROR(AVERAGEIFS('Habit Tracker'!$H$6:$H$735,'Habit Tracker'!$A$6:$A$735,"&gt;"&amp;$S$8-7,'Habit Tracker'!$A$6:$A$735,"&lt;="&amp;$S$8),"")</f>
        <v>0.16666666666666666</v>
      </c>
    </row>
    <row r="23" spans="1:19" ht="16.95" customHeight="1" x14ac:dyDescent="0.3">
      <c r="A23" s="103" t="str">
        <f ca="1">IF($S$15="","• A goal projection will appear once your trend turns downward.",IF($S$15=0,"• Congratulations — you have reached your goal weight!","• You are projected to reach your goal in about "&amp;FIXED($S$15/7,1)&amp;" weeks ("&amp;DAY($S$16)&amp;" "&amp;TEXT($S$16,"mmm")&amp;" "&amp;YEAR($S$16)&amp;")."))</f>
        <v>• A goal projection will appear once your trend turns downward.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</row>
    <row r="24" spans="1:19" ht="16.95" customHeight="1" x14ac:dyDescent="0.3">
      <c r="A24" s="103" t="str">
        <f ca="1">IF(OR($S$20="",$S$21=""),"• Trend comparison unlocks after ~2 months of data.",IF(ABS($S$20-$S$21)&lt;0.005,"• Your progress is steady compared to last month.",IF($S$20&lt;$S$21,"• Your progress is ACCELERATING compared to last month ("&amp;FIXED(-$S$20*7,2)&amp;" vs "&amp;FIXED(-$S$21*7,2)&amp;" kg/wk).","• Your progress is SLOWING compared to last month ("&amp;FIXED(-$S$20*7,2)&amp;" vs "&amp;FIXED(-$S$21*7,2)&amp;" kg/wk).")))</f>
        <v>• Trend comparison unlocks after ~2 months of data.</v>
      </c>
      <c r="B24" s="103"/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</row>
    <row r="25" spans="1:19" ht="16.95" customHeight="1" x14ac:dyDescent="0.3">
      <c r="A25" s="103" t="str">
        <f ca="1">IF(OR($S$22="",COUNT('Daily Tracking'!$B$6:$B$735)=0),"• Habit data appears here once you start logging.","• Habit consistency over the last 7 days: "&amp;TEXT($S$22,"0%")&amp;".")</f>
        <v>• Habit consistency over the last 7 days: 17%.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</row>
    <row r="26" spans="1:19" ht="22.05" customHeight="1" x14ac:dyDescent="0.3">
      <c r="A26" s="104" t="s">
        <v>228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</row>
    <row r="27" spans="1:19" ht="7.95" customHeight="1" x14ac:dyDescent="0.3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</row>
    <row r="28" spans="1:19" ht="22.05" customHeight="1" x14ac:dyDescent="0.3">
      <c r="A28" s="239" t="s">
        <v>229</v>
      </c>
      <c r="B28" s="239"/>
      <c r="C28" s="239"/>
      <c r="D28" s="239"/>
      <c r="E28" s="240">
        <f>COUNT('Daily Tracking'!$B$6:$B$735)</f>
        <v>1</v>
      </c>
      <c r="F28" s="241"/>
      <c r="G28" s="241"/>
      <c r="H28" s="241"/>
      <c r="I28" s="239" t="s">
        <v>230</v>
      </c>
      <c r="J28" s="239"/>
      <c r="K28" s="239"/>
      <c r="L28" s="239"/>
      <c r="M28" s="242" cm="1">
        <f t="array" ref="M28">IFERROR(LOOKUP(2,1/('Daily Tracking'!$D$6:$D$735&lt;&gt;""),'Daily Tracking'!$D$6:$D$735),"")</f>
        <v>157</v>
      </c>
      <c r="N28" s="241"/>
      <c r="O28" s="241"/>
      <c r="P28" s="241"/>
    </row>
    <row r="29" spans="1:19" ht="22.05" customHeight="1" x14ac:dyDescent="0.3">
      <c r="A29" s="243" t="s">
        <v>231</v>
      </c>
      <c r="B29" s="243"/>
      <c r="C29" s="243"/>
      <c r="D29" s="243"/>
      <c r="E29" s="244">
        <f ca="1">IFERROR(COUNT('Daily Tracking'!$B$6:$B$735)/MAX(1,TODAY()-Settings!$B$4+1),"")</f>
        <v>1</v>
      </c>
      <c r="F29" s="245"/>
      <c r="G29" s="245"/>
      <c r="H29" s="245"/>
      <c r="I29" s="243" t="s">
        <v>232</v>
      </c>
      <c r="J29" s="243"/>
      <c r="K29" s="243"/>
      <c r="L29" s="243"/>
      <c r="M29" s="246" t="str">
        <f ca="1">IFERROR(AVERAGEIFS('Daily Tracking'!$B$6:$B$735,'Daily Tracking'!$A$6:$A$735,"&gt;="&amp;TODAY()-6,'Daily Tracking'!$A$6:$A$735,"&lt;="&amp;TODAY())-AVERAGEIFS('Daily Tracking'!$B$6:$B$735,'Daily Tracking'!$A$6:$A$735,"&gt;="&amp;TODAY()-13,'Daily Tracking'!$A$6:$A$735,"&lt;="&amp;TODAY()-7),"")</f>
        <v/>
      </c>
      <c r="N29" s="245"/>
      <c r="O29" s="245"/>
      <c r="P29" s="245"/>
    </row>
    <row r="30" spans="1:19" ht="22.05" customHeight="1" x14ac:dyDescent="0.3">
      <c r="A30" s="243" t="s">
        <v>233</v>
      </c>
      <c r="B30" s="243"/>
      <c r="C30" s="243"/>
      <c r="D30" s="243"/>
      <c r="E30" s="247" cm="1">
        <f t="array" ref="E30">IFERROR(Settings!$B$5-LOOKUP(2,1/('Daily Tracking'!$B$6:$B$735&lt;&gt;""),'Daily Tracking'!$B$6:$B$735),"")</f>
        <v>0</v>
      </c>
      <c r="F30" s="245"/>
      <c r="G30" s="245"/>
      <c r="H30" s="245"/>
      <c r="I30" s="243" t="s">
        <v>234</v>
      </c>
      <c r="J30" s="243"/>
      <c r="K30" s="243"/>
      <c r="L30" s="243"/>
      <c r="M30" s="247" t="str">
        <f ca="1">IFERROR(IF(OR($M$28="",$M$29=""),"",MAX(Settings!$B$6,$M$28+$M$29*12)),"")</f>
        <v/>
      </c>
      <c r="N30" s="245"/>
      <c r="O30" s="245"/>
      <c r="P30" s="245"/>
    </row>
    <row r="31" spans="1:19" ht="22.05" customHeight="1" x14ac:dyDescent="0.3">
      <c r="A31" s="243" t="s">
        <v>98</v>
      </c>
      <c r="B31" s="243"/>
      <c r="C31" s="243"/>
      <c r="D31" s="243"/>
      <c r="E31" s="248">
        <f>IFERROR(AVERAGE('Weekly Analysis'!$E$6:$E$109),"")</f>
        <v>0</v>
      </c>
      <c r="F31" s="245"/>
      <c r="G31" s="245"/>
      <c r="H31" s="245"/>
      <c r="I31" s="243" t="s">
        <v>235</v>
      </c>
      <c r="J31" s="243"/>
      <c r="K31" s="243"/>
      <c r="L31" s="243"/>
      <c r="M31" s="249" t="str">
        <f ca="1">IF(OR($M$29="",$M$29&gt;=0,$M$28=""),"",($M$28-Settings!$B$6)/-$M$29)</f>
        <v/>
      </c>
      <c r="N31" s="245"/>
      <c r="O31" s="245"/>
      <c r="P31" s="245"/>
    </row>
    <row r="32" spans="1:19" ht="22.05" customHeight="1" x14ac:dyDescent="0.3">
      <c r="A32" s="243" t="s">
        <v>236</v>
      </c>
      <c r="B32" s="243"/>
      <c r="C32" s="243"/>
      <c r="D32" s="243"/>
      <c r="E32" s="250" t="str">
        <f>IFERROR(AVERAGE('Daily Tracking'!$E$6:$E$735),"")</f>
        <v/>
      </c>
      <c r="F32" s="245"/>
      <c r="G32" s="245"/>
      <c r="H32" s="245"/>
      <c r="I32" s="243" t="s">
        <v>237</v>
      </c>
      <c r="J32" s="243"/>
      <c r="K32" s="243"/>
      <c r="L32" s="243"/>
      <c r="M32" s="244">
        <f ca="1">IFERROR(AVERAGEIFS('Habit Tracker'!$H$6:$H$735,'Habit Tracker'!$A$6:$A$735,"&gt;="&amp;TODAY()-29,'Habit Tracker'!$A$6:$A$735,"&lt;="&amp;TODAY()),"")</f>
        <v>0.16666666666666666</v>
      </c>
      <c r="N32" s="245"/>
      <c r="O32" s="245"/>
      <c r="P32" s="245"/>
    </row>
    <row r="33" spans="1:16" ht="22.05" customHeight="1" x14ac:dyDescent="0.3">
      <c r="A33" s="251" t="s">
        <v>238</v>
      </c>
      <c r="B33" s="251"/>
      <c r="C33" s="251"/>
      <c r="D33" s="251"/>
      <c r="E33" s="252" t="str">
        <f>IFERROR(AVERAGE('Daily Tracking'!$H$6:$H$735),"")</f>
        <v/>
      </c>
      <c r="F33" s="253"/>
      <c r="G33" s="253"/>
      <c r="H33" s="253"/>
      <c r="I33" s="251" t="s">
        <v>242</v>
      </c>
      <c r="J33" s="251"/>
      <c r="K33" s="251"/>
      <c r="L33" s="251"/>
      <c r="M33" s="254">
        <f ca="1">IFERROR(MAX('Habit Tracker'!$I$6:$I$735),"")</f>
        <v>1</v>
      </c>
      <c r="N33" s="253"/>
      <c r="O33" s="253"/>
      <c r="P33" s="253"/>
    </row>
    <row r="34" spans="1:16" ht="10.050000000000001" customHeight="1" x14ac:dyDescent="0.3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</row>
    <row r="35" spans="1:16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</row>
    <row r="36" spans="1:16" x14ac:dyDescent="0.3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</row>
    <row r="37" spans="1:16" x14ac:dyDescent="0.3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</row>
    <row r="38" spans="1:16" x14ac:dyDescent="0.3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</row>
    <row r="39" spans="1:16" x14ac:dyDescent="0.3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</row>
    <row r="40" spans="1:16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x14ac:dyDescent="0.3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</row>
    <row r="42" spans="1:16" x14ac:dyDescent="0.3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</row>
    <row r="43" spans="1:16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</row>
    <row r="44" spans="1:16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</row>
    <row r="47" spans="1:16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</row>
    <row r="50" spans="1:16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</row>
    <row r="51" spans="1:16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</row>
    <row r="53" spans="1:16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</row>
    <row r="54" spans="1:16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</row>
    <row r="56" spans="1:16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</row>
    <row r="57" spans="1:16" x14ac:dyDescent="0.3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</row>
    <row r="58" spans="1:16" x14ac:dyDescent="0.3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x14ac:dyDescent="0.3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</row>
    <row r="60" spans="1:16" x14ac:dyDescent="0.3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  <row r="61" spans="1:16" x14ac:dyDescent="0.3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x14ac:dyDescent="0.3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</row>
    <row r="63" spans="1:16" x14ac:dyDescent="0.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</row>
    <row r="64" spans="1:16" x14ac:dyDescent="0.3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</row>
    <row r="65" spans="1:16" x14ac:dyDescent="0.3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x14ac:dyDescent="0.3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</row>
    <row r="67" spans="1:16" x14ac:dyDescent="0.3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</row>
    <row r="68" spans="1:16" x14ac:dyDescent="0.3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</row>
    <row r="69" spans="1:16" x14ac:dyDescent="0.3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x14ac:dyDescent="0.3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x14ac:dyDescent="0.3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</row>
    <row r="72" spans="1:16" x14ac:dyDescent="0.3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</row>
    <row r="73" spans="1:16" x14ac:dyDescent="0.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</row>
    <row r="74" spans="1:16" x14ac:dyDescent="0.3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x14ac:dyDescent="0.3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</row>
    <row r="76" spans="1:16" x14ac:dyDescent="0.3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</row>
    <row r="77" spans="1:16" x14ac:dyDescent="0.3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</row>
    <row r="78" spans="1:16" x14ac:dyDescent="0.3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x14ac:dyDescent="0.3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</row>
    <row r="80" spans="1:16" x14ac:dyDescent="0.3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</row>
    <row r="81" spans="1:16" x14ac:dyDescent="0.3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x14ac:dyDescent="0.3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</row>
    <row r="83" spans="1:16" x14ac:dyDescent="0.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</row>
    <row r="84" spans="1:16" x14ac:dyDescent="0.3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</row>
    <row r="85" spans="1:16" x14ac:dyDescent="0.3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x14ac:dyDescent="0.3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1:16" x14ac:dyDescent="0.3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</row>
    <row r="88" spans="1:16" x14ac:dyDescent="0.3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x14ac:dyDescent="0.3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x14ac:dyDescent="0.3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</row>
    <row r="91" spans="1:16" x14ac:dyDescent="0.3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</row>
    <row r="92" spans="1:16" x14ac:dyDescent="0.3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x14ac:dyDescent="0.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</row>
    <row r="94" spans="1:16" x14ac:dyDescent="0.3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</row>
    <row r="95" spans="1:16" x14ac:dyDescent="0.3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</row>
    <row r="96" spans="1:16" x14ac:dyDescent="0.3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x14ac:dyDescent="0.3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</row>
    <row r="98" spans="1:16" x14ac:dyDescent="0.3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</row>
    <row r="99" spans="1:16" x14ac:dyDescent="0.3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</row>
  </sheetData>
  <sheetProtection sheet="1" objects="1" scenarios="1"/>
  <mergeCells count="65">
    <mergeCell ref="A33:D33"/>
    <mergeCell ref="E33:H33"/>
    <mergeCell ref="I33:L33"/>
    <mergeCell ref="M33:P33"/>
    <mergeCell ref="A31:D31"/>
    <mergeCell ref="E31:H31"/>
    <mergeCell ref="I31:L31"/>
    <mergeCell ref="M31:P31"/>
    <mergeCell ref="A32:D32"/>
    <mergeCell ref="E32:H32"/>
    <mergeCell ref="I32:L32"/>
    <mergeCell ref="M32:P32"/>
    <mergeCell ref="A29:D29"/>
    <mergeCell ref="E29:H29"/>
    <mergeCell ref="I29:L29"/>
    <mergeCell ref="M29:P29"/>
    <mergeCell ref="A30:D30"/>
    <mergeCell ref="E30:H30"/>
    <mergeCell ref="I30:L30"/>
    <mergeCell ref="M30:P30"/>
    <mergeCell ref="A26:P26"/>
    <mergeCell ref="A28:D28"/>
    <mergeCell ref="E28:H28"/>
    <mergeCell ref="I28:L28"/>
    <mergeCell ref="M28:P28"/>
    <mergeCell ref="A1:P1"/>
    <mergeCell ref="A2:P2"/>
    <mergeCell ref="A4:D4"/>
    <mergeCell ref="E4:H4"/>
    <mergeCell ref="I4:L4"/>
    <mergeCell ref="M4:P4"/>
    <mergeCell ref="A5:D6"/>
    <mergeCell ref="E5:H6"/>
    <mergeCell ref="I5:L6"/>
    <mergeCell ref="M5:P6"/>
    <mergeCell ref="A8:D8"/>
    <mergeCell ref="E8:H8"/>
    <mergeCell ref="I8:L8"/>
    <mergeCell ref="M8:P8"/>
    <mergeCell ref="A9:D10"/>
    <mergeCell ref="E9:H10"/>
    <mergeCell ref="I9:L10"/>
    <mergeCell ref="M9:P10"/>
    <mergeCell ref="A12:D12"/>
    <mergeCell ref="E12:H12"/>
    <mergeCell ref="I12:L12"/>
    <mergeCell ref="M12:P12"/>
    <mergeCell ref="A13:D14"/>
    <mergeCell ref="E13:H14"/>
    <mergeCell ref="I13:L14"/>
    <mergeCell ref="M13:P14"/>
    <mergeCell ref="A16:D16"/>
    <mergeCell ref="E16:H16"/>
    <mergeCell ref="I16:L16"/>
    <mergeCell ref="M16:P16"/>
    <mergeCell ref="A17:D18"/>
    <mergeCell ref="E17:H18"/>
    <mergeCell ref="I17:L18"/>
    <mergeCell ref="M17:P18"/>
    <mergeCell ref="A20:P20"/>
    <mergeCell ref="A21:P21"/>
    <mergeCell ref="A22:P22"/>
    <mergeCell ref="A23:P23"/>
    <mergeCell ref="A24:P24"/>
    <mergeCell ref="A25:P25"/>
  </mergeCell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4155"/>
    <pageSetUpPr fitToPage="1"/>
  </sheetPr>
  <dimension ref="A1:H35"/>
  <sheetViews>
    <sheetView showGridLines="0" zoomScaleNormal="100" workbookViewId="0">
      <selection activeCell="C15" sqref="C15"/>
    </sheetView>
  </sheetViews>
  <sheetFormatPr defaultColWidth="8.6640625" defaultRowHeight="14.4" x14ac:dyDescent="0.3"/>
  <cols>
    <col min="1" max="1" width="32" style="3" customWidth="1"/>
    <col min="2" max="2" width="16" style="3" customWidth="1"/>
    <col min="3" max="3" width="70" style="3" customWidth="1"/>
    <col min="4" max="16384" width="8.6640625" style="3"/>
  </cols>
  <sheetData>
    <row r="1" spans="1:8" ht="31.95" customHeight="1" x14ac:dyDescent="0.3">
      <c r="A1" s="106" t="s">
        <v>18</v>
      </c>
      <c r="B1" s="106"/>
      <c r="C1" s="106"/>
      <c r="D1" s="106"/>
      <c r="E1" s="106"/>
      <c r="F1" s="106"/>
      <c r="G1" s="106"/>
      <c r="H1" s="106"/>
    </row>
    <row r="2" spans="1:8" ht="18" customHeight="1" x14ac:dyDescent="0.3">
      <c r="A2" s="23" t="s">
        <v>19</v>
      </c>
      <c r="B2" s="23"/>
      <c r="C2" s="23"/>
      <c r="D2" s="23"/>
      <c r="E2" s="23"/>
      <c r="F2" s="23"/>
      <c r="G2" s="23"/>
      <c r="H2" s="23"/>
    </row>
    <row r="3" spans="1:8" ht="7.95" customHeight="1" x14ac:dyDescent="0.3"/>
    <row r="4" spans="1:8" ht="22.05" customHeight="1" x14ac:dyDescent="0.3">
      <c r="A4" s="107" t="s">
        <v>20</v>
      </c>
      <c r="B4" s="117">
        <v>46278</v>
      </c>
    </row>
    <row r="5" spans="1:8" ht="22.05" customHeight="1" x14ac:dyDescent="0.3">
      <c r="A5" s="107" t="s">
        <v>21</v>
      </c>
      <c r="B5" s="118">
        <v>157</v>
      </c>
    </row>
    <row r="6" spans="1:8" ht="22.05" customHeight="1" x14ac:dyDescent="0.3">
      <c r="A6" s="107" t="s">
        <v>22</v>
      </c>
      <c r="B6" s="118">
        <v>100</v>
      </c>
      <c r="C6" s="108" t="s">
        <v>23</v>
      </c>
    </row>
    <row r="7" spans="1:8" ht="22.05" customHeight="1" x14ac:dyDescent="0.3">
      <c r="A7" s="107" t="s">
        <v>24</v>
      </c>
      <c r="B7" s="119">
        <v>178</v>
      </c>
    </row>
    <row r="8" spans="1:8" ht="22.05" customHeight="1" x14ac:dyDescent="0.3">
      <c r="A8" s="107" t="s">
        <v>25</v>
      </c>
      <c r="B8" s="119">
        <v>22</v>
      </c>
    </row>
    <row r="9" spans="1:8" ht="22.05" customHeight="1" x14ac:dyDescent="0.3">
      <c r="A9" s="107" t="s">
        <v>26</v>
      </c>
      <c r="B9" s="120" t="s">
        <v>27</v>
      </c>
      <c r="C9" s="108" t="s">
        <v>28</v>
      </c>
    </row>
    <row r="10" spans="1:8" ht="22.05" customHeight="1" x14ac:dyDescent="0.3">
      <c r="A10" s="107" t="s">
        <v>29</v>
      </c>
      <c r="B10" s="120" t="s">
        <v>30</v>
      </c>
      <c r="C10" s="108" t="s">
        <v>31</v>
      </c>
    </row>
    <row r="11" spans="1:8" ht="22.05" customHeight="1" x14ac:dyDescent="0.3">
      <c r="A11" s="107" t="s">
        <v>32</v>
      </c>
      <c r="B11" s="121">
        <f>MAX(1500,ROUND(($B$24-750)/50,0)*50)</f>
        <v>2800</v>
      </c>
      <c r="C11" s="108" t="s">
        <v>33</v>
      </c>
    </row>
    <row r="12" spans="1:8" ht="22.05" customHeight="1" x14ac:dyDescent="0.3">
      <c r="A12" s="107" t="s">
        <v>34</v>
      </c>
      <c r="B12" s="119">
        <f>ROUND($B$6*1.2,0)</f>
        <v>120</v>
      </c>
      <c r="C12" s="108" t="s">
        <v>35</v>
      </c>
    </row>
    <row r="13" spans="1:8" ht="22.05" customHeight="1" x14ac:dyDescent="0.3">
      <c r="A13" s="107" t="s">
        <v>36</v>
      </c>
      <c r="B13" s="118">
        <v>3</v>
      </c>
    </row>
    <row r="14" spans="1:8" ht="22.05" customHeight="1" x14ac:dyDescent="0.3">
      <c r="A14" s="107" t="s">
        <v>37</v>
      </c>
      <c r="B14" s="121">
        <v>8000</v>
      </c>
    </row>
    <row r="15" spans="1:8" ht="22.05" customHeight="1" x14ac:dyDescent="0.3">
      <c r="A15" s="107" t="s">
        <v>38</v>
      </c>
      <c r="B15" s="118">
        <v>7</v>
      </c>
    </row>
    <row r="17" spans="1:3" ht="24" customHeight="1" x14ac:dyDescent="0.3">
      <c r="A17" s="109" t="s">
        <v>39</v>
      </c>
      <c r="B17" s="109"/>
      <c r="C17" s="109"/>
    </row>
    <row r="18" spans="1:3" ht="19.95" customHeight="1" x14ac:dyDescent="0.3">
      <c r="A18" s="110" t="s">
        <v>40</v>
      </c>
      <c r="B18" s="111" cm="1">
        <f t="array" ref="B18">IFERROR(LOOKUP(2,1/('Daily Tracking'!$B$6:$B$735&lt;&gt;""),'Daily Tracking'!$B$6:$B$735),$B$5)</f>
        <v>157</v>
      </c>
      <c r="C18" s="108" t="s">
        <v>41</v>
      </c>
    </row>
    <row r="19" spans="1:3" ht="19.95" customHeight="1" x14ac:dyDescent="0.3">
      <c r="A19" s="110" t="s">
        <v>42</v>
      </c>
      <c r="B19" s="111">
        <f>$B$5/($B$7/100)^2</f>
        <v>49.551824264613053</v>
      </c>
      <c r="C19" s="108" t="s">
        <v>43</v>
      </c>
    </row>
    <row r="20" spans="1:3" ht="19.95" customHeight="1" x14ac:dyDescent="0.3">
      <c r="A20" s="110" t="s">
        <v>44</v>
      </c>
      <c r="B20" s="111">
        <f>$B$18/($B$7/100)^2</f>
        <v>49.551824264613053</v>
      </c>
      <c r="C20" s="108" t="s">
        <v>45</v>
      </c>
    </row>
    <row r="21" spans="1:3" ht="19.95" customHeight="1" x14ac:dyDescent="0.3">
      <c r="A21" s="110" t="s">
        <v>46</v>
      </c>
      <c r="B21" s="112" t="str">
        <f>IF($B$20&lt;18.5,"Underweight",IF($B$20&lt;25,"Healthy range",IF($B$20&lt;30,"Overweight",IF($B$20&lt;35,"Obesity class I",IF($B$20&lt;40,"Obesity class II","Obesity class III")))))</f>
        <v>Obesity class III</v>
      </c>
      <c r="C21" s="108" t="s">
        <v>47</v>
      </c>
    </row>
    <row r="22" spans="1:3" ht="19.95" customHeight="1" x14ac:dyDescent="0.3">
      <c r="A22" s="110" t="s">
        <v>48</v>
      </c>
      <c r="B22" s="112" t="str">
        <f>FIXED(18.5*($B$7/100)^2,1)&amp;" - "&amp;FIXED(24.9*($B$7/100)^2,1)&amp;" kg"</f>
        <v>58,6 - 78,9 kg</v>
      </c>
      <c r="C22" s="108" t="s">
        <v>49</v>
      </c>
    </row>
    <row r="23" spans="1:3" ht="19.95" customHeight="1" x14ac:dyDescent="0.3">
      <c r="A23" s="110" t="s">
        <v>50</v>
      </c>
      <c r="B23" s="113">
        <f>ROUND(10*$B$18+6.25*$B$7-5*$B$8+IF($B$9="Male",5,-161),0)</f>
        <v>2578</v>
      </c>
      <c r="C23" s="108" t="s">
        <v>51</v>
      </c>
    </row>
    <row r="24" spans="1:3" ht="19.95" customHeight="1" x14ac:dyDescent="0.3">
      <c r="A24" s="110" t="s">
        <v>52</v>
      </c>
      <c r="B24" s="113">
        <f>ROUND($B$23*IF($B$10="Sedentary",1.2,IF($B$10="Lightly Active",1.375,IF($B$10="Moderately Active",1.55,IF($B$10="Very Active",1.725,1.9)))),0)</f>
        <v>3545</v>
      </c>
      <c r="C24" s="108" t="s">
        <v>53</v>
      </c>
    </row>
    <row r="25" spans="1:3" ht="19.95" customHeight="1" x14ac:dyDescent="0.3">
      <c r="A25" s="110" t="s">
        <v>54</v>
      </c>
      <c r="B25" s="114">
        <f>$B$24-$B$11</f>
        <v>745</v>
      </c>
      <c r="C25" s="108" t="s">
        <v>55</v>
      </c>
    </row>
    <row r="26" spans="1:3" ht="19.95" customHeight="1" x14ac:dyDescent="0.3">
      <c r="A26" s="110" t="s">
        <v>56</v>
      </c>
      <c r="B26" s="112" t="str">
        <f>FIXED($B$25*7/7700,2)&amp;" kg/week"</f>
        <v>0,68 kg/week</v>
      </c>
      <c r="C26" s="108" t="s">
        <v>57</v>
      </c>
    </row>
    <row r="29" spans="1:3" x14ac:dyDescent="0.3">
      <c r="A29" s="115" t="s">
        <v>58</v>
      </c>
    </row>
    <row r="30" spans="1:3" x14ac:dyDescent="0.3">
      <c r="A30" s="116" t="s">
        <v>59</v>
      </c>
    </row>
    <row r="31" spans="1:3" x14ac:dyDescent="0.3">
      <c r="A31" s="116" t="s">
        <v>60</v>
      </c>
    </row>
    <row r="32" spans="1:3" x14ac:dyDescent="0.3">
      <c r="A32" s="116" t="s">
        <v>61</v>
      </c>
    </row>
    <row r="33" spans="1:1" x14ac:dyDescent="0.3">
      <c r="A33" s="116" t="s">
        <v>62</v>
      </c>
    </row>
    <row r="34" spans="1:1" x14ac:dyDescent="0.3">
      <c r="A34" s="116" t="s">
        <v>63</v>
      </c>
    </row>
    <row r="35" spans="1:1" x14ac:dyDescent="0.3">
      <c r="A35" s="116" t="s">
        <v>64</v>
      </c>
    </row>
  </sheetData>
  <sheetProtection sheet="1" objects="1" scenarios="1" sort="0" autoFilter="0"/>
  <mergeCells count="3">
    <mergeCell ref="A1:H1"/>
    <mergeCell ref="A2:H2"/>
    <mergeCell ref="A17:C17"/>
  </mergeCells>
  <dataValidations count="2">
    <dataValidation type="list" allowBlank="1" showInputMessage="1" showErrorMessage="1" sqref="B9" xr:uid="{6ABC40E3-582A-400F-BAFC-3B46BEC15040}">
      <formula1>"Male,Female"</formula1>
    </dataValidation>
    <dataValidation type="list" allowBlank="1" showInputMessage="1" showErrorMessage="1" sqref="B10" xr:uid="{D0CAC221-FBF0-427A-BD7F-358263CE19FB}">
      <formula1>"Sedentary,Lightly Active,Moderately Active,Very Active,Extremely Active"</formula1>
    </dataValidation>
  </dataValidations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7490"/>
    <pageSetUpPr fitToPage="1"/>
  </sheetPr>
  <dimension ref="A1:V735"/>
  <sheetViews>
    <sheetView showGridLines="0" zoomScaleNormal="100" workbookViewId="0">
      <pane ySplit="5" topLeftCell="A6" activePane="bottomLeft" state="frozen"/>
      <selection pane="bottomLeft" activeCell="V6" sqref="V1:V1048576"/>
    </sheetView>
  </sheetViews>
  <sheetFormatPr defaultColWidth="8.6640625" defaultRowHeight="14.4" outlineLevelCol="2" x14ac:dyDescent="0.3"/>
  <cols>
    <col min="1" max="1" width="13" style="3" customWidth="1"/>
    <col min="2" max="3" width="12" style="3" customWidth="1"/>
    <col min="4" max="4" width="11" style="3" customWidth="1"/>
    <col min="5" max="5" width="10" style="3" customWidth="1"/>
    <col min="6" max="6" width="11" style="3" customWidth="1"/>
    <col min="7" max="8" width="10" style="3" customWidth="1"/>
    <col min="9" max="9" width="12" style="3" customWidth="1"/>
    <col min="10" max="11" width="10" style="3" customWidth="1"/>
    <col min="12" max="12" width="30" style="3" customWidth="1"/>
    <col min="13" max="13" width="9" style="3" customWidth="1"/>
    <col min="14" max="14" width="13" style="3" hidden="1" customWidth="1" outlineLevel="2"/>
    <col min="15" max="15" width="0" style="3" hidden="1" customWidth="1" outlineLevel="2"/>
    <col min="16" max="16" width="13" style="3" hidden="1" customWidth="1" outlineLevel="2"/>
    <col min="17" max="17" width="0" style="3" hidden="1" customWidth="1" outlineLevel="1" collapsed="1"/>
    <col min="18" max="21" width="0" style="3" hidden="1" customWidth="1" outlineLevel="1"/>
    <col min="22" max="22" width="8.6640625" style="3" collapsed="1"/>
    <col min="23" max="16384" width="8.6640625" style="3"/>
  </cols>
  <sheetData>
    <row r="1" spans="1:21" ht="31.95" customHeight="1" x14ac:dyDescent="0.3">
      <c r="A1" s="106" t="s">
        <v>65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</row>
    <row r="2" spans="1:21" ht="18" customHeight="1" x14ac:dyDescent="0.3">
      <c r="A2" s="23" t="s">
        <v>66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P2" s="3" cm="1">
        <f t="array" ref="P2">IFERROR(LOOKUP(2,1/($B$6:$B$735&lt;&gt;""),ROW($B$6:$B$735)-5),1)</f>
        <v>1</v>
      </c>
    </row>
    <row r="3" spans="1:21" ht="6" customHeight="1" x14ac:dyDescent="0.3"/>
    <row r="4" spans="1:21" ht="7.95" customHeight="1" x14ac:dyDescent="0.3"/>
    <row r="5" spans="1:21" ht="28.05" customHeight="1" x14ac:dyDescent="0.3">
      <c r="A5" s="122" t="s">
        <v>67</v>
      </c>
      <c r="B5" s="122" t="s">
        <v>68</v>
      </c>
      <c r="C5" s="122" t="s">
        <v>69</v>
      </c>
      <c r="D5" s="122" t="s">
        <v>70</v>
      </c>
      <c r="E5" s="122" t="s">
        <v>71</v>
      </c>
      <c r="F5" s="122" t="s">
        <v>72</v>
      </c>
      <c r="G5" s="122" t="s">
        <v>73</v>
      </c>
      <c r="H5" s="122" t="s">
        <v>74</v>
      </c>
      <c r="I5" s="122" t="s">
        <v>75</v>
      </c>
      <c r="J5" s="122" t="s">
        <v>76</v>
      </c>
      <c r="K5" s="122" t="s">
        <v>77</v>
      </c>
      <c r="L5" s="122" t="s">
        <v>78</v>
      </c>
      <c r="M5" s="122" t="s">
        <v>79</v>
      </c>
      <c r="O5" s="123" t="s">
        <v>161</v>
      </c>
      <c r="P5" s="123" t="s">
        <v>162</v>
      </c>
      <c r="Q5" s="123" t="s">
        <v>163</v>
      </c>
      <c r="R5" s="3" t="s">
        <v>67</v>
      </c>
      <c r="S5" s="3" t="s">
        <v>166</v>
      </c>
      <c r="T5" s="3" t="s">
        <v>167</v>
      </c>
      <c r="U5" s="3" t="s">
        <v>133</v>
      </c>
    </row>
    <row r="6" spans="1:21" ht="18" customHeight="1" x14ac:dyDescent="0.3">
      <c r="A6" s="124">
        <f>Settings!$B$4</f>
        <v>46278</v>
      </c>
      <c r="B6" s="137">
        <v>157</v>
      </c>
      <c r="C6" s="126">
        <f>IF(B6="","",B6-Settings!$B$5)</f>
        <v>0</v>
      </c>
      <c r="D6" s="127">
        <f>IF(B6="","",AVERAGE(B6:B6))</f>
        <v>157</v>
      </c>
      <c r="E6" s="139"/>
      <c r="F6" s="140"/>
      <c r="G6" s="137"/>
      <c r="H6" s="139"/>
      <c r="I6" s="140"/>
      <c r="J6" s="141"/>
      <c r="K6" s="137"/>
      <c r="L6" s="142"/>
      <c r="M6" s="127">
        <f>IF(B6="","",B6/((Settings!$B$7)/100)^2)</f>
        <v>49.551824264613053</v>
      </c>
      <c r="N6" s="25">
        <f>Settings!$B$6</f>
        <v>100</v>
      </c>
      <c r="O6" s="3">
        <f>IF($B6="",NA(),$B6)</f>
        <v>157</v>
      </c>
      <c r="P6" s="3">
        <f>IF($D6="",NA(),$D6)</f>
        <v>157</v>
      </c>
      <c r="Q6" s="3">
        <f>IF($M6="",NA(),$M6)</f>
        <v>49.551824264613053</v>
      </c>
      <c r="R6" s="131">
        <f>A6</f>
        <v>46278</v>
      </c>
      <c r="S6" s="3">
        <f>IF($B6="",NA(),$B6)</f>
        <v>157</v>
      </c>
      <c r="T6" s="3">
        <f>IF($D6="",NA(),$D6)</f>
        <v>157</v>
      </c>
      <c r="U6" s="3">
        <f>Settings!$B$6</f>
        <v>100</v>
      </c>
    </row>
    <row r="7" spans="1:21" ht="18" customHeight="1" x14ac:dyDescent="0.3">
      <c r="A7" s="132">
        <f>A6+1</f>
        <v>46279</v>
      </c>
      <c r="B7" s="138"/>
      <c r="C7" s="126" t="str" cm="1">
        <f t="array" ref="C7">IF(B7="","",B7-IFERROR(LOOKUP(2,1/($B$6:B6&lt;&gt;""),$B$6:B6),Settings!$B$5))</f>
        <v/>
      </c>
      <c r="D7" s="127" t="str">
        <f>IF(B7="","",AVERAGE(B6:B7))</f>
        <v/>
      </c>
      <c r="E7" s="143"/>
      <c r="F7" s="144"/>
      <c r="G7" s="138"/>
      <c r="H7" s="143"/>
      <c r="I7" s="144"/>
      <c r="J7" s="145"/>
      <c r="K7" s="138"/>
      <c r="L7" s="146"/>
      <c r="M7" s="127" t="str">
        <f>IF(B7="","",B7/((Settings!$B$7)/100)^2)</f>
        <v/>
      </c>
      <c r="N7" s="25">
        <f>Settings!$B$6</f>
        <v>100</v>
      </c>
      <c r="O7" s="3" t="e">
        <f t="shared" ref="O7:O70" si="0">IF($B7="",NA(),$B7)</f>
        <v>#N/A</v>
      </c>
      <c r="P7" s="3" t="e">
        <f t="shared" ref="P7:P70" si="1">IF($D7="",NA(),$D7)</f>
        <v>#N/A</v>
      </c>
      <c r="Q7" s="3" t="e">
        <f t="shared" ref="Q7:Q70" si="2">IF($M7="",NA(),$M7)</f>
        <v>#N/A</v>
      </c>
      <c r="R7" s="131">
        <f t="shared" ref="R7:R70" si="3">A7</f>
        <v>46279</v>
      </c>
      <c r="S7" s="3" t="e">
        <f t="shared" ref="S7:S70" si="4">IF($B7="",NA(),$B7)</f>
        <v>#N/A</v>
      </c>
      <c r="T7" s="3" t="e">
        <f t="shared" ref="T7:T70" si="5">IF($D7="",NA(),$D7)</f>
        <v>#N/A</v>
      </c>
      <c r="U7" s="3">
        <f>Settings!$B$6</f>
        <v>100</v>
      </c>
    </row>
    <row r="8" spans="1:21" ht="18" customHeight="1" x14ac:dyDescent="0.3">
      <c r="A8" s="124">
        <f>A7+1</f>
        <v>46280</v>
      </c>
      <c r="B8" s="137"/>
      <c r="C8" s="126" t="str" cm="1">
        <f t="array" ref="C8">IF(B8="","",B8-IFERROR(LOOKUP(2,1/($B$6:B7&lt;&gt;""),$B$6:B7),Settings!$B$5))</f>
        <v/>
      </c>
      <c r="D8" s="127" t="str">
        <f>IF(B8="","",AVERAGE(B6:B8))</f>
        <v/>
      </c>
      <c r="E8" s="139"/>
      <c r="F8" s="140"/>
      <c r="G8" s="137"/>
      <c r="H8" s="139"/>
      <c r="I8" s="140"/>
      <c r="J8" s="141"/>
      <c r="K8" s="137"/>
      <c r="L8" s="142"/>
      <c r="M8" s="127" t="str">
        <f>IF(B8="","",B8/((Settings!$B$7)/100)^2)</f>
        <v/>
      </c>
      <c r="N8" s="25">
        <f>Settings!$B$6</f>
        <v>100</v>
      </c>
      <c r="O8" s="3" t="e">
        <f t="shared" si="0"/>
        <v>#N/A</v>
      </c>
      <c r="P8" s="3" t="e">
        <f t="shared" si="1"/>
        <v>#N/A</v>
      </c>
      <c r="Q8" s="3" t="e">
        <f t="shared" si="2"/>
        <v>#N/A</v>
      </c>
      <c r="R8" s="131">
        <f t="shared" si="3"/>
        <v>46280</v>
      </c>
      <c r="S8" s="3" t="e">
        <f t="shared" si="4"/>
        <v>#N/A</v>
      </c>
      <c r="T8" s="3" t="e">
        <f t="shared" si="5"/>
        <v>#N/A</v>
      </c>
      <c r="U8" s="3">
        <f>Settings!$B$6</f>
        <v>100</v>
      </c>
    </row>
    <row r="9" spans="1:21" ht="18" customHeight="1" x14ac:dyDescent="0.3">
      <c r="A9" s="132">
        <f>A8+1</f>
        <v>46281</v>
      </c>
      <c r="B9" s="138"/>
      <c r="C9" s="126" t="str" cm="1">
        <f t="array" ref="C9">IF(B9="","",B9-IFERROR(LOOKUP(2,1/($B$6:B8&lt;&gt;""),$B$6:B8),Settings!$B$5))</f>
        <v/>
      </c>
      <c r="D9" s="127" t="str">
        <f>IF(B9="","",AVERAGE(B6:B9))</f>
        <v/>
      </c>
      <c r="E9" s="143"/>
      <c r="F9" s="144"/>
      <c r="G9" s="138"/>
      <c r="H9" s="143"/>
      <c r="I9" s="144"/>
      <c r="J9" s="145"/>
      <c r="K9" s="138"/>
      <c r="L9" s="146"/>
      <c r="M9" s="127" t="str">
        <f>IF(B9="","",B9/((Settings!$B$7)/100)^2)</f>
        <v/>
      </c>
      <c r="N9" s="25">
        <f>Settings!$B$6</f>
        <v>100</v>
      </c>
      <c r="O9" s="3" t="e">
        <f t="shared" si="0"/>
        <v>#N/A</v>
      </c>
      <c r="P9" s="3" t="e">
        <f t="shared" si="1"/>
        <v>#N/A</v>
      </c>
      <c r="Q9" s="3" t="e">
        <f t="shared" si="2"/>
        <v>#N/A</v>
      </c>
      <c r="R9" s="131">
        <f t="shared" si="3"/>
        <v>46281</v>
      </c>
      <c r="S9" s="3" t="e">
        <f t="shared" si="4"/>
        <v>#N/A</v>
      </c>
      <c r="T9" s="3" t="e">
        <f t="shared" si="5"/>
        <v>#N/A</v>
      </c>
      <c r="U9" s="3">
        <f>Settings!$B$6</f>
        <v>100</v>
      </c>
    </row>
    <row r="10" spans="1:21" ht="18" customHeight="1" x14ac:dyDescent="0.3">
      <c r="A10" s="124">
        <f>A9+1</f>
        <v>46282</v>
      </c>
      <c r="B10" s="137"/>
      <c r="C10" s="126" t="str" cm="1">
        <f t="array" ref="C10">IF(B10="","",B10-IFERROR(LOOKUP(2,1/($B$6:B9&lt;&gt;""),$B$6:B9),Settings!$B$5))</f>
        <v/>
      </c>
      <c r="D10" s="127" t="str">
        <f>IF(B10="","",AVERAGE(B6:B10))</f>
        <v/>
      </c>
      <c r="E10" s="139"/>
      <c r="F10" s="140"/>
      <c r="G10" s="137"/>
      <c r="H10" s="139"/>
      <c r="I10" s="140"/>
      <c r="J10" s="141"/>
      <c r="K10" s="137"/>
      <c r="L10" s="142"/>
      <c r="M10" s="127" t="str">
        <f>IF(B10="","",B10/((Settings!$B$7)/100)^2)</f>
        <v/>
      </c>
      <c r="N10" s="25">
        <f>Settings!$B$6</f>
        <v>100</v>
      </c>
      <c r="O10" s="3" t="e">
        <f t="shared" si="0"/>
        <v>#N/A</v>
      </c>
      <c r="P10" s="3" t="e">
        <f t="shared" si="1"/>
        <v>#N/A</v>
      </c>
      <c r="Q10" s="3" t="e">
        <f t="shared" si="2"/>
        <v>#N/A</v>
      </c>
      <c r="R10" s="131">
        <f t="shared" si="3"/>
        <v>46282</v>
      </c>
      <c r="S10" s="3" t="e">
        <f t="shared" si="4"/>
        <v>#N/A</v>
      </c>
      <c r="T10" s="3" t="e">
        <f t="shared" si="5"/>
        <v>#N/A</v>
      </c>
      <c r="U10" s="3">
        <f>Settings!$B$6</f>
        <v>100</v>
      </c>
    </row>
    <row r="11" spans="1:21" ht="18" customHeight="1" x14ac:dyDescent="0.3">
      <c r="A11" s="132">
        <f>A10+1</f>
        <v>46283</v>
      </c>
      <c r="B11" s="138"/>
      <c r="C11" s="126" t="str" cm="1">
        <f t="array" ref="C11">IF(B11="","",B11-IFERROR(LOOKUP(2,1/($B$6:B10&lt;&gt;""),$B$6:B10),Settings!$B$5))</f>
        <v/>
      </c>
      <c r="D11" s="127" t="str">
        <f>IF(B11="","",AVERAGE(B6:B11))</f>
        <v/>
      </c>
      <c r="E11" s="143"/>
      <c r="F11" s="144"/>
      <c r="G11" s="138"/>
      <c r="H11" s="143"/>
      <c r="I11" s="144"/>
      <c r="J11" s="145"/>
      <c r="K11" s="138"/>
      <c r="L11" s="146"/>
      <c r="M11" s="127" t="str">
        <f>IF(B11="","",B11/((Settings!$B$7)/100)^2)</f>
        <v/>
      </c>
      <c r="N11" s="25">
        <f>Settings!$B$6</f>
        <v>100</v>
      </c>
      <c r="O11" s="3" t="e">
        <f t="shared" si="0"/>
        <v>#N/A</v>
      </c>
      <c r="P11" s="3" t="e">
        <f t="shared" si="1"/>
        <v>#N/A</v>
      </c>
      <c r="Q11" s="3" t="e">
        <f t="shared" si="2"/>
        <v>#N/A</v>
      </c>
      <c r="R11" s="131">
        <f t="shared" si="3"/>
        <v>46283</v>
      </c>
      <c r="S11" s="3" t="e">
        <f t="shared" si="4"/>
        <v>#N/A</v>
      </c>
      <c r="T11" s="3" t="e">
        <f t="shared" si="5"/>
        <v>#N/A</v>
      </c>
      <c r="U11" s="3">
        <f>Settings!$B$6</f>
        <v>100</v>
      </c>
    </row>
    <row r="12" spans="1:21" ht="18" customHeight="1" x14ac:dyDescent="0.3">
      <c r="A12" s="124">
        <f>A11+1</f>
        <v>46284</v>
      </c>
      <c r="B12" s="137"/>
      <c r="C12" s="126" t="str" cm="1">
        <f t="array" ref="C12">IF(B12="","",B12-IFERROR(LOOKUP(2,1/($B$6:B11&lt;&gt;""),$B$6:B11),Settings!$B$5))</f>
        <v/>
      </c>
      <c r="D12" s="127" t="str">
        <f>IF(B12="","",AVERAGE(B6:B12))</f>
        <v/>
      </c>
      <c r="E12" s="139"/>
      <c r="F12" s="140"/>
      <c r="G12" s="137"/>
      <c r="H12" s="139"/>
      <c r="I12" s="140"/>
      <c r="J12" s="141"/>
      <c r="K12" s="137"/>
      <c r="L12" s="142"/>
      <c r="M12" s="127" t="str">
        <f>IF(B12="","",B12/((Settings!$B$7)/100)^2)</f>
        <v/>
      </c>
      <c r="N12" s="25">
        <f>Settings!$B$6</f>
        <v>100</v>
      </c>
      <c r="O12" s="3" t="e">
        <f t="shared" si="0"/>
        <v>#N/A</v>
      </c>
      <c r="P12" s="3" t="e">
        <f t="shared" si="1"/>
        <v>#N/A</v>
      </c>
      <c r="Q12" s="3" t="e">
        <f t="shared" si="2"/>
        <v>#N/A</v>
      </c>
      <c r="R12" s="131">
        <f t="shared" si="3"/>
        <v>46284</v>
      </c>
      <c r="S12" s="3" t="e">
        <f t="shared" si="4"/>
        <v>#N/A</v>
      </c>
      <c r="T12" s="3" t="e">
        <f t="shared" si="5"/>
        <v>#N/A</v>
      </c>
      <c r="U12" s="3">
        <f>Settings!$B$6</f>
        <v>100</v>
      </c>
    </row>
    <row r="13" spans="1:21" ht="18" customHeight="1" x14ac:dyDescent="0.3">
      <c r="A13" s="132">
        <f>A12+1</f>
        <v>46285</v>
      </c>
      <c r="B13" s="138"/>
      <c r="C13" s="126" t="str" cm="1">
        <f t="array" ref="C13">IF(B13="","",B13-IFERROR(LOOKUP(2,1/($B$6:B12&lt;&gt;""),$B$6:B12),Settings!$B$5))</f>
        <v/>
      </c>
      <c r="D13" s="127" t="str">
        <f>IF(B13="","",AVERAGE(B7:B13))</f>
        <v/>
      </c>
      <c r="E13" s="143"/>
      <c r="F13" s="144"/>
      <c r="G13" s="138"/>
      <c r="H13" s="143"/>
      <c r="I13" s="144"/>
      <c r="J13" s="145"/>
      <c r="K13" s="138"/>
      <c r="L13" s="146"/>
      <c r="M13" s="127" t="str">
        <f>IF(B13="","",B13/((Settings!$B$7)/100)^2)</f>
        <v/>
      </c>
      <c r="N13" s="25">
        <f>Settings!$B$6</f>
        <v>100</v>
      </c>
      <c r="O13" s="3" t="e">
        <f t="shared" si="0"/>
        <v>#N/A</v>
      </c>
      <c r="P13" s="3" t="e">
        <f t="shared" si="1"/>
        <v>#N/A</v>
      </c>
      <c r="Q13" s="3" t="e">
        <f t="shared" si="2"/>
        <v>#N/A</v>
      </c>
      <c r="R13" s="131">
        <f t="shared" si="3"/>
        <v>46285</v>
      </c>
      <c r="S13" s="3" t="e">
        <f t="shared" si="4"/>
        <v>#N/A</v>
      </c>
      <c r="T13" s="3" t="e">
        <f t="shared" si="5"/>
        <v>#N/A</v>
      </c>
      <c r="U13" s="3">
        <f>Settings!$B$6</f>
        <v>100</v>
      </c>
    </row>
    <row r="14" spans="1:21" ht="18" customHeight="1" x14ac:dyDescent="0.3">
      <c r="A14" s="124">
        <f>A13+1</f>
        <v>46286</v>
      </c>
      <c r="B14" s="137"/>
      <c r="C14" s="126" t="str" cm="1">
        <f t="array" ref="C14">IF(B14="","",B14-IFERROR(LOOKUP(2,1/($B$6:B13&lt;&gt;""),$B$6:B13),Settings!$B$5))</f>
        <v/>
      </c>
      <c r="D14" s="127" t="str">
        <f>IF(B14="","",AVERAGE(B8:B14))</f>
        <v/>
      </c>
      <c r="E14" s="139"/>
      <c r="F14" s="140"/>
      <c r="G14" s="137"/>
      <c r="H14" s="139"/>
      <c r="I14" s="140"/>
      <c r="J14" s="141"/>
      <c r="K14" s="137"/>
      <c r="L14" s="142"/>
      <c r="M14" s="127" t="str">
        <f>IF(B14="","",B14/((Settings!$B$7)/100)^2)</f>
        <v/>
      </c>
      <c r="N14" s="25">
        <f>Settings!$B$6</f>
        <v>100</v>
      </c>
      <c r="O14" s="3" t="e">
        <f t="shared" si="0"/>
        <v>#N/A</v>
      </c>
      <c r="P14" s="3" t="e">
        <f t="shared" si="1"/>
        <v>#N/A</v>
      </c>
      <c r="Q14" s="3" t="e">
        <f t="shared" si="2"/>
        <v>#N/A</v>
      </c>
      <c r="R14" s="131">
        <f t="shared" si="3"/>
        <v>46286</v>
      </c>
      <c r="S14" s="3" t="e">
        <f t="shared" si="4"/>
        <v>#N/A</v>
      </c>
      <c r="T14" s="3" t="e">
        <f t="shared" si="5"/>
        <v>#N/A</v>
      </c>
      <c r="U14" s="3">
        <f>Settings!$B$6</f>
        <v>100</v>
      </c>
    </row>
    <row r="15" spans="1:21" ht="18" customHeight="1" x14ac:dyDescent="0.3">
      <c r="A15" s="132">
        <f>A14+1</f>
        <v>46287</v>
      </c>
      <c r="B15" s="138"/>
      <c r="C15" s="126" t="str" cm="1">
        <f t="array" ref="C15">IF(B15="","",B15-IFERROR(LOOKUP(2,1/($B$6:B14&lt;&gt;""),$B$6:B14),Settings!$B$5))</f>
        <v/>
      </c>
      <c r="D15" s="127" t="str">
        <f>IF(B15="","",AVERAGE(B9:B15))</f>
        <v/>
      </c>
      <c r="E15" s="143"/>
      <c r="F15" s="144"/>
      <c r="G15" s="138"/>
      <c r="H15" s="143"/>
      <c r="I15" s="144"/>
      <c r="J15" s="145"/>
      <c r="K15" s="138"/>
      <c r="L15" s="146"/>
      <c r="M15" s="127" t="str">
        <f>IF(B15="","",B15/((Settings!$B$7)/100)^2)</f>
        <v/>
      </c>
      <c r="N15" s="25">
        <f>Settings!$B$6</f>
        <v>100</v>
      </c>
      <c r="O15" s="3" t="e">
        <f t="shared" si="0"/>
        <v>#N/A</v>
      </c>
      <c r="P15" s="3" t="e">
        <f t="shared" si="1"/>
        <v>#N/A</v>
      </c>
      <c r="Q15" s="3" t="e">
        <f t="shared" si="2"/>
        <v>#N/A</v>
      </c>
      <c r="R15" s="131">
        <f t="shared" si="3"/>
        <v>46287</v>
      </c>
      <c r="S15" s="3" t="e">
        <f t="shared" si="4"/>
        <v>#N/A</v>
      </c>
      <c r="T15" s="3" t="e">
        <f t="shared" si="5"/>
        <v>#N/A</v>
      </c>
      <c r="U15" s="3">
        <f>Settings!$B$6</f>
        <v>100</v>
      </c>
    </row>
    <row r="16" spans="1:21" ht="18" customHeight="1" x14ac:dyDescent="0.3">
      <c r="A16" s="124">
        <f>A15+1</f>
        <v>46288</v>
      </c>
      <c r="B16" s="137"/>
      <c r="C16" s="126" t="str" cm="1">
        <f t="array" ref="C16">IF(B16="","",B16-IFERROR(LOOKUP(2,1/($B$6:B15&lt;&gt;""),$B$6:B15),Settings!$B$5))</f>
        <v/>
      </c>
      <c r="D16" s="127" t="str">
        <f>IF(B16="","",AVERAGE(B10:B16))</f>
        <v/>
      </c>
      <c r="E16" s="139"/>
      <c r="F16" s="140"/>
      <c r="G16" s="137"/>
      <c r="H16" s="139"/>
      <c r="I16" s="140"/>
      <c r="J16" s="141"/>
      <c r="K16" s="137"/>
      <c r="L16" s="142"/>
      <c r="M16" s="127" t="str">
        <f>IF(B16="","",B16/((Settings!$B$7)/100)^2)</f>
        <v/>
      </c>
      <c r="N16" s="25">
        <f>Settings!$B$6</f>
        <v>100</v>
      </c>
      <c r="O16" s="3" t="e">
        <f t="shared" si="0"/>
        <v>#N/A</v>
      </c>
      <c r="P16" s="3" t="e">
        <f t="shared" si="1"/>
        <v>#N/A</v>
      </c>
      <c r="Q16" s="3" t="e">
        <f t="shared" si="2"/>
        <v>#N/A</v>
      </c>
      <c r="R16" s="131">
        <f t="shared" si="3"/>
        <v>46288</v>
      </c>
      <c r="S16" s="3" t="e">
        <f t="shared" si="4"/>
        <v>#N/A</v>
      </c>
      <c r="T16" s="3" t="e">
        <f t="shared" si="5"/>
        <v>#N/A</v>
      </c>
      <c r="U16" s="3">
        <f>Settings!$B$6</f>
        <v>100</v>
      </c>
    </row>
    <row r="17" spans="1:21" ht="18" customHeight="1" x14ac:dyDescent="0.3">
      <c r="A17" s="132">
        <f>A16+1</f>
        <v>46289</v>
      </c>
      <c r="B17" s="138"/>
      <c r="C17" s="126" t="str" cm="1">
        <f t="array" ref="C17">IF(B17="","",B17-IFERROR(LOOKUP(2,1/($B$6:B16&lt;&gt;""),$B$6:B16),Settings!$B$5))</f>
        <v/>
      </c>
      <c r="D17" s="127" t="str">
        <f>IF(B17="","",AVERAGE(B11:B17))</f>
        <v/>
      </c>
      <c r="E17" s="143"/>
      <c r="F17" s="144"/>
      <c r="G17" s="138"/>
      <c r="H17" s="143"/>
      <c r="I17" s="144"/>
      <c r="J17" s="145"/>
      <c r="K17" s="138"/>
      <c r="L17" s="146"/>
      <c r="M17" s="127" t="str">
        <f>IF(B17="","",B17/((Settings!$B$7)/100)^2)</f>
        <v/>
      </c>
      <c r="N17" s="25">
        <f>Settings!$B$6</f>
        <v>100</v>
      </c>
      <c r="O17" s="3" t="e">
        <f t="shared" si="0"/>
        <v>#N/A</v>
      </c>
      <c r="P17" s="3" t="e">
        <f t="shared" si="1"/>
        <v>#N/A</v>
      </c>
      <c r="Q17" s="3" t="e">
        <f t="shared" si="2"/>
        <v>#N/A</v>
      </c>
      <c r="R17" s="131">
        <f t="shared" si="3"/>
        <v>46289</v>
      </c>
      <c r="S17" s="3" t="e">
        <f t="shared" si="4"/>
        <v>#N/A</v>
      </c>
      <c r="T17" s="3" t="e">
        <f t="shared" si="5"/>
        <v>#N/A</v>
      </c>
      <c r="U17" s="3">
        <f>Settings!$B$6</f>
        <v>100</v>
      </c>
    </row>
    <row r="18" spans="1:21" ht="18" customHeight="1" x14ac:dyDescent="0.3">
      <c r="A18" s="124">
        <f>A17+1</f>
        <v>46290</v>
      </c>
      <c r="B18" s="137"/>
      <c r="C18" s="126" t="str" cm="1">
        <f t="array" ref="C18">IF(B18="","",B18-IFERROR(LOOKUP(2,1/($B$6:B17&lt;&gt;""),$B$6:B17),Settings!$B$5))</f>
        <v/>
      </c>
      <c r="D18" s="127" t="str">
        <f>IF(B18="","",AVERAGE(B12:B18))</f>
        <v/>
      </c>
      <c r="E18" s="139"/>
      <c r="F18" s="140"/>
      <c r="G18" s="137"/>
      <c r="H18" s="139"/>
      <c r="I18" s="140"/>
      <c r="J18" s="141"/>
      <c r="K18" s="137"/>
      <c r="L18" s="142"/>
      <c r="M18" s="127" t="str">
        <f>IF(B18="","",B18/((Settings!$B$7)/100)^2)</f>
        <v/>
      </c>
      <c r="N18" s="25">
        <f>Settings!$B$6</f>
        <v>100</v>
      </c>
      <c r="O18" s="3" t="e">
        <f t="shared" si="0"/>
        <v>#N/A</v>
      </c>
      <c r="P18" s="3" t="e">
        <f t="shared" si="1"/>
        <v>#N/A</v>
      </c>
      <c r="Q18" s="3" t="e">
        <f t="shared" si="2"/>
        <v>#N/A</v>
      </c>
      <c r="R18" s="131">
        <f t="shared" si="3"/>
        <v>46290</v>
      </c>
      <c r="S18" s="3" t="e">
        <f t="shared" si="4"/>
        <v>#N/A</v>
      </c>
      <c r="T18" s="3" t="e">
        <f t="shared" si="5"/>
        <v>#N/A</v>
      </c>
      <c r="U18" s="3">
        <f>Settings!$B$6</f>
        <v>100</v>
      </c>
    </row>
    <row r="19" spans="1:21" ht="18" customHeight="1" x14ac:dyDescent="0.3">
      <c r="A19" s="132">
        <f>A18+1</f>
        <v>46291</v>
      </c>
      <c r="B19" s="138"/>
      <c r="C19" s="126" t="str" cm="1">
        <f t="array" ref="C19">IF(B19="","",B19-IFERROR(LOOKUP(2,1/($B$6:B18&lt;&gt;""),$B$6:B18),Settings!$B$5))</f>
        <v/>
      </c>
      <c r="D19" s="127" t="str">
        <f>IF(B19="","",AVERAGE(B13:B19))</f>
        <v/>
      </c>
      <c r="E19" s="143"/>
      <c r="F19" s="144"/>
      <c r="G19" s="138"/>
      <c r="H19" s="143"/>
      <c r="I19" s="144"/>
      <c r="J19" s="145"/>
      <c r="K19" s="138"/>
      <c r="L19" s="146"/>
      <c r="M19" s="127" t="str">
        <f>IF(B19="","",B19/((Settings!$B$7)/100)^2)</f>
        <v/>
      </c>
      <c r="N19" s="25">
        <f>Settings!$B$6</f>
        <v>100</v>
      </c>
      <c r="O19" s="3" t="e">
        <f t="shared" si="0"/>
        <v>#N/A</v>
      </c>
      <c r="P19" s="3" t="e">
        <f t="shared" si="1"/>
        <v>#N/A</v>
      </c>
      <c r="Q19" s="3" t="e">
        <f t="shared" si="2"/>
        <v>#N/A</v>
      </c>
      <c r="R19" s="131">
        <f t="shared" si="3"/>
        <v>46291</v>
      </c>
      <c r="S19" s="3" t="e">
        <f t="shared" si="4"/>
        <v>#N/A</v>
      </c>
      <c r="T19" s="3" t="e">
        <f t="shared" si="5"/>
        <v>#N/A</v>
      </c>
      <c r="U19" s="3">
        <f>Settings!$B$6</f>
        <v>100</v>
      </c>
    </row>
    <row r="20" spans="1:21" ht="18" customHeight="1" x14ac:dyDescent="0.3">
      <c r="A20" s="124">
        <f>A19+1</f>
        <v>46292</v>
      </c>
      <c r="B20" s="137"/>
      <c r="C20" s="126" t="str" cm="1">
        <f t="array" ref="C20">IF(B20="","",B20-IFERROR(LOOKUP(2,1/($B$6:B19&lt;&gt;""),$B$6:B19),Settings!$B$5))</f>
        <v/>
      </c>
      <c r="D20" s="127" t="str">
        <f>IF(B20="","",AVERAGE(B14:B20))</f>
        <v/>
      </c>
      <c r="E20" s="139"/>
      <c r="F20" s="140"/>
      <c r="G20" s="137"/>
      <c r="H20" s="139"/>
      <c r="I20" s="140"/>
      <c r="J20" s="141"/>
      <c r="K20" s="137"/>
      <c r="L20" s="142"/>
      <c r="M20" s="127" t="str">
        <f>IF(B20="","",B20/((Settings!$B$7)/100)^2)</f>
        <v/>
      </c>
      <c r="N20" s="25">
        <f>Settings!$B$6</f>
        <v>100</v>
      </c>
      <c r="O20" s="3" t="e">
        <f t="shared" si="0"/>
        <v>#N/A</v>
      </c>
      <c r="P20" s="3" t="e">
        <f t="shared" si="1"/>
        <v>#N/A</v>
      </c>
      <c r="Q20" s="3" t="e">
        <f t="shared" si="2"/>
        <v>#N/A</v>
      </c>
      <c r="R20" s="131">
        <f t="shared" si="3"/>
        <v>46292</v>
      </c>
      <c r="S20" s="3" t="e">
        <f t="shared" si="4"/>
        <v>#N/A</v>
      </c>
      <c r="T20" s="3" t="e">
        <f t="shared" si="5"/>
        <v>#N/A</v>
      </c>
      <c r="U20" s="3">
        <f>Settings!$B$6</f>
        <v>100</v>
      </c>
    </row>
    <row r="21" spans="1:21" ht="18" customHeight="1" x14ac:dyDescent="0.3">
      <c r="A21" s="132">
        <f>A20+1</f>
        <v>46293</v>
      </c>
      <c r="B21" s="138"/>
      <c r="C21" s="126" t="str" cm="1">
        <f t="array" ref="C21">IF(B21="","",B21-IFERROR(LOOKUP(2,1/($B$6:B20&lt;&gt;""),$B$6:B20),Settings!$B$5))</f>
        <v/>
      </c>
      <c r="D21" s="127" t="str">
        <f>IF(B21="","",AVERAGE(B15:B21))</f>
        <v/>
      </c>
      <c r="E21" s="143"/>
      <c r="F21" s="144"/>
      <c r="G21" s="138"/>
      <c r="H21" s="143"/>
      <c r="I21" s="144"/>
      <c r="J21" s="145"/>
      <c r="K21" s="138"/>
      <c r="L21" s="146"/>
      <c r="M21" s="127" t="str">
        <f>IF(B21="","",B21/((Settings!$B$7)/100)^2)</f>
        <v/>
      </c>
      <c r="N21" s="25">
        <f>Settings!$B$6</f>
        <v>100</v>
      </c>
      <c r="O21" s="3" t="e">
        <f t="shared" si="0"/>
        <v>#N/A</v>
      </c>
      <c r="P21" s="3" t="e">
        <f t="shared" si="1"/>
        <v>#N/A</v>
      </c>
      <c r="Q21" s="3" t="e">
        <f t="shared" si="2"/>
        <v>#N/A</v>
      </c>
      <c r="R21" s="131">
        <f t="shared" si="3"/>
        <v>46293</v>
      </c>
      <c r="S21" s="3" t="e">
        <f t="shared" si="4"/>
        <v>#N/A</v>
      </c>
      <c r="T21" s="3" t="e">
        <f t="shared" si="5"/>
        <v>#N/A</v>
      </c>
      <c r="U21" s="3">
        <f>Settings!$B$6</f>
        <v>100</v>
      </c>
    </row>
    <row r="22" spans="1:21" ht="18" customHeight="1" x14ac:dyDescent="0.3">
      <c r="A22" s="124">
        <f>A21+1</f>
        <v>46294</v>
      </c>
      <c r="B22" s="137"/>
      <c r="C22" s="126" t="str" cm="1">
        <f t="array" ref="C22">IF(B22="","",B22-IFERROR(LOOKUP(2,1/($B$6:B21&lt;&gt;""),$B$6:B21),Settings!$B$5))</f>
        <v/>
      </c>
      <c r="D22" s="127" t="str">
        <f>IF(B22="","",AVERAGE(B16:B22))</f>
        <v/>
      </c>
      <c r="E22" s="139"/>
      <c r="F22" s="140"/>
      <c r="G22" s="137"/>
      <c r="H22" s="139"/>
      <c r="I22" s="140"/>
      <c r="J22" s="141"/>
      <c r="K22" s="137"/>
      <c r="L22" s="142"/>
      <c r="M22" s="127" t="str">
        <f>IF(B22="","",B22/((Settings!$B$7)/100)^2)</f>
        <v/>
      </c>
      <c r="N22" s="25">
        <f>Settings!$B$6</f>
        <v>100</v>
      </c>
      <c r="O22" s="3" t="e">
        <f t="shared" si="0"/>
        <v>#N/A</v>
      </c>
      <c r="P22" s="3" t="e">
        <f t="shared" si="1"/>
        <v>#N/A</v>
      </c>
      <c r="Q22" s="3" t="e">
        <f t="shared" si="2"/>
        <v>#N/A</v>
      </c>
      <c r="R22" s="131">
        <f t="shared" si="3"/>
        <v>46294</v>
      </c>
      <c r="S22" s="3" t="e">
        <f t="shared" si="4"/>
        <v>#N/A</v>
      </c>
      <c r="T22" s="3" t="e">
        <f t="shared" si="5"/>
        <v>#N/A</v>
      </c>
      <c r="U22" s="3">
        <f>Settings!$B$6</f>
        <v>100</v>
      </c>
    </row>
    <row r="23" spans="1:21" ht="18" customHeight="1" x14ac:dyDescent="0.3">
      <c r="A23" s="132">
        <f>A22+1</f>
        <v>46295</v>
      </c>
      <c r="B23" s="138"/>
      <c r="C23" s="126" t="str" cm="1">
        <f t="array" ref="C23">IF(B23="","",B23-IFERROR(LOOKUP(2,1/($B$6:B22&lt;&gt;""),$B$6:B22),Settings!$B$5))</f>
        <v/>
      </c>
      <c r="D23" s="127" t="str">
        <f>IF(B23="","",AVERAGE(B17:B23))</f>
        <v/>
      </c>
      <c r="E23" s="143"/>
      <c r="F23" s="144"/>
      <c r="G23" s="138"/>
      <c r="H23" s="143"/>
      <c r="I23" s="144"/>
      <c r="J23" s="145"/>
      <c r="K23" s="138"/>
      <c r="L23" s="146"/>
      <c r="M23" s="127" t="str">
        <f>IF(B23="","",B23/((Settings!$B$7)/100)^2)</f>
        <v/>
      </c>
      <c r="N23" s="25">
        <f>Settings!$B$6</f>
        <v>100</v>
      </c>
      <c r="O23" s="3" t="e">
        <f t="shared" si="0"/>
        <v>#N/A</v>
      </c>
      <c r="P23" s="3" t="e">
        <f t="shared" si="1"/>
        <v>#N/A</v>
      </c>
      <c r="Q23" s="3" t="e">
        <f t="shared" si="2"/>
        <v>#N/A</v>
      </c>
      <c r="R23" s="131">
        <f t="shared" si="3"/>
        <v>46295</v>
      </c>
      <c r="S23" s="3" t="e">
        <f t="shared" si="4"/>
        <v>#N/A</v>
      </c>
      <c r="T23" s="3" t="e">
        <f t="shared" si="5"/>
        <v>#N/A</v>
      </c>
      <c r="U23" s="3">
        <f>Settings!$B$6</f>
        <v>100</v>
      </c>
    </row>
    <row r="24" spans="1:21" ht="18" customHeight="1" x14ac:dyDescent="0.3">
      <c r="A24" s="124">
        <f>A23+1</f>
        <v>46296</v>
      </c>
      <c r="B24" s="137"/>
      <c r="C24" s="126" t="str" cm="1">
        <f t="array" ref="C24">IF(B24="","",B24-IFERROR(LOOKUP(2,1/($B$6:B23&lt;&gt;""),$B$6:B23),Settings!$B$5))</f>
        <v/>
      </c>
      <c r="D24" s="127" t="str">
        <f>IF(B24="","",AVERAGE(B18:B24))</f>
        <v/>
      </c>
      <c r="E24" s="139"/>
      <c r="F24" s="140"/>
      <c r="G24" s="137"/>
      <c r="H24" s="139"/>
      <c r="I24" s="140"/>
      <c r="J24" s="141"/>
      <c r="K24" s="137"/>
      <c r="L24" s="142"/>
      <c r="M24" s="127" t="str">
        <f>IF(B24="","",B24/((Settings!$B$7)/100)^2)</f>
        <v/>
      </c>
      <c r="N24" s="25">
        <f>Settings!$B$6</f>
        <v>100</v>
      </c>
      <c r="O24" s="3" t="e">
        <f t="shared" si="0"/>
        <v>#N/A</v>
      </c>
      <c r="P24" s="3" t="e">
        <f t="shared" si="1"/>
        <v>#N/A</v>
      </c>
      <c r="Q24" s="3" t="e">
        <f t="shared" si="2"/>
        <v>#N/A</v>
      </c>
      <c r="R24" s="131">
        <f t="shared" si="3"/>
        <v>46296</v>
      </c>
      <c r="S24" s="3" t="e">
        <f t="shared" si="4"/>
        <v>#N/A</v>
      </c>
      <c r="T24" s="3" t="e">
        <f t="shared" si="5"/>
        <v>#N/A</v>
      </c>
      <c r="U24" s="3">
        <f>Settings!$B$6</f>
        <v>100</v>
      </c>
    </row>
    <row r="25" spans="1:21" ht="18" customHeight="1" x14ac:dyDescent="0.3">
      <c r="A25" s="132">
        <f>A24+1</f>
        <v>46297</v>
      </c>
      <c r="B25" s="138"/>
      <c r="C25" s="126" t="str" cm="1">
        <f t="array" ref="C25">IF(B25="","",B25-IFERROR(LOOKUP(2,1/($B$6:B24&lt;&gt;""),$B$6:B24),Settings!$B$5))</f>
        <v/>
      </c>
      <c r="D25" s="127" t="str">
        <f>IF(B25="","",AVERAGE(B19:B25))</f>
        <v/>
      </c>
      <c r="E25" s="143"/>
      <c r="F25" s="144"/>
      <c r="G25" s="138"/>
      <c r="H25" s="143"/>
      <c r="I25" s="144"/>
      <c r="J25" s="145"/>
      <c r="K25" s="138"/>
      <c r="L25" s="146"/>
      <c r="M25" s="127" t="str">
        <f>IF(B25="","",B25/((Settings!$B$7)/100)^2)</f>
        <v/>
      </c>
      <c r="N25" s="25">
        <f>Settings!$B$6</f>
        <v>100</v>
      </c>
      <c r="O25" s="3" t="e">
        <f t="shared" si="0"/>
        <v>#N/A</v>
      </c>
      <c r="P25" s="3" t="e">
        <f t="shared" si="1"/>
        <v>#N/A</v>
      </c>
      <c r="Q25" s="3" t="e">
        <f t="shared" si="2"/>
        <v>#N/A</v>
      </c>
      <c r="R25" s="131">
        <f t="shared" si="3"/>
        <v>46297</v>
      </c>
      <c r="S25" s="3" t="e">
        <f t="shared" si="4"/>
        <v>#N/A</v>
      </c>
      <c r="T25" s="3" t="e">
        <f t="shared" si="5"/>
        <v>#N/A</v>
      </c>
      <c r="U25" s="3">
        <f>Settings!$B$6</f>
        <v>100</v>
      </c>
    </row>
    <row r="26" spans="1:21" ht="18" customHeight="1" x14ac:dyDescent="0.3">
      <c r="A26" s="124">
        <f>A25+1</f>
        <v>46298</v>
      </c>
      <c r="B26" s="137"/>
      <c r="C26" s="126" t="str" cm="1">
        <f t="array" ref="C26">IF(B26="","",B26-IFERROR(LOOKUP(2,1/($B$6:B25&lt;&gt;""),$B$6:B25),Settings!$B$5))</f>
        <v/>
      </c>
      <c r="D26" s="127" t="str">
        <f>IF(B26="","",AVERAGE(B20:B26))</f>
        <v/>
      </c>
      <c r="E26" s="139"/>
      <c r="F26" s="140"/>
      <c r="G26" s="137"/>
      <c r="H26" s="139"/>
      <c r="I26" s="140"/>
      <c r="J26" s="141"/>
      <c r="K26" s="137"/>
      <c r="L26" s="142"/>
      <c r="M26" s="127" t="str">
        <f>IF(B26="","",B26/((Settings!$B$7)/100)^2)</f>
        <v/>
      </c>
      <c r="N26" s="25">
        <f>Settings!$B$6</f>
        <v>100</v>
      </c>
      <c r="O26" s="3" t="e">
        <f t="shared" si="0"/>
        <v>#N/A</v>
      </c>
      <c r="P26" s="3" t="e">
        <f t="shared" si="1"/>
        <v>#N/A</v>
      </c>
      <c r="Q26" s="3" t="e">
        <f t="shared" si="2"/>
        <v>#N/A</v>
      </c>
      <c r="R26" s="131">
        <f t="shared" si="3"/>
        <v>46298</v>
      </c>
      <c r="S26" s="3" t="e">
        <f t="shared" si="4"/>
        <v>#N/A</v>
      </c>
      <c r="T26" s="3" t="e">
        <f t="shared" si="5"/>
        <v>#N/A</v>
      </c>
      <c r="U26" s="3">
        <f>Settings!$B$6</f>
        <v>100</v>
      </c>
    </row>
    <row r="27" spans="1:21" ht="18" customHeight="1" x14ac:dyDescent="0.3">
      <c r="A27" s="132">
        <f>A26+1</f>
        <v>46299</v>
      </c>
      <c r="B27" s="138"/>
      <c r="C27" s="126" t="str" cm="1">
        <f t="array" ref="C27">IF(B27="","",B27-IFERROR(LOOKUP(2,1/($B$6:B26&lt;&gt;""),$B$6:B26),Settings!$B$5))</f>
        <v/>
      </c>
      <c r="D27" s="127" t="str">
        <f>IF(B27="","",AVERAGE(B21:B27))</f>
        <v/>
      </c>
      <c r="E27" s="143"/>
      <c r="F27" s="144"/>
      <c r="G27" s="138"/>
      <c r="H27" s="143"/>
      <c r="I27" s="144"/>
      <c r="J27" s="145"/>
      <c r="K27" s="138"/>
      <c r="L27" s="146"/>
      <c r="M27" s="127" t="str">
        <f>IF(B27="","",B27/((Settings!$B$7)/100)^2)</f>
        <v/>
      </c>
      <c r="N27" s="25">
        <f>Settings!$B$6</f>
        <v>100</v>
      </c>
      <c r="O27" s="3" t="e">
        <f t="shared" si="0"/>
        <v>#N/A</v>
      </c>
      <c r="P27" s="3" t="e">
        <f t="shared" si="1"/>
        <v>#N/A</v>
      </c>
      <c r="Q27" s="3" t="e">
        <f t="shared" si="2"/>
        <v>#N/A</v>
      </c>
      <c r="R27" s="131">
        <f t="shared" si="3"/>
        <v>46299</v>
      </c>
      <c r="S27" s="3" t="e">
        <f t="shared" si="4"/>
        <v>#N/A</v>
      </c>
      <c r="T27" s="3" t="e">
        <f t="shared" si="5"/>
        <v>#N/A</v>
      </c>
      <c r="U27" s="3">
        <f>Settings!$B$6</f>
        <v>100</v>
      </c>
    </row>
    <row r="28" spans="1:21" ht="18" customHeight="1" x14ac:dyDescent="0.3">
      <c r="A28" s="124">
        <f>A27+1</f>
        <v>46300</v>
      </c>
      <c r="B28" s="137"/>
      <c r="C28" s="126" t="str" cm="1">
        <f t="array" ref="C28">IF(B28="","",B28-IFERROR(LOOKUP(2,1/($B$6:B27&lt;&gt;""),$B$6:B27),Settings!$B$5))</f>
        <v/>
      </c>
      <c r="D28" s="127" t="str">
        <f>IF(B28="","",AVERAGE(B22:B28))</f>
        <v/>
      </c>
      <c r="E28" s="139"/>
      <c r="F28" s="140"/>
      <c r="G28" s="137"/>
      <c r="H28" s="139"/>
      <c r="I28" s="140"/>
      <c r="J28" s="141"/>
      <c r="K28" s="137"/>
      <c r="L28" s="142"/>
      <c r="M28" s="127" t="str">
        <f>IF(B28="","",B28/((Settings!$B$7)/100)^2)</f>
        <v/>
      </c>
      <c r="N28" s="25">
        <f>Settings!$B$6</f>
        <v>100</v>
      </c>
      <c r="O28" s="3" t="e">
        <f t="shared" si="0"/>
        <v>#N/A</v>
      </c>
      <c r="P28" s="3" t="e">
        <f t="shared" si="1"/>
        <v>#N/A</v>
      </c>
      <c r="Q28" s="3" t="e">
        <f t="shared" si="2"/>
        <v>#N/A</v>
      </c>
      <c r="R28" s="131">
        <f t="shared" si="3"/>
        <v>46300</v>
      </c>
      <c r="S28" s="3" t="e">
        <f t="shared" si="4"/>
        <v>#N/A</v>
      </c>
      <c r="T28" s="3" t="e">
        <f t="shared" si="5"/>
        <v>#N/A</v>
      </c>
      <c r="U28" s="3">
        <f>Settings!$B$6</f>
        <v>100</v>
      </c>
    </row>
    <row r="29" spans="1:21" ht="18" customHeight="1" x14ac:dyDescent="0.3">
      <c r="A29" s="132">
        <f>A28+1</f>
        <v>46301</v>
      </c>
      <c r="B29" s="138"/>
      <c r="C29" s="126" t="str" cm="1">
        <f t="array" ref="C29">IF(B29="","",B29-IFERROR(LOOKUP(2,1/($B$6:B28&lt;&gt;""),$B$6:B28),Settings!$B$5))</f>
        <v/>
      </c>
      <c r="D29" s="127" t="str">
        <f>IF(B29="","",AVERAGE(B23:B29))</f>
        <v/>
      </c>
      <c r="E29" s="143"/>
      <c r="F29" s="144"/>
      <c r="G29" s="138"/>
      <c r="H29" s="143"/>
      <c r="I29" s="144"/>
      <c r="J29" s="145"/>
      <c r="K29" s="138"/>
      <c r="L29" s="146"/>
      <c r="M29" s="127" t="str">
        <f>IF(B29="","",B29/((Settings!$B$7)/100)^2)</f>
        <v/>
      </c>
      <c r="N29" s="25">
        <f>Settings!$B$6</f>
        <v>100</v>
      </c>
      <c r="O29" s="3" t="e">
        <f t="shared" si="0"/>
        <v>#N/A</v>
      </c>
      <c r="P29" s="3" t="e">
        <f t="shared" si="1"/>
        <v>#N/A</v>
      </c>
      <c r="Q29" s="3" t="e">
        <f t="shared" si="2"/>
        <v>#N/A</v>
      </c>
      <c r="R29" s="131">
        <f t="shared" si="3"/>
        <v>46301</v>
      </c>
      <c r="S29" s="3" t="e">
        <f t="shared" si="4"/>
        <v>#N/A</v>
      </c>
      <c r="T29" s="3" t="e">
        <f t="shared" si="5"/>
        <v>#N/A</v>
      </c>
      <c r="U29" s="3">
        <f>Settings!$B$6</f>
        <v>100</v>
      </c>
    </row>
    <row r="30" spans="1:21" ht="18" customHeight="1" x14ac:dyDescent="0.3">
      <c r="A30" s="124">
        <f>A29+1</f>
        <v>46302</v>
      </c>
      <c r="B30" s="137"/>
      <c r="C30" s="126" t="str" cm="1">
        <f t="array" ref="C30">IF(B30="","",B30-IFERROR(LOOKUP(2,1/($B$6:B29&lt;&gt;""),$B$6:B29),Settings!$B$5))</f>
        <v/>
      </c>
      <c r="D30" s="127" t="str">
        <f>IF(B30="","",AVERAGE(B24:B30))</f>
        <v/>
      </c>
      <c r="E30" s="139"/>
      <c r="F30" s="140"/>
      <c r="G30" s="137"/>
      <c r="H30" s="139"/>
      <c r="I30" s="140"/>
      <c r="J30" s="141"/>
      <c r="K30" s="137"/>
      <c r="L30" s="142"/>
      <c r="M30" s="127" t="str">
        <f>IF(B30="","",B30/((Settings!$B$7)/100)^2)</f>
        <v/>
      </c>
      <c r="N30" s="25">
        <f>Settings!$B$6</f>
        <v>100</v>
      </c>
      <c r="O30" s="3" t="e">
        <f t="shared" si="0"/>
        <v>#N/A</v>
      </c>
      <c r="P30" s="3" t="e">
        <f t="shared" si="1"/>
        <v>#N/A</v>
      </c>
      <c r="Q30" s="3" t="e">
        <f t="shared" si="2"/>
        <v>#N/A</v>
      </c>
      <c r="R30" s="131">
        <f t="shared" si="3"/>
        <v>46302</v>
      </c>
      <c r="S30" s="3" t="e">
        <f t="shared" si="4"/>
        <v>#N/A</v>
      </c>
      <c r="T30" s="3" t="e">
        <f t="shared" si="5"/>
        <v>#N/A</v>
      </c>
      <c r="U30" s="3">
        <f>Settings!$B$6</f>
        <v>100</v>
      </c>
    </row>
    <row r="31" spans="1:21" ht="18" customHeight="1" x14ac:dyDescent="0.3">
      <c r="A31" s="132">
        <f>A30+1</f>
        <v>46303</v>
      </c>
      <c r="B31" s="138"/>
      <c r="C31" s="126" t="str" cm="1">
        <f t="array" ref="C31">IF(B31="","",B31-IFERROR(LOOKUP(2,1/($B$6:B30&lt;&gt;""),$B$6:B30),Settings!$B$5))</f>
        <v/>
      </c>
      <c r="D31" s="127" t="str">
        <f>IF(B31="","",AVERAGE(B25:B31))</f>
        <v/>
      </c>
      <c r="E31" s="143"/>
      <c r="F31" s="144"/>
      <c r="G31" s="138"/>
      <c r="H31" s="143"/>
      <c r="I31" s="144"/>
      <c r="J31" s="145"/>
      <c r="K31" s="138"/>
      <c r="L31" s="146"/>
      <c r="M31" s="127" t="str">
        <f>IF(B31="","",B31/((Settings!$B$7)/100)^2)</f>
        <v/>
      </c>
      <c r="N31" s="25">
        <f>Settings!$B$6</f>
        <v>100</v>
      </c>
      <c r="O31" s="3" t="e">
        <f t="shared" si="0"/>
        <v>#N/A</v>
      </c>
      <c r="P31" s="3" t="e">
        <f t="shared" si="1"/>
        <v>#N/A</v>
      </c>
      <c r="Q31" s="3" t="e">
        <f t="shared" si="2"/>
        <v>#N/A</v>
      </c>
      <c r="R31" s="131">
        <f t="shared" si="3"/>
        <v>46303</v>
      </c>
      <c r="S31" s="3" t="e">
        <f t="shared" si="4"/>
        <v>#N/A</v>
      </c>
      <c r="T31" s="3" t="e">
        <f t="shared" si="5"/>
        <v>#N/A</v>
      </c>
      <c r="U31" s="3">
        <f>Settings!$B$6</f>
        <v>100</v>
      </c>
    </row>
    <row r="32" spans="1:21" ht="18" customHeight="1" x14ac:dyDescent="0.3">
      <c r="A32" s="124">
        <f>A31+1</f>
        <v>46304</v>
      </c>
      <c r="B32" s="137"/>
      <c r="C32" s="126" t="str" cm="1">
        <f t="array" ref="C32">IF(B32="","",B32-IFERROR(LOOKUP(2,1/($B$6:B31&lt;&gt;""),$B$6:B31),Settings!$B$5))</f>
        <v/>
      </c>
      <c r="D32" s="127" t="str">
        <f>IF(B32="","",AVERAGE(B26:B32))</f>
        <v/>
      </c>
      <c r="E32" s="139"/>
      <c r="F32" s="140"/>
      <c r="G32" s="137"/>
      <c r="H32" s="139"/>
      <c r="I32" s="140"/>
      <c r="J32" s="141"/>
      <c r="K32" s="137"/>
      <c r="L32" s="142"/>
      <c r="M32" s="127" t="str">
        <f>IF(B32="","",B32/((Settings!$B$7)/100)^2)</f>
        <v/>
      </c>
      <c r="N32" s="25">
        <f>Settings!$B$6</f>
        <v>100</v>
      </c>
      <c r="O32" s="3" t="e">
        <f t="shared" si="0"/>
        <v>#N/A</v>
      </c>
      <c r="P32" s="3" t="e">
        <f t="shared" si="1"/>
        <v>#N/A</v>
      </c>
      <c r="Q32" s="3" t="e">
        <f t="shared" si="2"/>
        <v>#N/A</v>
      </c>
      <c r="R32" s="131">
        <f t="shared" si="3"/>
        <v>46304</v>
      </c>
      <c r="S32" s="3" t="e">
        <f t="shared" si="4"/>
        <v>#N/A</v>
      </c>
      <c r="T32" s="3" t="e">
        <f t="shared" si="5"/>
        <v>#N/A</v>
      </c>
      <c r="U32" s="3">
        <f>Settings!$B$6</f>
        <v>100</v>
      </c>
    </row>
    <row r="33" spans="1:21" ht="18" customHeight="1" x14ac:dyDescent="0.3">
      <c r="A33" s="132">
        <f>A32+1</f>
        <v>46305</v>
      </c>
      <c r="B33" s="138"/>
      <c r="C33" s="126" t="str" cm="1">
        <f t="array" ref="C33">IF(B33="","",B33-IFERROR(LOOKUP(2,1/($B$6:B32&lt;&gt;""),$B$6:B32),Settings!$B$5))</f>
        <v/>
      </c>
      <c r="D33" s="127" t="str">
        <f>IF(B33="","",AVERAGE(B27:B33))</f>
        <v/>
      </c>
      <c r="E33" s="143"/>
      <c r="F33" s="144"/>
      <c r="G33" s="138"/>
      <c r="H33" s="143"/>
      <c r="I33" s="144"/>
      <c r="J33" s="145"/>
      <c r="K33" s="138"/>
      <c r="L33" s="146"/>
      <c r="M33" s="127" t="str">
        <f>IF(B33="","",B33/((Settings!$B$7)/100)^2)</f>
        <v/>
      </c>
      <c r="N33" s="25">
        <f>Settings!$B$6</f>
        <v>100</v>
      </c>
      <c r="O33" s="3" t="e">
        <f t="shared" si="0"/>
        <v>#N/A</v>
      </c>
      <c r="P33" s="3" t="e">
        <f t="shared" si="1"/>
        <v>#N/A</v>
      </c>
      <c r="Q33" s="3" t="e">
        <f t="shared" si="2"/>
        <v>#N/A</v>
      </c>
      <c r="R33" s="131">
        <f t="shared" si="3"/>
        <v>46305</v>
      </c>
      <c r="S33" s="3" t="e">
        <f t="shared" si="4"/>
        <v>#N/A</v>
      </c>
      <c r="T33" s="3" t="e">
        <f t="shared" si="5"/>
        <v>#N/A</v>
      </c>
      <c r="U33" s="3">
        <f>Settings!$B$6</f>
        <v>100</v>
      </c>
    </row>
    <row r="34" spans="1:21" ht="18" customHeight="1" x14ac:dyDescent="0.3">
      <c r="A34" s="124">
        <f>A33+1</f>
        <v>46306</v>
      </c>
      <c r="B34" s="137"/>
      <c r="C34" s="126" t="str" cm="1">
        <f t="array" ref="C34">IF(B34="","",B34-IFERROR(LOOKUP(2,1/($B$6:B33&lt;&gt;""),$B$6:B33),Settings!$B$5))</f>
        <v/>
      </c>
      <c r="D34" s="127" t="str">
        <f>IF(B34="","",AVERAGE(B28:B34))</f>
        <v/>
      </c>
      <c r="E34" s="139"/>
      <c r="F34" s="140"/>
      <c r="G34" s="137"/>
      <c r="H34" s="139"/>
      <c r="I34" s="140"/>
      <c r="J34" s="141"/>
      <c r="K34" s="137"/>
      <c r="L34" s="142"/>
      <c r="M34" s="127" t="str">
        <f>IF(B34="","",B34/((Settings!$B$7)/100)^2)</f>
        <v/>
      </c>
      <c r="N34" s="25">
        <f>Settings!$B$6</f>
        <v>100</v>
      </c>
      <c r="O34" s="3" t="e">
        <f t="shared" si="0"/>
        <v>#N/A</v>
      </c>
      <c r="P34" s="3" t="e">
        <f t="shared" si="1"/>
        <v>#N/A</v>
      </c>
      <c r="Q34" s="3" t="e">
        <f t="shared" si="2"/>
        <v>#N/A</v>
      </c>
      <c r="R34" s="131">
        <f t="shared" si="3"/>
        <v>46306</v>
      </c>
      <c r="S34" s="3" t="e">
        <f t="shared" si="4"/>
        <v>#N/A</v>
      </c>
      <c r="T34" s="3" t="e">
        <f t="shared" si="5"/>
        <v>#N/A</v>
      </c>
      <c r="U34" s="3">
        <f>Settings!$B$6</f>
        <v>100</v>
      </c>
    </row>
    <row r="35" spans="1:21" ht="18" customHeight="1" x14ac:dyDescent="0.3">
      <c r="A35" s="132">
        <f>A34+1</f>
        <v>46307</v>
      </c>
      <c r="B35" s="138"/>
      <c r="C35" s="126" t="str" cm="1">
        <f t="array" ref="C35">IF(B35="","",B35-IFERROR(LOOKUP(2,1/($B$6:B34&lt;&gt;""),$B$6:B34),Settings!$B$5))</f>
        <v/>
      </c>
      <c r="D35" s="127" t="str">
        <f>IF(B35="","",AVERAGE(B29:B35))</f>
        <v/>
      </c>
      <c r="E35" s="143"/>
      <c r="F35" s="144"/>
      <c r="G35" s="138"/>
      <c r="H35" s="143"/>
      <c r="I35" s="144"/>
      <c r="J35" s="145"/>
      <c r="K35" s="138"/>
      <c r="L35" s="146"/>
      <c r="M35" s="127" t="str">
        <f>IF(B35="","",B35/((Settings!$B$7)/100)^2)</f>
        <v/>
      </c>
      <c r="N35" s="25">
        <f>Settings!$B$6</f>
        <v>100</v>
      </c>
      <c r="O35" s="3" t="e">
        <f t="shared" si="0"/>
        <v>#N/A</v>
      </c>
      <c r="P35" s="3" t="e">
        <f t="shared" si="1"/>
        <v>#N/A</v>
      </c>
      <c r="Q35" s="3" t="e">
        <f t="shared" si="2"/>
        <v>#N/A</v>
      </c>
      <c r="R35" s="131">
        <f t="shared" si="3"/>
        <v>46307</v>
      </c>
      <c r="S35" s="3" t="e">
        <f t="shared" si="4"/>
        <v>#N/A</v>
      </c>
      <c r="T35" s="3" t="e">
        <f t="shared" si="5"/>
        <v>#N/A</v>
      </c>
      <c r="U35" s="3">
        <f>Settings!$B$6</f>
        <v>100</v>
      </c>
    </row>
    <row r="36" spans="1:21" ht="18" customHeight="1" x14ac:dyDescent="0.3">
      <c r="A36" s="124">
        <f>A35+1</f>
        <v>46308</v>
      </c>
      <c r="B36" s="137"/>
      <c r="C36" s="126" t="str" cm="1">
        <f t="array" ref="C36">IF(B36="","",B36-IFERROR(LOOKUP(2,1/($B$6:B35&lt;&gt;""),$B$6:B35),Settings!$B$5))</f>
        <v/>
      </c>
      <c r="D36" s="127" t="str">
        <f>IF(B36="","",AVERAGE(B30:B36))</f>
        <v/>
      </c>
      <c r="E36" s="139"/>
      <c r="F36" s="140"/>
      <c r="G36" s="137"/>
      <c r="H36" s="139"/>
      <c r="I36" s="140"/>
      <c r="J36" s="141"/>
      <c r="K36" s="137"/>
      <c r="L36" s="142"/>
      <c r="M36" s="127" t="str">
        <f>IF(B36="","",B36/((Settings!$B$7)/100)^2)</f>
        <v/>
      </c>
      <c r="N36" s="25">
        <f>Settings!$B$6</f>
        <v>100</v>
      </c>
      <c r="O36" s="3" t="e">
        <f t="shared" si="0"/>
        <v>#N/A</v>
      </c>
      <c r="P36" s="3" t="e">
        <f t="shared" si="1"/>
        <v>#N/A</v>
      </c>
      <c r="Q36" s="3" t="e">
        <f t="shared" si="2"/>
        <v>#N/A</v>
      </c>
      <c r="R36" s="131">
        <f t="shared" si="3"/>
        <v>46308</v>
      </c>
      <c r="S36" s="3" t="e">
        <f t="shared" si="4"/>
        <v>#N/A</v>
      </c>
      <c r="T36" s="3" t="e">
        <f t="shared" si="5"/>
        <v>#N/A</v>
      </c>
      <c r="U36" s="3">
        <f>Settings!$B$6</f>
        <v>100</v>
      </c>
    </row>
    <row r="37" spans="1:21" ht="18" customHeight="1" x14ac:dyDescent="0.3">
      <c r="A37" s="132">
        <f>A36+1</f>
        <v>46309</v>
      </c>
      <c r="B37" s="138"/>
      <c r="C37" s="126" t="str" cm="1">
        <f t="array" ref="C37">IF(B37="","",B37-IFERROR(LOOKUP(2,1/($B$6:B36&lt;&gt;""),$B$6:B36),Settings!$B$5))</f>
        <v/>
      </c>
      <c r="D37" s="127" t="str">
        <f>IF(B37="","",AVERAGE(B31:B37))</f>
        <v/>
      </c>
      <c r="E37" s="143"/>
      <c r="F37" s="144"/>
      <c r="G37" s="138"/>
      <c r="H37" s="143"/>
      <c r="I37" s="144"/>
      <c r="J37" s="145"/>
      <c r="K37" s="138"/>
      <c r="L37" s="146"/>
      <c r="M37" s="127" t="str">
        <f>IF(B37="","",B37/((Settings!$B$7)/100)^2)</f>
        <v/>
      </c>
      <c r="N37" s="25">
        <f>Settings!$B$6</f>
        <v>100</v>
      </c>
      <c r="O37" s="3" t="e">
        <f t="shared" si="0"/>
        <v>#N/A</v>
      </c>
      <c r="P37" s="3" t="e">
        <f t="shared" si="1"/>
        <v>#N/A</v>
      </c>
      <c r="Q37" s="3" t="e">
        <f t="shared" si="2"/>
        <v>#N/A</v>
      </c>
      <c r="R37" s="131">
        <f t="shared" si="3"/>
        <v>46309</v>
      </c>
      <c r="S37" s="3" t="e">
        <f t="shared" si="4"/>
        <v>#N/A</v>
      </c>
      <c r="T37" s="3" t="e">
        <f t="shared" si="5"/>
        <v>#N/A</v>
      </c>
      <c r="U37" s="3">
        <f>Settings!$B$6</f>
        <v>100</v>
      </c>
    </row>
    <row r="38" spans="1:21" ht="18" customHeight="1" x14ac:dyDescent="0.3">
      <c r="A38" s="124">
        <f>A37+1</f>
        <v>46310</v>
      </c>
      <c r="B38" s="137"/>
      <c r="C38" s="126" t="str" cm="1">
        <f t="array" ref="C38">IF(B38="","",B38-IFERROR(LOOKUP(2,1/($B$6:B37&lt;&gt;""),$B$6:B37),Settings!$B$5))</f>
        <v/>
      </c>
      <c r="D38" s="127" t="str">
        <f>IF(B38="","",AVERAGE(B32:B38))</f>
        <v/>
      </c>
      <c r="E38" s="139"/>
      <c r="F38" s="140"/>
      <c r="G38" s="137"/>
      <c r="H38" s="139"/>
      <c r="I38" s="140"/>
      <c r="J38" s="141"/>
      <c r="K38" s="137"/>
      <c r="L38" s="142"/>
      <c r="M38" s="127" t="str">
        <f>IF(B38="","",B38/((Settings!$B$7)/100)^2)</f>
        <v/>
      </c>
      <c r="N38" s="25">
        <f>Settings!$B$6</f>
        <v>100</v>
      </c>
      <c r="O38" s="3" t="e">
        <f t="shared" si="0"/>
        <v>#N/A</v>
      </c>
      <c r="P38" s="3" t="e">
        <f t="shared" si="1"/>
        <v>#N/A</v>
      </c>
      <c r="Q38" s="3" t="e">
        <f t="shared" si="2"/>
        <v>#N/A</v>
      </c>
      <c r="R38" s="131">
        <f t="shared" si="3"/>
        <v>46310</v>
      </c>
      <c r="S38" s="3" t="e">
        <f t="shared" si="4"/>
        <v>#N/A</v>
      </c>
      <c r="T38" s="3" t="e">
        <f t="shared" si="5"/>
        <v>#N/A</v>
      </c>
      <c r="U38" s="3">
        <f>Settings!$B$6</f>
        <v>100</v>
      </c>
    </row>
    <row r="39" spans="1:21" ht="18" customHeight="1" x14ac:dyDescent="0.3">
      <c r="A39" s="132">
        <f>A38+1</f>
        <v>46311</v>
      </c>
      <c r="B39" s="138"/>
      <c r="C39" s="126" t="str" cm="1">
        <f t="array" ref="C39">IF(B39="","",B39-IFERROR(LOOKUP(2,1/($B$6:B38&lt;&gt;""),$B$6:B38),Settings!$B$5))</f>
        <v/>
      </c>
      <c r="D39" s="127" t="str">
        <f>IF(B39="","",AVERAGE(B33:B39))</f>
        <v/>
      </c>
      <c r="E39" s="143"/>
      <c r="F39" s="144"/>
      <c r="G39" s="138"/>
      <c r="H39" s="143"/>
      <c r="I39" s="144"/>
      <c r="J39" s="145"/>
      <c r="K39" s="138"/>
      <c r="L39" s="146"/>
      <c r="M39" s="127" t="str">
        <f>IF(B39="","",B39/((Settings!$B$7)/100)^2)</f>
        <v/>
      </c>
      <c r="N39" s="25">
        <f>Settings!$B$6</f>
        <v>100</v>
      </c>
      <c r="O39" s="3" t="e">
        <f t="shared" si="0"/>
        <v>#N/A</v>
      </c>
      <c r="P39" s="3" t="e">
        <f t="shared" si="1"/>
        <v>#N/A</v>
      </c>
      <c r="Q39" s="3" t="e">
        <f t="shared" si="2"/>
        <v>#N/A</v>
      </c>
      <c r="R39" s="131">
        <f t="shared" si="3"/>
        <v>46311</v>
      </c>
      <c r="S39" s="3" t="e">
        <f t="shared" si="4"/>
        <v>#N/A</v>
      </c>
      <c r="T39" s="3" t="e">
        <f t="shared" si="5"/>
        <v>#N/A</v>
      </c>
      <c r="U39" s="3">
        <f>Settings!$B$6</f>
        <v>100</v>
      </c>
    </row>
    <row r="40" spans="1:21" ht="18" customHeight="1" x14ac:dyDescent="0.3">
      <c r="A40" s="124">
        <f>A39+1</f>
        <v>46312</v>
      </c>
      <c r="B40" s="137"/>
      <c r="C40" s="126" t="str" cm="1">
        <f t="array" ref="C40">IF(B40="","",B40-IFERROR(LOOKUP(2,1/($B$6:B39&lt;&gt;""),$B$6:B39),Settings!$B$5))</f>
        <v/>
      </c>
      <c r="D40" s="127" t="str">
        <f>IF(B40="","",AVERAGE(B34:B40))</f>
        <v/>
      </c>
      <c r="E40" s="139"/>
      <c r="F40" s="140"/>
      <c r="G40" s="137"/>
      <c r="H40" s="139"/>
      <c r="I40" s="140"/>
      <c r="J40" s="141"/>
      <c r="K40" s="137"/>
      <c r="L40" s="142"/>
      <c r="M40" s="127" t="str">
        <f>IF(B40="","",B40/((Settings!$B$7)/100)^2)</f>
        <v/>
      </c>
      <c r="N40" s="25">
        <f>Settings!$B$6</f>
        <v>100</v>
      </c>
      <c r="O40" s="3" t="e">
        <f t="shared" si="0"/>
        <v>#N/A</v>
      </c>
      <c r="P40" s="3" t="e">
        <f t="shared" si="1"/>
        <v>#N/A</v>
      </c>
      <c r="Q40" s="3" t="e">
        <f t="shared" si="2"/>
        <v>#N/A</v>
      </c>
      <c r="R40" s="131">
        <f t="shared" si="3"/>
        <v>46312</v>
      </c>
      <c r="S40" s="3" t="e">
        <f t="shared" si="4"/>
        <v>#N/A</v>
      </c>
      <c r="T40" s="3" t="e">
        <f t="shared" si="5"/>
        <v>#N/A</v>
      </c>
      <c r="U40" s="3">
        <f>Settings!$B$6</f>
        <v>100</v>
      </c>
    </row>
    <row r="41" spans="1:21" ht="18" customHeight="1" x14ac:dyDescent="0.3">
      <c r="A41" s="132">
        <f>A40+1</f>
        <v>46313</v>
      </c>
      <c r="B41" s="138"/>
      <c r="C41" s="126" t="str" cm="1">
        <f t="array" ref="C41">IF(B41="","",B41-IFERROR(LOOKUP(2,1/($B$6:B40&lt;&gt;""),$B$6:B40),Settings!$B$5))</f>
        <v/>
      </c>
      <c r="D41" s="127" t="str">
        <f>IF(B41="","",AVERAGE(B35:B41))</f>
        <v/>
      </c>
      <c r="E41" s="143"/>
      <c r="F41" s="144"/>
      <c r="G41" s="138"/>
      <c r="H41" s="143"/>
      <c r="I41" s="144"/>
      <c r="J41" s="145"/>
      <c r="K41" s="138"/>
      <c r="L41" s="146"/>
      <c r="M41" s="127" t="str">
        <f>IF(B41="","",B41/((Settings!$B$7)/100)^2)</f>
        <v/>
      </c>
      <c r="N41" s="25">
        <f>Settings!$B$6</f>
        <v>100</v>
      </c>
      <c r="O41" s="3" t="e">
        <f t="shared" si="0"/>
        <v>#N/A</v>
      </c>
      <c r="P41" s="3" t="e">
        <f t="shared" si="1"/>
        <v>#N/A</v>
      </c>
      <c r="Q41" s="3" t="e">
        <f t="shared" si="2"/>
        <v>#N/A</v>
      </c>
      <c r="R41" s="131">
        <f t="shared" si="3"/>
        <v>46313</v>
      </c>
      <c r="S41" s="3" t="e">
        <f t="shared" si="4"/>
        <v>#N/A</v>
      </c>
      <c r="T41" s="3" t="e">
        <f t="shared" si="5"/>
        <v>#N/A</v>
      </c>
      <c r="U41" s="3">
        <f>Settings!$B$6</f>
        <v>100</v>
      </c>
    </row>
    <row r="42" spans="1:21" ht="18" customHeight="1" x14ac:dyDescent="0.3">
      <c r="A42" s="124">
        <f>A41+1</f>
        <v>46314</v>
      </c>
      <c r="B42" s="137"/>
      <c r="C42" s="126" t="str" cm="1">
        <f t="array" ref="C42">IF(B42="","",B42-IFERROR(LOOKUP(2,1/($B$6:B41&lt;&gt;""),$B$6:B41),Settings!$B$5))</f>
        <v/>
      </c>
      <c r="D42" s="127" t="str">
        <f>IF(B42="","",AVERAGE(B36:B42))</f>
        <v/>
      </c>
      <c r="E42" s="139"/>
      <c r="F42" s="140"/>
      <c r="G42" s="137"/>
      <c r="H42" s="139"/>
      <c r="I42" s="140"/>
      <c r="J42" s="141"/>
      <c r="K42" s="137"/>
      <c r="L42" s="142"/>
      <c r="M42" s="127" t="str">
        <f>IF(B42="","",B42/((Settings!$B$7)/100)^2)</f>
        <v/>
      </c>
      <c r="N42" s="25">
        <f>Settings!$B$6</f>
        <v>100</v>
      </c>
      <c r="O42" s="3" t="e">
        <f t="shared" si="0"/>
        <v>#N/A</v>
      </c>
      <c r="P42" s="3" t="e">
        <f t="shared" si="1"/>
        <v>#N/A</v>
      </c>
      <c r="Q42" s="3" t="e">
        <f t="shared" si="2"/>
        <v>#N/A</v>
      </c>
      <c r="R42" s="131">
        <f t="shared" si="3"/>
        <v>46314</v>
      </c>
      <c r="S42" s="3" t="e">
        <f t="shared" si="4"/>
        <v>#N/A</v>
      </c>
      <c r="T42" s="3" t="e">
        <f t="shared" si="5"/>
        <v>#N/A</v>
      </c>
      <c r="U42" s="3">
        <f>Settings!$B$6</f>
        <v>100</v>
      </c>
    </row>
    <row r="43" spans="1:21" ht="18" customHeight="1" x14ac:dyDescent="0.3">
      <c r="A43" s="132">
        <f>A42+1</f>
        <v>46315</v>
      </c>
      <c r="B43" s="138"/>
      <c r="C43" s="126" t="str" cm="1">
        <f t="array" ref="C43">IF(B43="","",B43-IFERROR(LOOKUP(2,1/($B$6:B42&lt;&gt;""),$B$6:B42),Settings!$B$5))</f>
        <v/>
      </c>
      <c r="D43" s="127" t="str">
        <f>IF(B43="","",AVERAGE(B37:B43))</f>
        <v/>
      </c>
      <c r="E43" s="143"/>
      <c r="F43" s="144"/>
      <c r="G43" s="138"/>
      <c r="H43" s="143"/>
      <c r="I43" s="144"/>
      <c r="J43" s="145"/>
      <c r="K43" s="138"/>
      <c r="L43" s="146"/>
      <c r="M43" s="127" t="str">
        <f>IF(B43="","",B43/((Settings!$B$7)/100)^2)</f>
        <v/>
      </c>
      <c r="N43" s="25">
        <f>Settings!$B$6</f>
        <v>100</v>
      </c>
      <c r="O43" s="3" t="e">
        <f t="shared" si="0"/>
        <v>#N/A</v>
      </c>
      <c r="P43" s="3" t="e">
        <f t="shared" si="1"/>
        <v>#N/A</v>
      </c>
      <c r="Q43" s="3" t="e">
        <f t="shared" si="2"/>
        <v>#N/A</v>
      </c>
      <c r="R43" s="131">
        <f t="shared" si="3"/>
        <v>46315</v>
      </c>
      <c r="S43" s="3" t="e">
        <f t="shared" si="4"/>
        <v>#N/A</v>
      </c>
      <c r="T43" s="3" t="e">
        <f t="shared" si="5"/>
        <v>#N/A</v>
      </c>
      <c r="U43" s="3">
        <f>Settings!$B$6</f>
        <v>100</v>
      </c>
    </row>
    <row r="44" spans="1:21" ht="18" customHeight="1" x14ac:dyDescent="0.3">
      <c r="A44" s="124">
        <f>A43+1</f>
        <v>46316</v>
      </c>
      <c r="B44" s="137"/>
      <c r="C44" s="126" t="str" cm="1">
        <f t="array" ref="C44">IF(B44="","",B44-IFERROR(LOOKUP(2,1/($B$6:B43&lt;&gt;""),$B$6:B43),Settings!$B$5))</f>
        <v/>
      </c>
      <c r="D44" s="127" t="str">
        <f>IF(B44="","",AVERAGE(B38:B44))</f>
        <v/>
      </c>
      <c r="E44" s="139"/>
      <c r="F44" s="140"/>
      <c r="G44" s="137"/>
      <c r="H44" s="139"/>
      <c r="I44" s="140"/>
      <c r="J44" s="141"/>
      <c r="K44" s="137"/>
      <c r="L44" s="142"/>
      <c r="M44" s="127" t="str">
        <f>IF(B44="","",B44/((Settings!$B$7)/100)^2)</f>
        <v/>
      </c>
      <c r="N44" s="25">
        <f>Settings!$B$6</f>
        <v>100</v>
      </c>
      <c r="O44" s="3" t="e">
        <f t="shared" si="0"/>
        <v>#N/A</v>
      </c>
      <c r="P44" s="3" t="e">
        <f t="shared" si="1"/>
        <v>#N/A</v>
      </c>
      <c r="Q44" s="3" t="e">
        <f t="shared" si="2"/>
        <v>#N/A</v>
      </c>
      <c r="R44" s="131">
        <f t="shared" si="3"/>
        <v>46316</v>
      </c>
      <c r="S44" s="3" t="e">
        <f t="shared" si="4"/>
        <v>#N/A</v>
      </c>
      <c r="T44" s="3" t="e">
        <f t="shared" si="5"/>
        <v>#N/A</v>
      </c>
      <c r="U44" s="3">
        <f>Settings!$B$6</f>
        <v>100</v>
      </c>
    </row>
    <row r="45" spans="1:21" ht="18" customHeight="1" x14ac:dyDescent="0.3">
      <c r="A45" s="132">
        <f>A44+1</f>
        <v>46317</v>
      </c>
      <c r="B45" s="138"/>
      <c r="C45" s="126" t="str" cm="1">
        <f t="array" ref="C45">IF(B45="","",B45-IFERROR(LOOKUP(2,1/($B$6:B44&lt;&gt;""),$B$6:B44),Settings!$B$5))</f>
        <v/>
      </c>
      <c r="D45" s="127" t="str">
        <f>IF(B45="","",AVERAGE(B39:B45))</f>
        <v/>
      </c>
      <c r="E45" s="143"/>
      <c r="F45" s="144"/>
      <c r="G45" s="138"/>
      <c r="H45" s="143"/>
      <c r="I45" s="144"/>
      <c r="J45" s="145"/>
      <c r="K45" s="138"/>
      <c r="L45" s="146"/>
      <c r="M45" s="127" t="str">
        <f>IF(B45="","",B45/((Settings!$B$7)/100)^2)</f>
        <v/>
      </c>
      <c r="N45" s="25">
        <f>Settings!$B$6</f>
        <v>100</v>
      </c>
      <c r="O45" s="3" t="e">
        <f t="shared" si="0"/>
        <v>#N/A</v>
      </c>
      <c r="P45" s="3" t="e">
        <f t="shared" si="1"/>
        <v>#N/A</v>
      </c>
      <c r="Q45" s="3" t="e">
        <f t="shared" si="2"/>
        <v>#N/A</v>
      </c>
      <c r="R45" s="131">
        <f t="shared" si="3"/>
        <v>46317</v>
      </c>
      <c r="S45" s="3" t="e">
        <f t="shared" si="4"/>
        <v>#N/A</v>
      </c>
      <c r="T45" s="3" t="e">
        <f t="shared" si="5"/>
        <v>#N/A</v>
      </c>
      <c r="U45" s="3">
        <f>Settings!$B$6</f>
        <v>100</v>
      </c>
    </row>
    <row r="46" spans="1:21" ht="18" customHeight="1" x14ac:dyDescent="0.3">
      <c r="A46" s="124">
        <f>A45+1</f>
        <v>46318</v>
      </c>
      <c r="B46" s="137"/>
      <c r="C46" s="126" t="str" cm="1">
        <f t="array" ref="C46">IF(B46="","",B46-IFERROR(LOOKUP(2,1/($B$6:B45&lt;&gt;""),$B$6:B45),Settings!$B$5))</f>
        <v/>
      </c>
      <c r="D46" s="127" t="str">
        <f>IF(B46="","",AVERAGE(B40:B46))</f>
        <v/>
      </c>
      <c r="E46" s="139"/>
      <c r="F46" s="140"/>
      <c r="G46" s="137"/>
      <c r="H46" s="139"/>
      <c r="I46" s="140"/>
      <c r="J46" s="141"/>
      <c r="K46" s="137"/>
      <c r="L46" s="142"/>
      <c r="M46" s="127" t="str">
        <f>IF(B46="","",B46/((Settings!$B$7)/100)^2)</f>
        <v/>
      </c>
      <c r="N46" s="25">
        <f>Settings!$B$6</f>
        <v>100</v>
      </c>
      <c r="O46" s="3" t="e">
        <f t="shared" si="0"/>
        <v>#N/A</v>
      </c>
      <c r="P46" s="3" t="e">
        <f t="shared" si="1"/>
        <v>#N/A</v>
      </c>
      <c r="Q46" s="3" t="e">
        <f t="shared" si="2"/>
        <v>#N/A</v>
      </c>
      <c r="R46" s="131">
        <f t="shared" si="3"/>
        <v>46318</v>
      </c>
      <c r="S46" s="3" t="e">
        <f t="shared" si="4"/>
        <v>#N/A</v>
      </c>
      <c r="T46" s="3" t="e">
        <f t="shared" si="5"/>
        <v>#N/A</v>
      </c>
      <c r="U46" s="3">
        <f>Settings!$B$6</f>
        <v>100</v>
      </c>
    </row>
    <row r="47" spans="1:21" ht="18" customHeight="1" x14ac:dyDescent="0.3">
      <c r="A47" s="132">
        <f>A46+1</f>
        <v>46319</v>
      </c>
      <c r="B47" s="138"/>
      <c r="C47" s="126" t="str" cm="1">
        <f t="array" ref="C47">IF(B47="","",B47-IFERROR(LOOKUP(2,1/($B$6:B46&lt;&gt;""),$B$6:B46),Settings!$B$5))</f>
        <v/>
      </c>
      <c r="D47" s="127" t="str">
        <f>IF(B47="","",AVERAGE(B41:B47))</f>
        <v/>
      </c>
      <c r="E47" s="143"/>
      <c r="F47" s="144"/>
      <c r="G47" s="138"/>
      <c r="H47" s="143"/>
      <c r="I47" s="144"/>
      <c r="J47" s="145"/>
      <c r="K47" s="138"/>
      <c r="L47" s="146"/>
      <c r="M47" s="127" t="str">
        <f>IF(B47="","",B47/((Settings!$B$7)/100)^2)</f>
        <v/>
      </c>
      <c r="N47" s="25">
        <f>Settings!$B$6</f>
        <v>100</v>
      </c>
      <c r="O47" s="3" t="e">
        <f t="shared" si="0"/>
        <v>#N/A</v>
      </c>
      <c r="P47" s="3" t="e">
        <f t="shared" si="1"/>
        <v>#N/A</v>
      </c>
      <c r="Q47" s="3" t="e">
        <f t="shared" si="2"/>
        <v>#N/A</v>
      </c>
      <c r="R47" s="131">
        <f t="shared" si="3"/>
        <v>46319</v>
      </c>
      <c r="S47" s="3" t="e">
        <f t="shared" si="4"/>
        <v>#N/A</v>
      </c>
      <c r="T47" s="3" t="e">
        <f t="shared" si="5"/>
        <v>#N/A</v>
      </c>
      <c r="U47" s="3">
        <f>Settings!$B$6</f>
        <v>100</v>
      </c>
    </row>
    <row r="48" spans="1:21" ht="18" customHeight="1" x14ac:dyDescent="0.3">
      <c r="A48" s="124">
        <f>A47+1</f>
        <v>46320</v>
      </c>
      <c r="B48" s="137"/>
      <c r="C48" s="126" t="str" cm="1">
        <f t="array" ref="C48">IF(B48="","",B48-IFERROR(LOOKUP(2,1/($B$6:B47&lt;&gt;""),$B$6:B47),Settings!$B$5))</f>
        <v/>
      </c>
      <c r="D48" s="127" t="str">
        <f>IF(B48="","",AVERAGE(B42:B48))</f>
        <v/>
      </c>
      <c r="E48" s="139"/>
      <c r="F48" s="140"/>
      <c r="G48" s="137"/>
      <c r="H48" s="139"/>
      <c r="I48" s="140"/>
      <c r="J48" s="141"/>
      <c r="K48" s="137"/>
      <c r="L48" s="142"/>
      <c r="M48" s="127" t="str">
        <f>IF(B48="","",B48/((Settings!$B$7)/100)^2)</f>
        <v/>
      </c>
      <c r="N48" s="25">
        <f>Settings!$B$6</f>
        <v>100</v>
      </c>
      <c r="O48" s="3" t="e">
        <f t="shared" si="0"/>
        <v>#N/A</v>
      </c>
      <c r="P48" s="3" t="e">
        <f t="shared" si="1"/>
        <v>#N/A</v>
      </c>
      <c r="Q48" s="3" t="e">
        <f t="shared" si="2"/>
        <v>#N/A</v>
      </c>
      <c r="R48" s="131">
        <f t="shared" si="3"/>
        <v>46320</v>
      </c>
      <c r="S48" s="3" t="e">
        <f t="shared" si="4"/>
        <v>#N/A</v>
      </c>
      <c r="T48" s="3" t="e">
        <f t="shared" si="5"/>
        <v>#N/A</v>
      </c>
      <c r="U48" s="3">
        <f>Settings!$B$6</f>
        <v>100</v>
      </c>
    </row>
    <row r="49" spans="1:21" ht="18" customHeight="1" x14ac:dyDescent="0.3">
      <c r="A49" s="132">
        <f>A48+1</f>
        <v>46321</v>
      </c>
      <c r="B49" s="138"/>
      <c r="C49" s="126" t="str" cm="1">
        <f t="array" ref="C49">IF(B49="","",B49-IFERROR(LOOKUP(2,1/($B$6:B48&lt;&gt;""),$B$6:B48),Settings!$B$5))</f>
        <v/>
      </c>
      <c r="D49" s="127" t="str">
        <f>IF(B49="","",AVERAGE(B43:B49))</f>
        <v/>
      </c>
      <c r="E49" s="143"/>
      <c r="F49" s="144"/>
      <c r="G49" s="138"/>
      <c r="H49" s="143"/>
      <c r="I49" s="144"/>
      <c r="J49" s="145"/>
      <c r="K49" s="138"/>
      <c r="L49" s="146"/>
      <c r="M49" s="127" t="str">
        <f>IF(B49="","",B49/((Settings!$B$7)/100)^2)</f>
        <v/>
      </c>
      <c r="N49" s="25">
        <f>Settings!$B$6</f>
        <v>100</v>
      </c>
      <c r="O49" s="3" t="e">
        <f t="shared" si="0"/>
        <v>#N/A</v>
      </c>
      <c r="P49" s="3" t="e">
        <f t="shared" si="1"/>
        <v>#N/A</v>
      </c>
      <c r="Q49" s="3" t="e">
        <f t="shared" si="2"/>
        <v>#N/A</v>
      </c>
      <c r="R49" s="131">
        <f t="shared" si="3"/>
        <v>46321</v>
      </c>
      <c r="S49" s="3" t="e">
        <f t="shared" si="4"/>
        <v>#N/A</v>
      </c>
      <c r="T49" s="3" t="e">
        <f t="shared" si="5"/>
        <v>#N/A</v>
      </c>
      <c r="U49" s="3">
        <f>Settings!$B$6</f>
        <v>100</v>
      </c>
    </row>
    <row r="50" spans="1:21" ht="18" customHeight="1" x14ac:dyDescent="0.3">
      <c r="A50" s="124">
        <f>A49+1</f>
        <v>46322</v>
      </c>
      <c r="B50" s="137"/>
      <c r="C50" s="126" t="str" cm="1">
        <f t="array" ref="C50">IF(B50="","",B50-IFERROR(LOOKUP(2,1/($B$6:B49&lt;&gt;""),$B$6:B49),Settings!$B$5))</f>
        <v/>
      </c>
      <c r="D50" s="127" t="str">
        <f>IF(B50="","",AVERAGE(B44:B50))</f>
        <v/>
      </c>
      <c r="E50" s="139"/>
      <c r="F50" s="140"/>
      <c r="G50" s="137"/>
      <c r="H50" s="139"/>
      <c r="I50" s="140"/>
      <c r="J50" s="141"/>
      <c r="K50" s="137"/>
      <c r="L50" s="142"/>
      <c r="M50" s="127" t="str">
        <f>IF(B50="","",B50/((Settings!$B$7)/100)^2)</f>
        <v/>
      </c>
      <c r="N50" s="25">
        <f>Settings!$B$6</f>
        <v>100</v>
      </c>
      <c r="O50" s="3" t="e">
        <f t="shared" si="0"/>
        <v>#N/A</v>
      </c>
      <c r="P50" s="3" t="e">
        <f t="shared" si="1"/>
        <v>#N/A</v>
      </c>
      <c r="Q50" s="3" t="e">
        <f t="shared" si="2"/>
        <v>#N/A</v>
      </c>
      <c r="R50" s="131">
        <f t="shared" si="3"/>
        <v>46322</v>
      </c>
      <c r="S50" s="3" t="e">
        <f t="shared" si="4"/>
        <v>#N/A</v>
      </c>
      <c r="T50" s="3" t="e">
        <f t="shared" si="5"/>
        <v>#N/A</v>
      </c>
      <c r="U50" s="3">
        <f>Settings!$B$6</f>
        <v>100</v>
      </c>
    </row>
    <row r="51" spans="1:21" ht="18" customHeight="1" x14ac:dyDescent="0.3">
      <c r="A51" s="132">
        <f>A50+1</f>
        <v>46323</v>
      </c>
      <c r="B51" s="138"/>
      <c r="C51" s="126" t="str" cm="1">
        <f t="array" ref="C51">IF(B51="","",B51-IFERROR(LOOKUP(2,1/($B$6:B50&lt;&gt;""),$B$6:B50),Settings!$B$5))</f>
        <v/>
      </c>
      <c r="D51" s="127" t="str">
        <f>IF(B51="","",AVERAGE(B45:B51))</f>
        <v/>
      </c>
      <c r="E51" s="143"/>
      <c r="F51" s="144"/>
      <c r="G51" s="138"/>
      <c r="H51" s="143"/>
      <c r="I51" s="144"/>
      <c r="J51" s="145"/>
      <c r="K51" s="138"/>
      <c r="L51" s="146"/>
      <c r="M51" s="127" t="str">
        <f>IF(B51="","",B51/((Settings!$B$7)/100)^2)</f>
        <v/>
      </c>
      <c r="N51" s="25">
        <f>Settings!$B$6</f>
        <v>100</v>
      </c>
      <c r="O51" s="3" t="e">
        <f t="shared" si="0"/>
        <v>#N/A</v>
      </c>
      <c r="P51" s="3" t="e">
        <f t="shared" si="1"/>
        <v>#N/A</v>
      </c>
      <c r="Q51" s="3" t="e">
        <f t="shared" si="2"/>
        <v>#N/A</v>
      </c>
      <c r="R51" s="131">
        <f t="shared" si="3"/>
        <v>46323</v>
      </c>
      <c r="S51" s="3" t="e">
        <f t="shared" si="4"/>
        <v>#N/A</v>
      </c>
      <c r="T51" s="3" t="e">
        <f t="shared" si="5"/>
        <v>#N/A</v>
      </c>
      <c r="U51" s="3">
        <f>Settings!$B$6</f>
        <v>100</v>
      </c>
    </row>
    <row r="52" spans="1:21" ht="18" customHeight="1" x14ac:dyDescent="0.3">
      <c r="A52" s="124">
        <f>A51+1</f>
        <v>46324</v>
      </c>
      <c r="B52" s="137"/>
      <c r="C52" s="126" t="str" cm="1">
        <f t="array" ref="C52">IF(B52="","",B52-IFERROR(LOOKUP(2,1/($B$6:B51&lt;&gt;""),$B$6:B51),Settings!$B$5))</f>
        <v/>
      </c>
      <c r="D52" s="127" t="str">
        <f>IF(B52="","",AVERAGE(B46:B52))</f>
        <v/>
      </c>
      <c r="E52" s="139"/>
      <c r="F52" s="140"/>
      <c r="G52" s="137"/>
      <c r="H52" s="139"/>
      <c r="I52" s="140"/>
      <c r="J52" s="141"/>
      <c r="K52" s="137"/>
      <c r="L52" s="142"/>
      <c r="M52" s="127" t="str">
        <f>IF(B52="","",B52/((Settings!$B$7)/100)^2)</f>
        <v/>
      </c>
      <c r="N52" s="25">
        <f>Settings!$B$6</f>
        <v>100</v>
      </c>
      <c r="O52" s="3" t="e">
        <f t="shared" si="0"/>
        <v>#N/A</v>
      </c>
      <c r="P52" s="3" t="e">
        <f t="shared" si="1"/>
        <v>#N/A</v>
      </c>
      <c r="Q52" s="3" t="e">
        <f t="shared" si="2"/>
        <v>#N/A</v>
      </c>
      <c r="R52" s="131">
        <f t="shared" si="3"/>
        <v>46324</v>
      </c>
      <c r="S52" s="3" t="e">
        <f t="shared" si="4"/>
        <v>#N/A</v>
      </c>
      <c r="T52" s="3" t="e">
        <f t="shared" si="5"/>
        <v>#N/A</v>
      </c>
      <c r="U52" s="3">
        <f>Settings!$B$6</f>
        <v>100</v>
      </c>
    </row>
    <row r="53" spans="1:21" ht="18" customHeight="1" x14ac:dyDescent="0.3">
      <c r="A53" s="132">
        <f>A52+1</f>
        <v>46325</v>
      </c>
      <c r="B53" s="138"/>
      <c r="C53" s="126" t="str" cm="1">
        <f t="array" ref="C53">IF(B53="","",B53-IFERROR(LOOKUP(2,1/($B$6:B52&lt;&gt;""),$B$6:B52),Settings!$B$5))</f>
        <v/>
      </c>
      <c r="D53" s="127" t="str">
        <f>IF(B53="","",AVERAGE(B47:B53))</f>
        <v/>
      </c>
      <c r="E53" s="143"/>
      <c r="F53" s="144"/>
      <c r="G53" s="138"/>
      <c r="H53" s="143"/>
      <c r="I53" s="144"/>
      <c r="J53" s="145"/>
      <c r="K53" s="138"/>
      <c r="L53" s="146"/>
      <c r="M53" s="127" t="str">
        <f>IF(B53="","",B53/((Settings!$B$7)/100)^2)</f>
        <v/>
      </c>
      <c r="N53" s="25">
        <f>Settings!$B$6</f>
        <v>100</v>
      </c>
      <c r="O53" s="3" t="e">
        <f t="shared" si="0"/>
        <v>#N/A</v>
      </c>
      <c r="P53" s="3" t="e">
        <f t="shared" si="1"/>
        <v>#N/A</v>
      </c>
      <c r="Q53" s="3" t="e">
        <f t="shared" si="2"/>
        <v>#N/A</v>
      </c>
      <c r="R53" s="131">
        <f t="shared" si="3"/>
        <v>46325</v>
      </c>
      <c r="S53" s="3" t="e">
        <f t="shared" si="4"/>
        <v>#N/A</v>
      </c>
      <c r="T53" s="3" t="e">
        <f t="shared" si="5"/>
        <v>#N/A</v>
      </c>
      <c r="U53" s="3">
        <f>Settings!$B$6</f>
        <v>100</v>
      </c>
    </row>
    <row r="54" spans="1:21" ht="18" customHeight="1" x14ac:dyDescent="0.3">
      <c r="A54" s="124">
        <f>A53+1</f>
        <v>46326</v>
      </c>
      <c r="B54" s="137"/>
      <c r="C54" s="126" t="str" cm="1">
        <f t="array" ref="C54">IF(B54="","",B54-IFERROR(LOOKUP(2,1/($B$6:B53&lt;&gt;""),$B$6:B53),Settings!$B$5))</f>
        <v/>
      </c>
      <c r="D54" s="127" t="str">
        <f>IF(B54="","",AVERAGE(B48:B54))</f>
        <v/>
      </c>
      <c r="E54" s="139"/>
      <c r="F54" s="140"/>
      <c r="G54" s="137"/>
      <c r="H54" s="139"/>
      <c r="I54" s="140"/>
      <c r="J54" s="141"/>
      <c r="K54" s="137"/>
      <c r="L54" s="142"/>
      <c r="M54" s="127" t="str">
        <f>IF(B54="","",B54/((Settings!$B$7)/100)^2)</f>
        <v/>
      </c>
      <c r="N54" s="25">
        <f>Settings!$B$6</f>
        <v>100</v>
      </c>
      <c r="O54" s="3" t="e">
        <f t="shared" si="0"/>
        <v>#N/A</v>
      </c>
      <c r="P54" s="3" t="e">
        <f t="shared" si="1"/>
        <v>#N/A</v>
      </c>
      <c r="Q54" s="3" t="e">
        <f t="shared" si="2"/>
        <v>#N/A</v>
      </c>
      <c r="R54" s="131">
        <f t="shared" si="3"/>
        <v>46326</v>
      </c>
      <c r="S54" s="3" t="e">
        <f t="shared" si="4"/>
        <v>#N/A</v>
      </c>
      <c r="T54" s="3" t="e">
        <f t="shared" si="5"/>
        <v>#N/A</v>
      </c>
      <c r="U54" s="3">
        <f>Settings!$B$6</f>
        <v>100</v>
      </c>
    </row>
    <row r="55" spans="1:21" ht="18" customHeight="1" x14ac:dyDescent="0.3">
      <c r="A55" s="132">
        <f>A54+1</f>
        <v>46327</v>
      </c>
      <c r="B55" s="138"/>
      <c r="C55" s="126" t="str" cm="1">
        <f t="array" ref="C55">IF(B55="","",B55-IFERROR(LOOKUP(2,1/($B$6:B54&lt;&gt;""),$B$6:B54),Settings!$B$5))</f>
        <v/>
      </c>
      <c r="D55" s="127" t="str">
        <f>IF(B55="","",AVERAGE(B49:B55))</f>
        <v/>
      </c>
      <c r="E55" s="143"/>
      <c r="F55" s="144"/>
      <c r="G55" s="138"/>
      <c r="H55" s="143"/>
      <c r="I55" s="144"/>
      <c r="J55" s="145"/>
      <c r="K55" s="138"/>
      <c r="L55" s="146"/>
      <c r="M55" s="127" t="str">
        <f>IF(B55="","",B55/((Settings!$B$7)/100)^2)</f>
        <v/>
      </c>
      <c r="N55" s="25">
        <f>Settings!$B$6</f>
        <v>100</v>
      </c>
      <c r="O55" s="3" t="e">
        <f t="shared" si="0"/>
        <v>#N/A</v>
      </c>
      <c r="P55" s="3" t="e">
        <f t="shared" si="1"/>
        <v>#N/A</v>
      </c>
      <c r="Q55" s="3" t="e">
        <f t="shared" si="2"/>
        <v>#N/A</v>
      </c>
      <c r="R55" s="131">
        <f t="shared" si="3"/>
        <v>46327</v>
      </c>
      <c r="S55" s="3" t="e">
        <f t="shared" si="4"/>
        <v>#N/A</v>
      </c>
      <c r="T55" s="3" t="e">
        <f t="shared" si="5"/>
        <v>#N/A</v>
      </c>
      <c r="U55" s="3">
        <f>Settings!$B$6</f>
        <v>100</v>
      </c>
    </row>
    <row r="56" spans="1:21" ht="18" customHeight="1" x14ac:dyDescent="0.3">
      <c r="A56" s="124">
        <f>A55+1</f>
        <v>46328</v>
      </c>
      <c r="B56" s="137"/>
      <c r="C56" s="126" t="str" cm="1">
        <f t="array" ref="C56">IF(B56="","",B56-IFERROR(LOOKUP(2,1/($B$6:B55&lt;&gt;""),$B$6:B55),Settings!$B$5))</f>
        <v/>
      </c>
      <c r="D56" s="127" t="str">
        <f>IF(B56="","",AVERAGE(B50:B56))</f>
        <v/>
      </c>
      <c r="E56" s="139"/>
      <c r="F56" s="140"/>
      <c r="G56" s="137"/>
      <c r="H56" s="139"/>
      <c r="I56" s="140"/>
      <c r="J56" s="141"/>
      <c r="K56" s="137"/>
      <c r="L56" s="142"/>
      <c r="M56" s="127" t="str">
        <f>IF(B56="","",B56/((Settings!$B$7)/100)^2)</f>
        <v/>
      </c>
      <c r="N56" s="25">
        <f>Settings!$B$6</f>
        <v>100</v>
      </c>
      <c r="O56" s="3" t="e">
        <f t="shared" si="0"/>
        <v>#N/A</v>
      </c>
      <c r="P56" s="3" t="e">
        <f t="shared" si="1"/>
        <v>#N/A</v>
      </c>
      <c r="Q56" s="3" t="e">
        <f t="shared" si="2"/>
        <v>#N/A</v>
      </c>
      <c r="R56" s="131">
        <f t="shared" si="3"/>
        <v>46328</v>
      </c>
      <c r="S56" s="3" t="e">
        <f t="shared" si="4"/>
        <v>#N/A</v>
      </c>
      <c r="T56" s="3" t="e">
        <f t="shared" si="5"/>
        <v>#N/A</v>
      </c>
      <c r="U56" s="3">
        <f>Settings!$B$6</f>
        <v>100</v>
      </c>
    </row>
    <row r="57" spans="1:21" ht="18" customHeight="1" x14ac:dyDescent="0.3">
      <c r="A57" s="132">
        <f>A56+1</f>
        <v>46329</v>
      </c>
      <c r="B57" s="138"/>
      <c r="C57" s="126" t="str" cm="1">
        <f t="array" ref="C57">IF(B57="","",B57-IFERROR(LOOKUP(2,1/($B$6:B56&lt;&gt;""),$B$6:B56),Settings!$B$5))</f>
        <v/>
      </c>
      <c r="D57" s="127" t="str">
        <f>IF(B57="","",AVERAGE(B51:B57))</f>
        <v/>
      </c>
      <c r="E57" s="143"/>
      <c r="F57" s="144"/>
      <c r="G57" s="138"/>
      <c r="H57" s="143"/>
      <c r="I57" s="144"/>
      <c r="J57" s="145"/>
      <c r="K57" s="138"/>
      <c r="L57" s="146"/>
      <c r="M57" s="127" t="str">
        <f>IF(B57="","",B57/((Settings!$B$7)/100)^2)</f>
        <v/>
      </c>
      <c r="N57" s="25">
        <f>Settings!$B$6</f>
        <v>100</v>
      </c>
      <c r="O57" s="3" t="e">
        <f t="shared" si="0"/>
        <v>#N/A</v>
      </c>
      <c r="P57" s="3" t="e">
        <f t="shared" si="1"/>
        <v>#N/A</v>
      </c>
      <c r="Q57" s="3" t="e">
        <f t="shared" si="2"/>
        <v>#N/A</v>
      </c>
      <c r="R57" s="131">
        <f t="shared" si="3"/>
        <v>46329</v>
      </c>
      <c r="S57" s="3" t="e">
        <f t="shared" si="4"/>
        <v>#N/A</v>
      </c>
      <c r="T57" s="3" t="e">
        <f t="shared" si="5"/>
        <v>#N/A</v>
      </c>
      <c r="U57" s="3">
        <f>Settings!$B$6</f>
        <v>100</v>
      </c>
    </row>
    <row r="58" spans="1:21" ht="18" customHeight="1" x14ac:dyDescent="0.3">
      <c r="A58" s="124">
        <f>A57+1</f>
        <v>46330</v>
      </c>
      <c r="B58" s="137"/>
      <c r="C58" s="126" t="str" cm="1">
        <f t="array" ref="C58">IF(B58="","",B58-IFERROR(LOOKUP(2,1/($B$6:B57&lt;&gt;""),$B$6:B57),Settings!$B$5))</f>
        <v/>
      </c>
      <c r="D58" s="127" t="str">
        <f>IF(B58="","",AVERAGE(B52:B58))</f>
        <v/>
      </c>
      <c r="E58" s="139"/>
      <c r="F58" s="140"/>
      <c r="G58" s="137"/>
      <c r="H58" s="139"/>
      <c r="I58" s="140"/>
      <c r="J58" s="141"/>
      <c r="K58" s="137"/>
      <c r="L58" s="142"/>
      <c r="M58" s="127" t="str">
        <f>IF(B58="","",B58/((Settings!$B$7)/100)^2)</f>
        <v/>
      </c>
      <c r="N58" s="25">
        <f>Settings!$B$6</f>
        <v>100</v>
      </c>
      <c r="O58" s="3" t="e">
        <f t="shared" si="0"/>
        <v>#N/A</v>
      </c>
      <c r="P58" s="3" t="e">
        <f t="shared" si="1"/>
        <v>#N/A</v>
      </c>
      <c r="Q58" s="3" t="e">
        <f t="shared" si="2"/>
        <v>#N/A</v>
      </c>
      <c r="R58" s="131">
        <f t="shared" si="3"/>
        <v>46330</v>
      </c>
      <c r="S58" s="3" t="e">
        <f t="shared" si="4"/>
        <v>#N/A</v>
      </c>
      <c r="T58" s="3" t="e">
        <f t="shared" si="5"/>
        <v>#N/A</v>
      </c>
      <c r="U58" s="3">
        <f>Settings!$B$6</f>
        <v>100</v>
      </c>
    </row>
    <row r="59" spans="1:21" ht="18" customHeight="1" x14ac:dyDescent="0.3">
      <c r="A59" s="132">
        <f>A58+1</f>
        <v>46331</v>
      </c>
      <c r="B59" s="138"/>
      <c r="C59" s="126" t="str" cm="1">
        <f t="array" ref="C59">IF(B59="","",B59-IFERROR(LOOKUP(2,1/($B$6:B58&lt;&gt;""),$B$6:B58),Settings!$B$5))</f>
        <v/>
      </c>
      <c r="D59" s="127" t="str">
        <f>IF(B59="","",AVERAGE(B53:B59))</f>
        <v/>
      </c>
      <c r="E59" s="143"/>
      <c r="F59" s="144"/>
      <c r="G59" s="138"/>
      <c r="H59" s="143"/>
      <c r="I59" s="144"/>
      <c r="J59" s="145"/>
      <c r="K59" s="138"/>
      <c r="L59" s="146"/>
      <c r="M59" s="127" t="str">
        <f>IF(B59="","",B59/((Settings!$B$7)/100)^2)</f>
        <v/>
      </c>
      <c r="N59" s="25">
        <f>Settings!$B$6</f>
        <v>100</v>
      </c>
      <c r="O59" s="3" t="e">
        <f t="shared" si="0"/>
        <v>#N/A</v>
      </c>
      <c r="P59" s="3" t="e">
        <f t="shared" si="1"/>
        <v>#N/A</v>
      </c>
      <c r="Q59" s="3" t="e">
        <f t="shared" si="2"/>
        <v>#N/A</v>
      </c>
      <c r="R59" s="131">
        <f t="shared" si="3"/>
        <v>46331</v>
      </c>
      <c r="S59" s="3" t="e">
        <f t="shared" si="4"/>
        <v>#N/A</v>
      </c>
      <c r="T59" s="3" t="e">
        <f t="shared" si="5"/>
        <v>#N/A</v>
      </c>
      <c r="U59" s="3">
        <f>Settings!$B$6</f>
        <v>100</v>
      </c>
    </row>
    <row r="60" spans="1:21" ht="18" customHeight="1" x14ac:dyDescent="0.3">
      <c r="A60" s="124">
        <f>A59+1</f>
        <v>46332</v>
      </c>
      <c r="B60" s="137"/>
      <c r="C60" s="126" t="str" cm="1">
        <f t="array" ref="C60">IF(B60="","",B60-IFERROR(LOOKUP(2,1/($B$6:B59&lt;&gt;""),$B$6:B59),Settings!$B$5))</f>
        <v/>
      </c>
      <c r="D60" s="127" t="str">
        <f>IF(B60="","",AVERAGE(B54:B60))</f>
        <v/>
      </c>
      <c r="E60" s="139"/>
      <c r="F60" s="140"/>
      <c r="G60" s="137"/>
      <c r="H60" s="139"/>
      <c r="I60" s="140"/>
      <c r="J60" s="141"/>
      <c r="K60" s="137"/>
      <c r="L60" s="142"/>
      <c r="M60" s="127" t="str">
        <f>IF(B60="","",B60/((Settings!$B$7)/100)^2)</f>
        <v/>
      </c>
      <c r="N60" s="25">
        <f>Settings!$B$6</f>
        <v>100</v>
      </c>
      <c r="O60" s="3" t="e">
        <f t="shared" si="0"/>
        <v>#N/A</v>
      </c>
      <c r="P60" s="3" t="e">
        <f t="shared" si="1"/>
        <v>#N/A</v>
      </c>
      <c r="Q60" s="3" t="e">
        <f t="shared" si="2"/>
        <v>#N/A</v>
      </c>
      <c r="R60" s="131">
        <f t="shared" si="3"/>
        <v>46332</v>
      </c>
      <c r="S60" s="3" t="e">
        <f t="shared" si="4"/>
        <v>#N/A</v>
      </c>
      <c r="T60" s="3" t="e">
        <f t="shared" si="5"/>
        <v>#N/A</v>
      </c>
      <c r="U60" s="3">
        <f>Settings!$B$6</f>
        <v>100</v>
      </c>
    </row>
    <row r="61" spans="1:21" ht="18" customHeight="1" x14ac:dyDescent="0.3">
      <c r="A61" s="132">
        <f>A60+1</f>
        <v>46333</v>
      </c>
      <c r="B61" s="138"/>
      <c r="C61" s="126" t="str" cm="1">
        <f t="array" ref="C61">IF(B61="","",B61-IFERROR(LOOKUP(2,1/($B$6:B60&lt;&gt;""),$B$6:B60),Settings!$B$5))</f>
        <v/>
      </c>
      <c r="D61" s="127" t="str">
        <f>IF(B61="","",AVERAGE(B55:B61))</f>
        <v/>
      </c>
      <c r="E61" s="143"/>
      <c r="F61" s="144"/>
      <c r="G61" s="138"/>
      <c r="H61" s="143"/>
      <c r="I61" s="144"/>
      <c r="J61" s="145"/>
      <c r="K61" s="138"/>
      <c r="L61" s="146"/>
      <c r="M61" s="127" t="str">
        <f>IF(B61="","",B61/((Settings!$B$7)/100)^2)</f>
        <v/>
      </c>
      <c r="N61" s="25">
        <f>Settings!$B$6</f>
        <v>100</v>
      </c>
      <c r="O61" s="3" t="e">
        <f t="shared" si="0"/>
        <v>#N/A</v>
      </c>
      <c r="P61" s="3" t="e">
        <f t="shared" si="1"/>
        <v>#N/A</v>
      </c>
      <c r="Q61" s="3" t="e">
        <f t="shared" si="2"/>
        <v>#N/A</v>
      </c>
      <c r="R61" s="131">
        <f t="shared" si="3"/>
        <v>46333</v>
      </c>
      <c r="S61" s="3" t="e">
        <f t="shared" si="4"/>
        <v>#N/A</v>
      </c>
      <c r="T61" s="3" t="e">
        <f t="shared" si="5"/>
        <v>#N/A</v>
      </c>
      <c r="U61" s="3">
        <f>Settings!$B$6</f>
        <v>100</v>
      </c>
    </row>
    <row r="62" spans="1:21" ht="18" customHeight="1" x14ac:dyDescent="0.3">
      <c r="A62" s="124">
        <f>A61+1</f>
        <v>46334</v>
      </c>
      <c r="B62" s="137"/>
      <c r="C62" s="126" t="str" cm="1">
        <f t="array" ref="C62">IF(B62="","",B62-IFERROR(LOOKUP(2,1/($B$6:B61&lt;&gt;""),$B$6:B61),Settings!$B$5))</f>
        <v/>
      </c>
      <c r="D62" s="127" t="str">
        <f>IF(B62="","",AVERAGE(B56:B62))</f>
        <v/>
      </c>
      <c r="E62" s="139"/>
      <c r="F62" s="140"/>
      <c r="G62" s="137"/>
      <c r="H62" s="139"/>
      <c r="I62" s="140"/>
      <c r="J62" s="141"/>
      <c r="K62" s="137"/>
      <c r="L62" s="142"/>
      <c r="M62" s="127" t="str">
        <f>IF(B62="","",B62/((Settings!$B$7)/100)^2)</f>
        <v/>
      </c>
      <c r="N62" s="25">
        <f>Settings!$B$6</f>
        <v>100</v>
      </c>
      <c r="O62" s="3" t="e">
        <f t="shared" si="0"/>
        <v>#N/A</v>
      </c>
      <c r="P62" s="3" t="e">
        <f t="shared" si="1"/>
        <v>#N/A</v>
      </c>
      <c r="Q62" s="3" t="e">
        <f t="shared" si="2"/>
        <v>#N/A</v>
      </c>
      <c r="R62" s="131">
        <f t="shared" si="3"/>
        <v>46334</v>
      </c>
      <c r="S62" s="3" t="e">
        <f t="shared" si="4"/>
        <v>#N/A</v>
      </c>
      <c r="T62" s="3" t="e">
        <f t="shared" si="5"/>
        <v>#N/A</v>
      </c>
      <c r="U62" s="3">
        <f>Settings!$B$6</f>
        <v>100</v>
      </c>
    </row>
    <row r="63" spans="1:21" ht="18" customHeight="1" x14ac:dyDescent="0.3">
      <c r="A63" s="132">
        <f>A62+1</f>
        <v>46335</v>
      </c>
      <c r="B63" s="138"/>
      <c r="C63" s="126" t="str" cm="1">
        <f t="array" ref="C63">IF(B63="","",B63-IFERROR(LOOKUP(2,1/($B$6:B62&lt;&gt;""),$B$6:B62),Settings!$B$5))</f>
        <v/>
      </c>
      <c r="D63" s="127" t="str">
        <f>IF(B63="","",AVERAGE(B57:B63))</f>
        <v/>
      </c>
      <c r="E63" s="143"/>
      <c r="F63" s="144"/>
      <c r="G63" s="138"/>
      <c r="H63" s="143"/>
      <c r="I63" s="144"/>
      <c r="J63" s="145"/>
      <c r="K63" s="138"/>
      <c r="L63" s="146"/>
      <c r="M63" s="127" t="str">
        <f>IF(B63="","",B63/((Settings!$B$7)/100)^2)</f>
        <v/>
      </c>
      <c r="N63" s="25">
        <f>Settings!$B$6</f>
        <v>100</v>
      </c>
      <c r="O63" s="3" t="e">
        <f t="shared" si="0"/>
        <v>#N/A</v>
      </c>
      <c r="P63" s="3" t="e">
        <f t="shared" si="1"/>
        <v>#N/A</v>
      </c>
      <c r="Q63" s="3" t="e">
        <f t="shared" si="2"/>
        <v>#N/A</v>
      </c>
      <c r="R63" s="131">
        <f t="shared" si="3"/>
        <v>46335</v>
      </c>
      <c r="S63" s="3" t="e">
        <f t="shared" si="4"/>
        <v>#N/A</v>
      </c>
      <c r="T63" s="3" t="e">
        <f t="shared" si="5"/>
        <v>#N/A</v>
      </c>
      <c r="U63" s="3">
        <f>Settings!$B$6</f>
        <v>100</v>
      </c>
    </row>
    <row r="64" spans="1:21" ht="18" customHeight="1" x14ac:dyDescent="0.3">
      <c r="A64" s="124">
        <f>A63+1</f>
        <v>46336</v>
      </c>
      <c r="B64" s="137"/>
      <c r="C64" s="126" t="str" cm="1">
        <f t="array" ref="C64">IF(B64="","",B64-IFERROR(LOOKUP(2,1/($B$6:B63&lt;&gt;""),$B$6:B63),Settings!$B$5))</f>
        <v/>
      </c>
      <c r="D64" s="127" t="str">
        <f>IF(B64="","",AVERAGE(B58:B64))</f>
        <v/>
      </c>
      <c r="E64" s="139"/>
      <c r="F64" s="140"/>
      <c r="G64" s="137"/>
      <c r="H64" s="139"/>
      <c r="I64" s="140"/>
      <c r="J64" s="141"/>
      <c r="K64" s="137"/>
      <c r="L64" s="142"/>
      <c r="M64" s="127" t="str">
        <f>IF(B64="","",B64/((Settings!$B$7)/100)^2)</f>
        <v/>
      </c>
      <c r="N64" s="25">
        <f>Settings!$B$6</f>
        <v>100</v>
      </c>
      <c r="O64" s="3" t="e">
        <f t="shared" si="0"/>
        <v>#N/A</v>
      </c>
      <c r="P64" s="3" t="e">
        <f t="shared" si="1"/>
        <v>#N/A</v>
      </c>
      <c r="Q64" s="3" t="e">
        <f t="shared" si="2"/>
        <v>#N/A</v>
      </c>
      <c r="R64" s="131">
        <f t="shared" si="3"/>
        <v>46336</v>
      </c>
      <c r="S64" s="3" t="e">
        <f t="shared" si="4"/>
        <v>#N/A</v>
      </c>
      <c r="T64" s="3" t="e">
        <f t="shared" si="5"/>
        <v>#N/A</v>
      </c>
      <c r="U64" s="3">
        <f>Settings!$B$6</f>
        <v>100</v>
      </c>
    </row>
    <row r="65" spans="1:21" ht="18" customHeight="1" x14ac:dyDescent="0.3">
      <c r="A65" s="132">
        <f>A64+1</f>
        <v>46337</v>
      </c>
      <c r="B65" s="138"/>
      <c r="C65" s="126" t="str" cm="1">
        <f t="array" ref="C65">IF(B65="","",B65-IFERROR(LOOKUP(2,1/($B$6:B64&lt;&gt;""),$B$6:B64),Settings!$B$5))</f>
        <v/>
      </c>
      <c r="D65" s="127" t="str">
        <f>IF(B65="","",AVERAGE(B59:B65))</f>
        <v/>
      </c>
      <c r="E65" s="143"/>
      <c r="F65" s="144"/>
      <c r="G65" s="138"/>
      <c r="H65" s="143"/>
      <c r="I65" s="144"/>
      <c r="J65" s="145"/>
      <c r="K65" s="138"/>
      <c r="L65" s="146"/>
      <c r="M65" s="127" t="str">
        <f>IF(B65="","",B65/((Settings!$B$7)/100)^2)</f>
        <v/>
      </c>
      <c r="N65" s="25">
        <f>Settings!$B$6</f>
        <v>100</v>
      </c>
      <c r="O65" s="3" t="e">
        <f t="shared" si="0"/>
        <v>#N/A</v>
      </c>
      <c r="P65" s="3" t="e">
        <f t="shared" si="1"/>
        <v>#N/A</v>
      </c>
      <c r="Q65" s="3" t="e">
        <f t="shared" si="2"/>
        <v>#N/A</v>
      </c>
      <c r="R65" s="131">
        <f t="shared" si="3"/>
        <v>46337</v>
      </c>
      <c r="S65" s="3" t="e">
        <f t="shared" si="4"/>
        <v>#N/A</v>
      </c>
      <c r="T65" s="3" t="e">
        <f t="shared" si="5"/>
        <v>#N/A</v>
      </c>
      <c r="U65" s="3">
        <f>Settings!$B$6</f>
        <v>100</v>
      </c>
    </row>
    <row r="66" spans="1:21" ht="18" customHeight="1" x14ac:dyDescent="0.3">
      <c r="A66" s="124">
        <f>A65+1</f>
        <v>46338</v>
      </c>
      <c r="B66" s="137"/>
      <c r="C66" s="126" t="str" cm="1">
        <f t="array" ref="C66">IF(B66="","",B66-IFERROR(LOOKUP(2,1/($B$6:B65&lt;&gt;""),$B$6:B65),Settings!$B$5))</f>
        <v/>
      </c>
      <c r="D66" s="127" t="str">
        <f>IF(B66="","",AVERAGE(B60:B66))</f>
        <v/>
      </c>
      <c r="E66" s="139"/>
      <c r="F66" s="140"/>
      <c r="G66" s="137"/>
      <c r="H66" s="139"/>
      <c r="I66" s="140"/>
      <c r="J66" s="141"/>
      <c r="K66" s="137"/>
      <c r="L66" s="142"/>
      <c r="M66" s="127" t="str">
        <f>IF(B66="","",B66/((Settings!$B$7)/100)^2)</f>
        <v/>
      </c>
      <c r="N66" s="25">
        <f>Settings!$B$6</f>
        <v>100</v>
      </c>
      <c r="O66" s="3" t="e">
        <f t="shared" si="0"/>
        <v>#N/A</v>
      </c>
      <c r="P66" s="3" t="e">
        <f t="shared" si="1"/>
        <v>#N/A</v>
      </c>
      <c r="Q66" s="3" t="e">
        <f t="shared" si="2"/>
        <v>#N/A</v>
      </c>
      <c r="R66" s="131">
        <f t="shared" si="3"/>
        <v>46338</v>
      </c>
      <c r="S66" s="3" t="e">
        <f t="shared" si="4"/>
        <v>#N/A</v>
      </c>
      <c r="T66" s="3" t="e">
        <f t="shared" si="5"/>
        <v>#N/A</v>
      </c>
      <c r="U66" s="3">
        <f>Settings!$B$6</f>
        <v>100</v>
      </c>
    </row>
    <row r="67" spans="1:21" ht="18" customHeight="1" x14ac:dyDescent="0.3">
      <c r="A67" s="132">
        <f>A66+1</f>
        <v>46339</v>
      </c>
      <c r="B67" s="138"/>
      <c r="C67" s="126" t="str" cm="1">
        <f t="array" ref="C67">IF(B67="","",B67-IFERROR(LOOKUP(2,1/($B$6:B66&lt;&gt;""),$B$6:B66),Settings!$B$5))</f>
        <v/>
      </c>
      <c r="D67" s="127" t="str">
        <f>IF(B67="","",AVERAGE(B61:B67))</f>
        <v/>
      </c>
      <c r="E67" s="143"/>
      <c r="F67" s="144"/>
      <c r="G67" s="138"/>
      <c r="H67" s="143"/>
      <c r="I67" s="144"/>
      <c r="J67" s="145"/>
      <c r="K67" s="138"/>
      <c r="L67" s="146"/>
      <c r="M67" s="127" t="str">
        <f>IF(B67="","",B67/((Settings!$B$7)/100)^2)</f>
        <v/>
      </c>
      <c r="N67" s="25">
        <f>Settings!$B$6</f>
        <v>100</v>
      </c>
      <c r="O67" s="3" t="e">
        <f t="shared" si="0"/>
        <v>#N/A</v>
      </c>
      <c r="P67" s="3" t="e">
        <f t="shared" si="1"/>
        <v>#N/A</v>
      </c>
      <c r="Q67" s="3" t="e">
        <f t="shared" si="2"/>
        <v>#N/A</v>
      </c>
      <c r="R67" s="131">
        <f t="shared" si="3"/>
        <v>46339</v>
      </c>
      <c r="S67" s="3" t="e">
        <f t="shared" si="4"/>
        <v>#N/A</v>
      </c>
      <c r="T67" s="3" t="e">
        <f t="shared" si="5"/>
        <v>#N/A</v>
      </c>
      <c r="U67" s="3">
        <f>Settings!$B$6</f>
        <v>100</v>
      </c>
    </row>
    <row r="68" spans="1:21" ht="18" customHeight="1" x14ac:dyDescent="0.3">
      <c r="A68" s="124">
        <f>A67+1</f>
        <v>46340</v>
      </c>
      <c r="B68" s="137"/>
      <c r="C68" s="126" t="str" cm="1">
        <f t="array" ref="C68">IF(B68="","",B68-IFERROR(LOOKUP(2,1/($B$6:B67&lt;&gt;""),$B$6:B67),Settings!$B$5))</f>
        <v/>
      </c>
      <c r="D68" s="127" t="str">
        <f>IF(B68="","",AVERAGE(B62:B68))</f>
        <v/>
      </c>
      <c r="E68" s="139"/>
      <c r="F68" s="140"/>
      <c r="G68" s="137"/>
      <c r="H68" s="139"/>
      <c r="I68" s="140"/>
      <c r="J68" s="141"/>
      <c r="K68" s="137"/>
      <c r="L68" s="142"/>
      <c r="M68" s="127" t="str">
        <f>IF(B68="","",B68/((Settings!$B$7)/100)^2)</f>
        <v/>
      </c>
      <c r="N68" s="25">
        <f>Settings!$B$6</f>
        <v>100</v>
      </c>
      <c r="O68" s="3" t="e">
        <f t="shared" si="0"/>
        <v>#N/A</v>
      </c>
      <c r="P68" s="3" t="e">
        <f t="shared" si="1"/>
        <v>#N/A</v>
      </c>
      <c r="Q68" s="3" t="e">
        <f t="shared" si="2"/>
        <v>#N/A</v>
      </c>
      <c r="R68" s="131">
        <f t="shared" si="3"/>
        <v>46340</v>
      </c>
      <c r="S68" s="3" t="e">
        <f t="shared" si="4"/>
        <v>#N/A</v>
      </c>
      <c r="T68" s="3" t="e">
        <f t="shared" si="5"/>
        <v>#N/A</v>
      </c>
      <c r="U68" s="3">
        <f>Settings!$B$6</f>
        <v>100</v>
      </c>
    </row>
    <row r="69" spans="1:21" ht="18" customHeight="1" x14ac:dyDescent="0.3">
      <c r="A69" s="132">
        <f>A68+1</f>
        <v>46341</v>
      </c>
      <c r="B69" s="138"/>
      <c r="C69" s="126" t="str" cm="1">
        <f t="array" ref="C69">IF(B69="","",B69-IFERROR(LOOKUP(2,1/($B$6:B68&lt;&gt;""),$B$6:B68),Settings!$B$5))</f>
        <v/>
      </c>
      <c r="D69" s="127" t="str">
        <f>IF(B69="","",AVERAGE(B63:B69))</f>
        <v/>
      </c>
      <c r="E69" s="143"/>
      <c r="F69" s="144"/>
      <c r="G69" s="138"/>
      <c r="H69" s="143"/>
      <c r="I69" s="144"/>
      <c r="J69" s="145"/>
      <c r="K69" s="138"/>
      <c r="L69" s="146"/>
      <c r="M69" s="127" t="str">
        <f>IF(B69="","",B69/((Settings!$B$7)/100)^2)</f>
        <v/>
      </c>
      <c r="N69" s="25">
        <f>Settings!$B$6</f>
        <v>100</v>
      </c>
      <c r="O69" s="3" t="e">
        <f t="shared" si="0"/>
        <v>#N/A</v>
      </c>
      <c r="P69" s="3" t="e">
        <f t="shared" si="1"/>
        <v>#N/A</v>
      </c>
      <c r="Q69" s="3" t="e">
        <f t="shared" si="2"/>
        <v>#N/A</v>
      </c>
      <c r="R69" s="131">
        <f t="shared" si="3"/>
        <v>46341</v>
      </c>
      <c r="S69" s="3" t="e">
        <f t="shared" si="4"/>
        <v>#N/A</v>
      </c>
      <c r="T69" s="3" t="e">
        <f t="shared" si="5"/>
        <v>#N/A</v>
      </c>
      <c r="U69" s="3">
        <f>Settings!$B$6</f>
        <v>100</v>
      </c>
    </row>
    <row r="70" spans="1:21" ht="18" customHeight="1" x14ac:dyDescent="0.3">
      <c r="A70" s="124">
        <f>A69+1</f>
        <v>46342</v>
      </c>
      <c r="B70" s="137"/>
      <c r="C70" s="126" t="str" cm="1">
        <f t="array" ref="C70">IF(B70="","",B70-IFERROR(LOOKUP(2,1/($B$6:B69&lt;&gt;""),$B$6:B69),Settings!$B$5))</f>
        <v/>
      </c>
      <c r="D70" s="127" t="str">
        <f>IF(B70="","",AVERAGE(B64:B70))</f>
        <v/>
      </c>
      <c r="E70" s="139"/>
      <c r="F70" s="140"/>
      <c r="G70" s="137"/>
      <c r="H70" s="139"/>
      <c r="I70" s="140"/>
      <c r="J70" s="141"/>
      <c r="K70" s="137"/>
      <c r="L70" s="142"/>
      <c r="M70" s="127" t="str">
        <f>IF(B70="","",B70/((Settings!$B$7)/100)^2)</f>
        <v/>
      </c>
      <c r="N70" s="25">
        <f>Settings!$B$6</f>
        <v>100</v>
      </c>
      <c r="O70" s="3" t="e">
        <f t="shared" si="0"/>
        <v>#N/A</v>
      </c>
      <c r="P70" s="3" t="e">
        <f t="shared" si="1"/>
        <v>#N/A</v>
      </c>
      <c r="Q70" s="3" t="e">
        <f t="shared" si="2"/>
        <v>#N/A</v>
      </c>
      <c r="R70" s="131">
        <f t="shared" si="3"/>
        <v>46342</v>
      </c>
      <c r="S70" s="3" t="e">
        <f t="shared" si="4"/>
        <v>#N/A</v>
      </c>
      <c r="T70" s="3" t="e">
        <f t="shared" si="5"/>
        <v>#N/A</v>
      </c>
      <c r="U70" s="3">
        <f>Settings!$B$6</f>
        <v>100</v>
      </c>
    </row>
    <row r="71" spans="1:21" ht="18" customHeight="1" x14ac:dyDescent="0.3">
      <c r="A71" s="132">
        <f>A70+1</f>
        <v>46343</v>
      </c>
      <c r="B71" s="138"/>
      <c r="C71" s="126" t="str" cm="1">
        <f t="array" ref="C71">IF(B71="","",B71-IFERROR(LOOKUP(2,1/($B$6:B70&lt;&gt;""),$B$6:B70),Settings!$B$5))</f>
        <v/>
      </c>
      <c r="D71" s="127" t="str">
        <f>IF(B71="","",AVERAGE(B65:B71))</f>
        <v/>
      </c>
      <c r="E71" s="143"/>
      <c r="F71" s="144"/>
      <c r="G71" s="138"/>
      <c r="H71" s="143"/>
      <c r="I71" s="144"/>
      <c r="J71" s="145"/>
      <c r="K71" s="138"/>
      <c r="L71" s="146"/>
      <c r="M71" s="127" t="str">
        <f>IF(B71="","",B71/((Settings!$B$7)/100)^2)</f>
        <v/>
      </c>
      <c r="N71" s="25">
        <f>Settings!$B$6</f>
        <v>100</v>
      </c>
      <c r="O71" s="3" t="e">
        <f t="shared" ref="O71:O134" si="6">IF($B71="",NA(),$B71)</f>
        <v>#N/A</v>
      </c>
      <c r="P71" s="3" t="e">
        <f t="shared" ref="P71:P134" si="7">IF($D71="",NA(),$D71)</f>
        <v>#N/A</v>
      </c>
      <c r="Q71" s="3" t="e">
        <f t="shared" ref="Q71:Q134" si="8">IF($M71="",NA(),$M71)</f>
        <v>#N/A</v>
      </c>
      <c r="R71" s="131">
        <f t="shared" ref="R71:R134" si="9">A71</f>
        <v>46343</v>
      </c>
      <c r="S71" s="3" t="e">
        <f t="shared" ref="S71:S134" si="10">IF($B71="",NA(),$B71)</f>
        <v>#N/A</v>
      </c>
      <c r="T71" s="3" t="e">
        <f t="shared" ref="T71:T134" si="11">IF($D71="",NA(),$D71)</f>
        <v>#N/A</v>
      </c>
      <c r="U71" s="3">
        <f>Settings!$B$6</f>
        <v>100</v>
      </c>
    </row>
    <row r="72" spans="1:21" ht="18" customHeight="1" x14ac:dyDescent="0.3">
      <c r="A72" s="124">
        <f>A71+1</f>
        <v>46344</v>
      </c>
      <c r="B72" s="137"/>
      <c r="C72" s="126" t="str" cm="1">
        <f t="array" ref="C72">IF(B72="","",B72-IFERROR(LOOKUP(2,1/($B$6:B71&lt;&gt;""),$B$6:B71),Settings!$B$5))</f>
        <v/>
      </c>
      <c r="D72" s="127" t="str">
        <f>IF(B72="","",AVERAGE(B66:B72))</f>
        <v/>
      </c>
      <c r="E72" s="139"/>
      <c r="F72" s="140"/>
      <c r="G72" s="137"/>
      <c r="H72" s="139"/>
      <c r="I72" s="140"/>
      <c r="J72" s="141"/>
      <c r="K72" s="137"/>
      <c r="L72" s="142"/>
      <c r="M72" s="127" t="str">
        <f>IF(B72="","",B72/((Settings!$B$7)/100)^2)</f>
        <v/>
      </c>
      <c r="N72" s="25">
        <f>Settings!$B$6</f>
        <v>100</v>
      </c>
      <c r="O72" s="3" t="e">
        <f t="shared" si="6"/>
        <v>#N/A</v>
      </c>
      <c r="P72" s="3" t="e">
        <f t="shared" si="7"/>
        <v>#N/A</v>
      </c>
      <c r="Q72" s="3" t="e">
        <f t="shared" si="8"/>
        <v>#N/A</v>
      </c>
      <c r="R72" s="131">
        <f t="shared" si="9"/>
        <v>46344</v>
      </c>
      <c r="S72" s="3" t="e">
        <f t="shared" si="10"/>
        <v>#N/A</v>
      </c>
      <c r="T72" s="3" t="e">
        <f t="shared" si="11"/>
        <v>#N/A</v>
      </c>
      <c r="U72" s="3">
        <f>Settings!$B$6</f>
        <v>100</v>
      </c>
    </row>
    <row r="73" spans="1:21" ht="18" customHeight="1" x14ac:dyDescent="0.3">
      <c r="A73" s="132">
        <f>A72+1</f>
        <v>46345</v>
      </c>
      <c r="B73" s="138"/>
      <c r="C73" s="126" t="str" cm="1">
        <f t="array" ref="C73">IF(B73="","",B73-IFERROR(LOOKUP(2,1/($B$6:B72&lt;&gt;""),$B$6:B72),Settings!$B$5))</f>
        <v/>
      </c>
      <c r="D73" s="127" t="str">
        <f>IF(B73="","",AVERAGE(B67:B73))</f>
        <v/>
      </c>
      <c r="E73" s="143"/>
      <c r="F73" s="144"/>
      <c r="G73" s="138"/>
      <c r="H73" s="143"/>
      <c r="I73" s="144"/>
      <c r="J73" s="145"/>
      <c r="K73" s="138"/>
      <c r="L73" s="146"/>
      <c r="M73" s="127" t="str">
        <f>IF(B73="","",B73/((Settings!$B$7)/100)^2)</f>
        <v/>
      </c>
      <c r="N73" s="25">
        <f>Settings!$B$6</f>
        <v>100</v>
      </c>
      <c r="O73" s="3" t="e">
        <f t="shared" si="6"/>
        <v>#N/A</v>
      </c>
      <c r="P73" s="3" t="e">
        <f t="shared" si="7"/>
        <v>#N/A</v>
      </c>
      <c r="Q73" s="3" t="e">
        <f t="shared" si="8"/>
        <v>#N/A</v>
      </c>
      <c r="R73" s="131">
        <f t="shared" si="9"/>
        <v>46345</v>
      </c>
      <c r="S73" s="3" t="e">
        <f t="shared" si="10"/>
        <v>#N/A</v>
      </c>
      <c r="T73" s="3" t="e">
        <f t="shared" si="11"/>
        <v>#N/A</v>
      </c>
      <c r="U73" s="3">
        <f>Settings!$B$6</f>
        <v>100</v>
      </c>
    </row>
    <row r="74" spans="1:21" ht="18" customHeight="1" x14ac:dyDescent="0.3">
      <c r="A74" s="124">
        <f>A73+1</f>
        <v>46346</v>
      </c>
      <c r="B74" s="137"/>
      <c r="C74" s="126" t="str" cm="1">
        <f t="array" ref="C74">IF(B74="","",B74-IFERROR(LOOKUP(2,1/($B$6:B73&lt;&gt;""),$B$6:B73),Settings!$B$5))</f>
        <v/>
      </c>
      <c r="D74" s="127" t="str">
        <f>IF(B74="","",AVERAGE(B68:B74))</f>
        <v/>
      </c>
      <c r="E74" s="139"/>
      <c r="F74" s="140"/>
      <c r="G74" s="137"/>
      <c r="H74" s="139"/>
      <c r="I74" s="140"/>
      <c r="J74" s="141"/>
      <c r="K74" s="137"/>
      <c r="L74" s="142"/>
      <c r="M74" s="127" t="str">
        <f>IF(B74="","",B74/((Settings!$B$7)/100)^2)</f>
        <v/>
      </c>
      <c r="N74" s="25">
        <f>Settings!$B$6</f>
        <v>100</v>
      </c>
      <c r="O74" s="3" t="e">
        <f t="shared" si="6"/>
        <v>#N/A</v>
      </c>
      <c r="P74" s="3" t="e">
        <f t="shared" si="7"/>
        <v>#N/A</v>
      </c>
      <c r="Q74" s="3" t="e">
        <f t="shared" si="8"/>
        <v>#N/A</v>
      </c>
      <c r="R74" s="131">
        <f t="shared" si="9"/>
        <v>46346</v>
      </c>
      <c r="S74" s="3" t="e">
        <f t="shared" si="10"/>
        <v>#N/A</v>
      </c>
      <c r="T74" s="3" t="e">
        <f t="shared" si="11"/>
        <v>#N/A</v>
      </c>
      <c r="U74" s="3">
        <f>Settings!$B$6</f>
        <v>100</v>
      </c>
    </row>
    <row r="75" spans="1:21" ht="18" customHeight="1" x14ac:dyDescent="0.3">
      <c r="A75" s="132">
        <f>A74+1</f>
        <v>46347</v>
      </c>
      <c r="B75" s="138"/>
      <c r="C75" s="126" t="str" cm="1">
        <f t="array" ref="C75">IF(B75="","",B75-IFERROR(LOOKUP(2,1/($B$6:B74&lt;&gt;""),$B$6:B74),Settings!$B$5))</f>
        <v/>
      </c>
      <c r="D75" s="127" t="str">
        <f>IF(B75="","",AVERAGE(B69:B75))</f>
        <v/>
      </c>
      <c r="E75" s="143"/>
      <c r="F75" s="144"/>
      <c r="G75" s="138"/>
      <c r="H75" s="143"/>
      <c r="I75" s="144"/>
      <c r="J75" s="145"/>
      <c r="K75" s="138"/>
      <c r="L75" s="146"/>
      <c r="M75" s="127" t="str">
        <f>IF(B75="","",B75/((Settings!$B$7)/100)^2)</f>
        <v/>
      </c>
      <c r="N75" s="25">
        <f>Settings!$B$6</f>
        <v>100</v>
      </c>
      <c r="O75" s="3" t="e">
        <f t="shared" si="6"/>
        <v>#N/A</v>
      </c>
      <c r="P75" s="3" t="e">
        <f t="shared" si="7"/>
        <v>#N/A</v>
      </c>
      <c r="Q75" s="3" t="e">
        <f t="shared" si="8"/>
        <v>#N/A</v>
      </c>
      <c r="R75" s="131">
        <f t="shared" si="9"/>
        <v>46347</v>
      </c>
      <c r="S75" s="3" t="e">
        <f t="shared" si="10"/>
        <v>#N/A</v>
      </c>
      <c r="T75" s="3" t="e">
        <f t="shared" si="11"/>
        <v>#N/A</v>
      </c>
      <c r="U75" s="3">
        <f>Settings!$B$6</f>
        <v>100</v>
      </c>
    </row>
    <row r="76" spans="1:21" ht="18" customHeight="1" x14ac:dyDescent="0.3">
      <c r="A76" s="124">
        <f>A75+1</f>
        <v>46348</v>
      </c>
      <c r="B76" s="137"/>
      <c r="C76" s="126" t="str" cm="1">
        <f t="array" ref="C76">IF(B76="","",B76-IFERROR(LOOKUP(2,1/($B$6:B75&lt;&gt;""),$B$6:B75),Settings!$B$5))</f>
        <v/>
      </c>
      <c r="D76" s="127" t="str">
        <f>IF(B76="","",AVERAGE(B70:B76))</f>
        <v/>
      </c>
      <c r="E76" s="139"/>
      <c r="F76" s="140"/>
      <c r="G76" s="137"/>
      <c r="H76" s="139"/>
      <c r="I76" s="140"/>
      <c r="J76" s="141"/>
      <c r="K76" s="137"/>
      <c r="L76" s="142"/>
      <c r="M76" s="127" t="str">
        <f>IF(B76="","",B76/((Settings!$B$7)/100)^2)</f>
        <v/>
      </c>
      <c r="N76" s="25">
        <f>Settings!$B$6</f>
        <v>100</v>
      </c>
      <c r="O76" s="3" t="e">
        <f t="shared" si="6"/>
        <v>#N/A</v>
      </c>
      <c r="P76" s="3" t="e">
        <f t="shared" si="7"/>
        <v>#N/A</v>
      </c>
      <c r="Q76" s="3" t="e">
        <f t="shared" si="8"/>
        <v>#N/A</v>
      </c>
      <c r="R76" s="131">
        <f t="shared" si="9"/>
        <v>46348</v>
      </c>
      <c r="S76" s="3" t="e">
        <f t="shared" si="10"/>
        <v>#N/A</v>
      </c>
      <c r="T76" s="3" t="e">
        <f t="shared" si="11"/>
        <v>#N/A</v>
      </c>
      <c r="U76" s="3">
        <f>Settings!$B$6</f>
        <v>100</v>
      </c>
    </row>
    <row r="77" spans="1:21" ht="18" customHeight="1" x14ac:dyDescent="0.3">
      <c r="A77" s="132">
        <f>A76+1</f>
        <v>46349</v>
      </c>
      <c r="B77" s="138"/>
      <c r="C77" s="126" t="str" cm="1">
        <f t="array" ref="C77">IF(B77="","",B77-IFERROR(LOOKUP(2,1/($B$6:B76&lt;&gt;""),$B$6:B76),Settings!$B$5))</f>
        <v/>
      </c>
      <c r="D77" s="127" t="str">
        <f>IF(B77="","",AVERAGE(B71:B77))</f>
        <v/>
      </c>
      <c r="E77" s="143"/>
      <c r="F77" s="144"/>
      <c r="G77" s="138"/>
      <c r="H77" s="143"/>
      <c r="I77" s="144"/>
      <c r="J77" s="145"/>
      <c r="K77" s="138"/>
      <c r="L77" s="146"/>
      <c r="M77" s="127" t="str">
        <f>IF(B77="","",B77/((Settings!$B$7)/100)^2)</f>
        <v/>
      </c>
      <c r="N77" s="25">
        <f>Settings!$B$6</f>
        <v>100</v>
      </c>
      <c r="O77" s="3" t="e">
        <f t="shared" si="6"/>
        <v>#N/A</v>
      </c>
      <c r="P77" s="3" t="e">
        <f t="shared" si="7"/>
        <v>#N/A</v>
      </c>
      <c r="Q77" s="3" t="e">
        <f t="shared" si="8"/>
        <v>#N/A</v>
      </c>
      <c r="R77" s="131">
        <f t="shared" si="9"/>
        <v>46349</v>
      </c>
      <c r="S77" s="3" t="e">
        <f t="shared" si="10"/>
        <v>#N/A</v>
      </c>
      <c r="T77" s="3" t="e">
        <f t="shared" si="11"/>
        <v>#N/A</v>
      </c>
      <c r="U77" s="3">
        <f>Settings!$B$6</f>
        <v>100</v>
      </c>
    </row>
    <row r="78" spans="1:21" ht="18" customHeight="1" x14ac:dyDescent="0.3">
      <c r="A78" s="124">
        <f>A77+1</f>
        <v>46350</v>
      </c>
      <c r="B78" s="137"/>
      <c r="C78" s="126" t="str" cm="1">
        <f t="array" ref="C78">IF(B78="","",B78-IFERROR(LOOKUP(2,1/($B$6:B77&lt;&gt;""),$B$6:B77),Settings!$B$5))</f>
        <v/>
      </c>
      <c r="D78" s="127" t="str">
        <f>IF(B78="","",AVERAGE(B72:B78))</f>
        <v/>
      </c>
      <c r="E78" s="139"/>
      <c r="F78" s="140"/>
      <c r="G78" s="137"/>
      <c r="H78" s="139"/>
      <c r="I78" s="140"/>
      <c r="J78" s="141"/>
      <c r="K78" s="137"/>
      <c r="L78" s="142"/>
      <c r="M78" s="127" t="str">
        <f>IF(B78="","",B78/((Settings!$B$7)/100)^2)</f>
        <v/>
      </c>
      <c r="N78" s="25">
        <f>Settings!$B$6</f>
        <v>100</v>
      </c>
      <c r="O78" s="3" t="e">
        <f t="shared" si="6"/>
        <v>#N/A</v>
      </c>
      <c r="P78" s="3" t="e">
        <f t="shared" si="7"/>
        <v>#N/A</v>
      </c>
      <c r="Q78" s="3" t="e">
        <f t="shared" si="8"/>
        <v>#N/A</v>
      </c>
      <c r="R78" s="131">
        <f t="shared" si="9"/>
        <v>46350</v>
      </c>
      <c r="S78" s="3" t="e">
        <f t="shared" si="10"/>
        <v>#N/A</v>
      </c>
      <c r="T78" s="3" t="e">
        <f t="shared" si="11"/>
        <v>#N/A</v>
      </c>
      <c r="U78" s="3">
        <f>Settings!$B$6</f>
        <v>100</v>
      </c>
    </row>
    <row r="79" spans="1:21" ht="18" customHeight="1" x14ac:dyDescent="0.3">
      <c r="A79" s="132">
        <f>A78+1</f>
        <v>46351</v>
      </c>
      <c r="B79" s="138"/>
      <c r="C79" s="126" t="str" cm="1">
        <f t="array" ref="C79">IF(B79="","",B79-IFERROR(LOOKUP(2,1/($B$6:B78&lt;&gt;""),$B$6:B78),Settings!$B$5))</f>
        <v/>
      </c>
      <c r="D79" s="127" t="str">
        <f>IF(B79="","",AVERAGE(B73:B79))</f>
        <v/>
      </c>
      <c r="E79" s="143"/>
      <c r="F79" s="144"/>
      <c r="G79" s="138"/>
      <c r="H79" s="143"/>
      <c r="I79" s="144"/>
      <c r="J79" s="145"/>
      <c r="K79" s="138"/>
      <c r="L79" s="146"/>
      <c r="M79" s="127" t="str">
        <f>IF(B79="","",B79/((Settings!$B$7)/100)^2)</f>
        <v/>
      </c>
      <c r="N79" s="25">
        <f>Settings!$B$6</f>
        <v>100</v>
      </c>
      <c r="O79" s="3" t="e">
        <f t="shared" si="6"/>
        <v>#N/A</v>
      </c>
      <c r="P79" s="3" t="e">
        <f t="shared" si="7"/>
        <v>#N/A</v>
      </c>
      <c r="Q79" s="3" t="e">
        <f t="shared" si="8"/>
        <v>#N/A</v>
      </c>
      <c r="R79" s="131">
        <f t="shared" si="9"/>
        <v>46351</v>
      </c>
      <c r="S79" s="3" t="e">
        <f t="shared" si="10"/>
        <v>#N/A</v>
      </c>
      <c r="T79" s="3" t="e">
        <f t="shared" si="11"/>
        <v>#N/A</v>
      </c>
      <c r="U79" s="3">
        <f>Settings!$B$6</f>
        <v>100</v>
      </c>
    </row>
    <row r="80" spans="1:21" ht="18" customHeight="1" x14ac:dyDescent="0.3">
      <c r="A80" s="124">
        <f>A79+1</f>
        <v>46352</v>
      </c>
      <c r="B80" s="137"/>
      <c r="C80" s="126" t="str" cm="1">
        <f t="array" ref="C80">IF(B80="","",B80-IFERROR(LOOKUP(2,1/($B$6:B79&lt;&gt;""),$B$6:B79),Settings!$B$5))</f>
        <v/>
      </c>
      <c r="D80" s="127" t="str">
        <f>IF(B80="","",AVERAGE(B74:B80))</f>
        <v/>
      </c>
      <c r="E80" s="139"/>
      <c r="F80" s="140"/>
      <c r="G80" s="137"/>
      <c r="H80" s="139"/>
      <c r="I80" s="140"/>
      <c r="J80" s="141"/>
      <c r="K80" s="137"/>
      <c r="L80" s="142"/>
      <c r="M80" s="127" t="str">
        <f>IF(B80="","",B80/((Settings!$B$7)/100)^2)</f>
        <v/>
      </c>
      <c r="N80" s="25">
        <f>Settings!$B$6</f>
        <v>100</v>
      </c>
      <c r="O80" s="3" t="e">
        <f t="shared" si="6"/>
        <v>#N/A</v>
      </c>
      <c r="P80" s="3" t="e">
        <f t="shared" si="7"/>
        <v>#N/A</v>
      </c>
      <c r="Q80" s="3" t="e">
        <f t="shared" si="8"/>
        <v>#N/A</v>
      </c>
      <c r="R80" s="131">
        <f t="shared" si="9"/>
        <v>46352</v>
      </c>
      <c r="S80" s="3" t="e">
        <f t="shared" si="10"/>
        <v>#N/A</v>
      </c>
      <c r="T80" s="3" t="e">
        <f t="shared" si="11"/>
        <v>#N/A</v>
      </c>
      <c r="U80" s="3">
        <f>Settings!$B$6</f>
        <v>100</v>
      </c>
    </row>
    <row r="81" spans="1:21" ht="18" customHeight="1" x14ac:dyDescent="0.3">
      <c r="A81" s="132">
        <f>A80+1</f>
        <v>46353</v>
      </c>
      <c r="B81" s="138"/>
      <c r="C81" s="126" t="str" cm="1">
        <f t="array" ref="C81">IF(B81="","",B81-IFERROR(LOOKUP(2,1/($B$6:B80&lt;&gt;""),$B$6:B80),Settings!$B$5))</f>
        <v/>
      </c>
      <c r="D81" s="127" t="str">
        <f>IF(B81="","",AVERAGE(B75:B81))</f>
        <v/>
      </c>
      <c r="E81" s="143"/>
      <c r="F81" s="144"/>
      <c r="G81" s="138"/>
      <c r="H81" s="143"/>
      <c r="I81" s="144"/>
      <c r="J81" s="145"/>
      <c r="K81" s="138"/>
      <c r="L81" s="146"/>
      <c r="M81" s="127" t="str">
        <f>IF(B81="","",B81/((Settings!$B$7)/100)^2)</f>
        <v/>
      </c>
      <c r="N81" s="25">
        <f>Settings!$B$6</f>
        <v>100</v>
      </c>
      <c r="O81" s="3" t="e">
        <f t="shared" si="6"/>
        <v>#N/A</v>
      </c>
      <c r="P81" s="3" t="e">
        <f t="shared" si="7"/>
        <v>#N/A</v>
      </c>
      <c r="Q81" s="3" t="e">
        <f t="shared" si="8"/>
        <v>#N/A</v>
      </c>
      <c r="R81" s="131">
        <f t="shared" si="9"/>
        <v>46353</v>
      </c>
      <c r="S81" s="3" t="e">
        <f t="shared" si="10"/>
        <v>#N/A</v>
      </c>
      <c r="T81" s="3" t="e">
        <f t="shared" si="11"/>
        <v>#N/A</v>
      </c>
      <c r="U81" s="3">
        <f>Settings!$B$6</f>
        <v>100</v>
      </c>
    </row>
    <row r="82" spans="1:21" ht="18" customHeight="1" x14ac:dyDescent="0.3">
      <c r="A82" s="124">
        <f>A81+1</f>
        <v>46354</v>
      </c>
      <c r="B82" s="137"/>
      <c r="C82" s="126" t="str" cm="1">
        <f t="array" ref="C82">IF(B82="","",B82-IFERROR(LOOKUP(2,1/($B$6:B81&lt;&gt;""),$B$6:B81),Settings!$B$5))</f>
        <v/>
      </c>
      <c r="D82" s="127" t="str">
        <f>IF(B82="","",AVERAGE(B76:B82))</f>
        <v/>
      </c>
      <c r="E82" s="139"/>
      <c r="F82" s="140"/>
      <c r="G82" s="137"/>
      <c r="H82" s="139"/>
      <c r="I82" s="140"/>
      <c r="J82" s="141"/>
      <c r="K82" s="137"/>
      <c r="L82" s="142"/>
      <c r="M82" s="127" t="str">
        <f>IF(B82="","",B82/((Settings!$B$7)/100)^2)</f>
        <v/>
      </c>
      <c r="N82" s="25">
        <f>Settings!$B$6</f>
        <v>100</v>
      </c>
      <c r="O82" s="3" t="e">
        <f t="shared" si="6"/>
        <v>#N/A</v>
      </c>
      <c r="P82" s="3" t="e">
        <f t="shared" si="7"/>
        <v>#N/A</v>
      </c>
      <c r="Q82" s="3" t="e">
        <f t="shared" si="8"/>
        <v>#N/A</v>
      </c>
      <c r="R82" s="131">
        <f t="shared" si="9"/>
        <v>46354</v>
      </c>
      <c r="S82" s="3" t="e">
        <f t="shared" si="10"/>
        <v>#N/A</v>
      </c>
      <c r="T82" s="3" t="e">
        <f t="shared" si="11"/>
        <v>#N/A</v>
      </c>
      <c r="U82" s="3">
        <f>Settings!$B$6</f>
        <v>100</v>
      </c>
    </row>
    <row r="83" spans="1:21" ht="18" customHeight="1" x14ac:dyDescent="0.3">
      <c r="A83" s="132">
        <f>A82+1</f>
        <v>46355</v>
      </c>
      <c r="B83" s="138"/>
      <c r="C83" s="126" t="str" cm="1">
        <f t="array" ref="C83">IF(B83="","",B83-IFERROR(LOOKUP(2,1/($B$6:B82&lt;&gt;""),$B$6:B82),Settings!$B$5))</f>
        <v/>
      </c>
      <c r="D83" s="127" t="str">
        <f>IF(B83="","",AVERAGE(B77:B83))</f>
        <v/>
      </c>
      <c r="E83" s="143"/>
      <c r="F83" s="144"/>
      <c r="G83" s="138"/>
      <c r="H83" s="143"/>
      <c r="I83" s="144"/>
      <c r="J83" s="145"/>
      <c r="K83" s="138"/>
      <c r="L83" s="146"/>
      <c r="M83" s="127" t="str">
        <f>IF(B83="","",B83/((Settings!$B$7)/100)^2)</f>
        <v/>
      </c>
      <c r="N83" s="25">
        <f>Settings!$B$6</f>
        <v>100</v>
      </c>
      <c r="O83" s="3" t="e">
        <f t="shared" si="6"/>
        <v>#N/A</v>
      </c>
      <c r="P83" s="3" t="e">
        <f t="shared" si="7"/>
        <v>#N/A</v>
      </c>
      <c r="Q83" s="3" t="e">
        <f t="shared" si="8"/>
        <v>#N/A</v>
      </c>
      <c r="R83" s="131">
        <f t="shared" si="9"/>
        <v>46355</v>
      </c>
      <c r="S83" s="3" t="e">
        <f t="shared" si="10"/>
        <v>#N/A</v>
      </c>
      <c r="T83" s="3" t="e">
        <f t="shared" si="11"/>
        <v>#N/A</v>
      </c>
      <c r="U83" s="3">
        <f>Settings!$B$6</f>
        <v>100</v>
      </c>
    </row>
    <row r="84" spans="1:21" ht="18" customHeight="1" x14ac:dyDescent="0.3">
      <c r="A84" s="124">
        <f>A83+1</f>
        <v>46356</v>
      </c>
      <c r="B84" s="137"/>
      <c r="C84" s="126" t="str" cm="1">
        <f t="array" ref="C84">IF(B84="","",B84-IFERROR(LOOKUP(2,1/($B$6:B83&lt;&gt;""),$B$6:B83),Settings!$B$5))</f>
        <v/>
      </c>
      <c r="D84" s="127" t="str">
        <f>IF(B84="","",AVERAGE(B78:B84))</f>
        <v/>
      </c>
      <c r="E84" s="139"/>
      <c r="F84" s="140"/>
      <c r="G84" s="137"/>
      <c r="H84" s="139"/>
      <c r="I84" s="140"/>
      <c r="J84" s="141"/>
      <c r="K84" s="137"/>
      <c r="L84" s="142"/>
      <c r="M84" s="127" t="str">
        <f>IF(B84="","",B84/((Settings!$B$7)/100)^2)</f>
        <v/>
      </c>
      <c r="N84" s="25">
        <f>Settings!$B$6</f>
        <v>100</v>
      </c>
      <c r="O84" s="3" t="e">
        <f t="shared" si="6"/>
        <v>#N/A</v>
      </c>
      <c r="P84" s="3" t="e">
        <f t="shared" si="7"/>
        <v>#N/A</v>
      </c>
      <c r="Q84" s="3" t="e">
        <f t="shared" si="8"/>
        <v>#N/A</v>
      </c>
      <c r="R84" s="131">
        <f t="shared" si="9"/>
        <v>46356</v>
      </c>
      <c r="S84" s="3" t="e">
        <f t="shared" si="10"/>
        <v>#N/A</v>
      </c>
      <c r="T84" s="3" t="e">
        <f t="shared" si="11"/>
        <v>#N/A</v>
      </c>
      <c r="U84" s="3">
        <f>Settings!$B$6</f>
        <v>100</v>
      </c>
    </row>
    <row r="85" spans="1:21" ht="18" customHeight="1" x14ac:dyDescent="0.3">
      <c r="A85" s="132">
        <f>A84+1</f>
        <v>46357</v>
      </c>
      <c r="B85" s="138"/>
      <c r="C85" s="126" t="str" cm="1">
        <f t="array" ref="C85">IF(B85="","",B85-IFERROR(LOOKUP(2,1/($B$6:B84&lt;&gt;""),$B$6:B84),Settings!$B$5))</f>
        <v/>
      </c>
      <c r="D85" s="127" t="str">
        <f>IF(B85="","",AVERAGE(B79:B85))</f>
        <v/>
      </c>
      <c r="E85" s="143"/>
      <c r="F85" s="144"/>
      <c r="G85" s="138"/>
      <c r="H85" s="143"/>
      <c r="I85" s="144"/>
      <c r="J85" s="145"/>
      <c r="K85" s="138"/>
      <c r="L85" s="146"/>
      <c r="M85" s="127" t="str">
        <f>IF(B85="","",B85/((Settings!$B$7)/100)^2)</f>
        <v/>
      </c>
      <c r="N85" s="25">
        <f>Settings!$B$6</f>
        <v>100</v>
      </c>
      <c r="O85" s="3" t="e">
        <f t="shared" si="6"/>
        <v>#N/A</v>
      </c>
      <c r="P85" s="3" t="e">
        <f t="shared" si="7"/>
        <v>#N/A</v>
      </c>
      <c r="Q85" s="3" t="e">
        <f t="shared" si="8"/>
        <v>#N/A</v>
      </c>
      <c r="R85" s="131">
        <f t="shared" si="9"/>
        <v>46357</v>
      </c>
      <c r="S85" s="3" t="e">
        <f t="shared" si="10"/>
        <v>#N/A</v>
      </c>
      <c r="T85" s="3" t="e">
        <f t="shared" si="11"/>
        <v>#N/A</v>
      </c>
      <c r="U85" s="3">
        <f>Settings!$B$6</f>
        <v>100</v>
      </c>
    </row>
    <row r="86" spans="1:21" ht="18" customHeight="1" x14ac:dyDescent="0.3">
      <c r="A86" s="124">
        <f>A85+1</f>
        <v>46358</v>
      </c>
      <c r="B86" s="137"/>
      <c r="C86" s="126" t="str" cm="1">
        <f t="array" ref="C86">IF(B86="","",B86-IFERROR(LOOKUP(2,1/($B$6:B85&lt;&gt;""),$B$6:B85),Settings!$B$5))</f>
        <v/>
      </c>
      <c r="D86" s="127" t="str">
        <f>IF(B86="","",AVERAGE(B80:B86))</f>
        <v/>
      </c>
      <c r="E86" s="139"/>
      <c r="F86" s="140"/>
      <c r="G86" s="137"/>
      <c r="H86" s="139"/>
      <c r="I86" s="140"/>
      <c r="J86" s="141"/>
      <c r="K86" s="137"/>
      <c r="L86" s="142"/>
      <c r="M86" s="127" t="str">
        <f>IF(B86="","",B86/((Settings!$B$7)/100)^2)</f>
        <v/>
      </c>
      <c r="N86" s="25">
        <f>Settings!$B$6</f>
        <v>100</v>
      </c>
      <c r="O86" s="3" t="e">
        <f t="shared" si="6"/>
        <v>#N/A</v>
      </c>
      <c r="P86" s="3" t="e">
        <f t="shared" si="7"/>
        <v>#N/A</v>
      </c>
      <c r="Q86" s="3" t="e">
        <f t="shared" si="8"/>
        <v>#N/A</v>
      </c>
      <c r="R86" s="131">
        <f t="shared" si="9"/>
        <v>46358</v>
      </c>
      <c r="S86" s="3" t="e">
        <f t="shared" si="10"/>
        <v>#N/A</v>
      </c>
      <c r="T86" s="3" t="e">
        <f t="shared" si="11"/>
        <v>#N/A</v>
      </c>
      <c r="U86" s="3">
        <f>Settings!$B$6</f>
        <v>100</v>
      </c>
    </row>
    <row r="87" spans="1:21" ht="18" customHeight="1" x14ac:dyDescent="0.3">
      <c r="A87" s="132">
        <f>A86+1</f>
        <v>46359</v>
      </c>
      <c r="B87" s="138"/>
      <c r="C87" s="126" t="str" cm="1">
        <f t="array" ref="C87">IF(B87="","",B87-IFERROR(LOOKUP(2,1/($B$6:B86&lt;&gt;""),$B$6:B86),Settings!$B$5))</f>
        <v/>
      </c>
      <c r="D87" s="127" t="str">
        <f>IF(B87="","",AVERAGE(B81:B87))</f>
        <v/>
      </c>
      <c r="E87" s="143"/>
      <c r="F87" s="144"/>
      <c r="G87" s="138"/>
      <c r="H87" s="143"/>
      <c r="I87" s="144"/>
      <c r="J87" s="145"/>
      <c r="K87" s="138"/>
      <c r="L87" s="146"/>
      <c r="M87" s="127" t="str">
        <f>IF(B87="","",B87/((Settings!$B$7)/100)^2)</f>
        <v/>
      </c>
      <c r="N87" s="25">
        <f>Settings!$B$6</f>
        <v>100</v>
      </c>
      <c r="O87" s="3" t="e">
        <f t="shared" si="6"/>
        <v>#N/A</v>
      </c>
      <c r="P87" s="3" t="e">
        <f t="shared" si="7"/>
        <v>#N/A</v>
      </c>
      <c r="Q87" s="3" t="e">
        <f t="shared" si="8"/>
        <v>#N/A</v>
      </c>
      <c r="R87" s="131">
        <f t="shared" si="9"/>
        <v>46359</v>
      </c>
      <c r="S87" s="3" t="e">
        <f t="shared" si="10"/>
        <v>#N/A</v>
      </c>
      <c r="T87" s="3" t="e">
        <f t="shared" si="11"/>
        <v>#N/A</v>
      </c>
      <c r="U87" s="3">
        <f>Settings!$B$6</f>
        <v>100</v>
      </c>
    </row>
    <row r="88" spans="1:21" ht="18" customHeight="1" x14ac:dyDescent="0.3">
      <c r="A88" s="124">
        <f>A87+1</f>
        <v>46360</v>
      </c>
      <c r="B88" s="137"/>
      <c r="C88" s="126" t="str" cm="1">
        <f t="array" ref="C88">IF(B88="","",B88-IFERROR(LOOKUP(2,1/($B$6:B87&lt;&gt;""),$B$6:B87),Settings!$B$5))</f>
        <v/>
      </c>
      <c r="D88" s="127" t="str">
        <f>IF(B88="","",AVERAGE(B82:B88))</f>
        <v/>
      </c>
      <c r="E88" s="139"/>
      <c r="F88" s="140"/>
      <c r="G88" s="137"/>
      <c r="H88" s="139"/>
      <c r="I88" s="140"/>
      <c r="J88" s="141"/>
      <c r="K88" s="137"/>
      <c r="L88" s="142"/>
      <c r="M88" s="127" t="str">
        <f>IF(B88="","",B88/((Settings!$B$7)/100)^2)</f>
        <v/>
      </c>
      <c r="N88" s="25">
        <f>Settings!$B$6</f>
        <v>100</v>
      </c>
      <c r="O88" s="3" t="e">
        <f t="shared" si="6"/>
        <v>#N/A</v>
      </c>
      <c r="P88" s="3" t="e">
        <f t="shared" si="7"/>
        <v>#N/A</v>
      </c>
      <c r="Q88" s="3" t="e">
        <f t="shared" si="8"/>
        <v>#N/A</v>
      </c>
      <c r="R88" s="131">
        <f t="shared" si="9"/>
        <v>46360</v>
      </c>
      <c r="S88" s="3" t="e">
        <f t="shared" si="10"/>
        <v>#N/A</v>
      </c>
      <c r="T88" s="3" t="e">
        <f t="shared" si="11"/>
        <v>#N/A</v>
      </c>
      <c r="U88" s="3">
        <f>Settings!$B$6</f>
        <v>100</v>
      </c>
    </row>
    <row r="89" spans="1:21" ht="18" customHeight="1" x14ac:dyDescent="0.3">
      <c r="A89" s="132">
        <f>A88+1</f>
        <v>46361</v>
      </c>
      <c r="B89" s="138"/>
      <c r="C89" s="126" t="str" cm="1">
        <f t="array" ref="C89">IF(B89="","",B89-IFERROR(LOOKUP(2,1/($B$6:B88&lt;&gt;""),$B$6:B88),Settings!$B$5))</f>
        <v/>
      </c>
      <c r="D89" s="127" t="str">
        <f>IF(B89="","",AVERAGE(B83:B89))</f>
        <v/>
      </c>
      <c r="E89" s="143"/>
      <c r="F89" s="144"/>
      <c r="G89" s="138"/>
      <c r="H89" s="143"/>
      <c r="I89" s="144"/>
      <c r="J89" s="145"/>
      <c r="K89" s="138"/>
      <c r="L89" s="146"/>
      <c r="M89" s="127" t="str">
        <f>IF(B89="","",B89/((Settings!$B$7)/100)^2)</f>
        <v/>
      </c>
      <c r="N89" s="25">
        <f>Settings!$B$6</f>
        <v>100</v>
      </c>
      <c r="O89" s="3" t="e">
        <f t="shared" si="6"/>
        <v>#N/A</v>
      </c>
      <c r="P89" s="3" t="e">
        <f t="shared" si="7"/>
        <v>#N/A</v>
      </c>
      <c r="Q89" s="3" t="e">
        <f t="shared" si="8"/>
        <v>#N/A</v>
      </c>
      <c r="R89" s="131">
        <f t="shared" si="9"/>
        <v>46361</v>
      </c>
      <c r="S89" s="3" t="e">
        <f t="shared" si="10"/>
        <v>#N/A</v>
      </c>
      <c r="T89" s="3" t="e">
        <f t="shared" si="11"/>
        <v>#N/A</v>
      </c>
      <c r="U89" s="3">
        <f>Settings!$B$6</f>
        <v>100</v>
      </c>
    </row>
    <row r="90" spans="1:21" ht="18" customHeight="1" x14ac:dyDescent="0.3">
      <c r="A90" s="124">
        <f>A89+1</f>
        <v>46362</v>
      </c>
      <c r="B90" s="137"/>
      <c r="C90" s="126" t="str" cm="1">
        <f t="array" ref="C90">IF(B90="","",B90-IFERROR(LOOKUP(2,1/($B$6:B89&lt;&gt;""),$B$6:B89),Settings!$B$5))</f>
        <v/>
      </c>
      <c r="D90" s="127" t="str">
        <f>IF(B90="","",AVERAGE(B84:B90))</f>
        <v/>
      </c>
      <c r="E90" s="139"/>
      <c r="F90" s="140"/>
      <c r="G90" s="137"/>
      <c r="H90" s="139"/>
      <c r="I90" s="140"/>
      <c r="J90" s="141"/>
      <c r="K90" s="137"/>
      <c r="L90" s="142"/>
      <c r="M90" s="127" t="str">
        <f>IF(B90="","",B90/((Settings!$B$7)/100)^2)</f>
        <v/>
      </c>
      <c r="N90" s="25">
        <f>Settings!$B$6</f>
        <v>100</v>
      </c>
      <c r="O90" s="3" t="e">
        <f t="shared" si="6"/>
        <v>#N/A</v>
      </c>
      <c r="P90" s="3" t="e">
        <f t="shared" si="7"/>
        <v>#N/A</v>
      </c>
      <c r="Q90" s="3" t="e">
        <f t="shared" si="8"/>
        <v>#N/A</v>
      </c>
      <c r="R90" s="131">
        <f t="shared" si="9"/>
        <v>46362</v>
      </c>
      <c r="S90" s="3" t="e">
        <f t="shared" si="10"/>
        <v>#N/A</v>
      </c>
      <c r="T90" s="3" t="e">
        <f t="shared" si="11"/>
        <v>#N/A</v>
      </c>
      <c r="U90" s="3">
        <f>Settings!$B$6</f>
        <v>100</v>
      </c>
    </row>
    <row r="91" spans="1:21" ht="18" customHeight="1" x14ac:dyDescent="0.3">
      <c r="A91" s="132">
        <f>A90+1</f>
        <v>46363</v>
      </c>
      <c r="B91" s="138"/>
      <c r="C91" s="126" t="str" cm="1">
        <f t="array" ref="C91">IF(B91="","",B91-IFERROR(LOOKUP(2,1/($B$6:B90&lt;&gt;""),$B$6:B90),Settings!$B$5))</f>
        <v/>
      </c>
      <c r="D91" s="127" t="str">
        <f>IF(B91="","",AVERAGE(B85:B91))</f>
        <v/>
      </c>
      <c r="E91" s="143"/>
      <c r="F91" s="144"/>
      <c r="G91" s="138"/>
      <c r="H91" s="143"/>
      <c r="I91" s="144"/>
      <c r="J91" s="145"/>
      <c r="K91" s="138"/>
      <c r="L91" s="146"/>
      <c r="M91" s="127" t="str">
        <f>IF(B91="","",B91/((Settings!$B$7)/100)^2)</f>
        <v/>
      </c>
      <c r="N91" s="25">
        <f>Settings!$B$6</f>
        <v>100</v>
      </c>
      <c r="O91" s="3" t="e">
        <f t="shared" si="6"/>
        <v>#N/A</v>
      </c>
      <c r="P91" s="3" t="e">
        <f t="shared" si="7"/>
        <v>#N/A</v>
      </c>
      <c r="Q91" s="3" t="e">
        <f t="shared" si="8"/>
        <v>#N/A</v>
      </c>
      <c r="R91" s="131">
        <f t="shared" si="9"/>
        <v>46363</v>
      </c>
      <c r="S91" s="3" t="e">
        <f t="shared" si="10"/>
        <v>#N/A</v>
      </c>
      <c r="T91" s="3" t="e">
        <f t="shared" si="11"/>
        <v>#N/A</v>
      </c>
      <c r="U91" s="3">
        <f>Settings!$B$6</f>
        <v>100</v>
      </c>
    </row>
    <row r="92" spans="1:21" ht="18" customHeight="1" x14ac:dyDescent="0.3">
      <c r="A92" s="124">
        <f>A91+1</f>
        <v>46364</v>
      </c>
      <c r="B92" s="137"/>
      <c r="C92" s="126" t="str" cm="1">
        <f t="array" ref="C92">IF(B92="","",B92-IFERROR(LOOKUP(2,1/($B$6:B91&lt;&gt;""),$B$6:B91),Settings!$B$5))</f>
        <v/>
      </c>
      <c r="D92" s="127" t="str">
        <f>IF(B92="","",AVERAGE(B86:B92))</f>
        <v/>
      </c>
      <c r="E92" s="139"/>
      <c r="F92" s="140"/>
      <c r="G92" s="137"/>
      <c r="H92" s="139"/>
      <c r="I92" s="140"/>
      <c r="J92" s="141"/>
      <c r="K92" s="137"/>
      <c r="L92" s="142"/>
      <c r="M92" s="127" t="str">
        <f>IF(B92="","",B92/((Settings!$B$7)/100)^2)</f>
        <v/>
      </c>
      <c r="N92" s="25">
        <f>Settings!$B$6</f>
        <v>100</v>
      </c>
      <c r="O92" s="3" t="e">
        <f t="shared" si="6"/>
        <v>#N/A</v>
      </c>
      <c r="P92" s="3" t="e">
        <f t="shared" si="7"/>
        <v>#N/A</v>
      </c>
      <c r="Q92" s="3" t="e">
        <f t="shared" si="8"/>
        <v>#N/A</v>
      </c>
      <c r="R92" s="131">
        <f t="shared" si="9"/>
        <v>46364</v>
      </c>
      <c r="S92" s="3" t="e">
        <f t="shared" si="10"/>
        <v>#N/A</v>
      </c>
      <c r="T92" s="3" t="e">
        <f t="shared" si="11"/>
        <v>#N/A</v>
      </c>
      <c r="U92" s="3">
        <f>Settings!$B$6</f>
        <v>100</v>
      </c>
    </row>
    <row r="93" spans="1:21" ht="18" customHeight="1" x14ac:dyDescent="0.3">
      <c r="A93" s="132">
        <f>A92+1</f>
        <v>46365</v>
      </c>
      <c r="B93" s="138"/>
      <c r="C93" s="126" t="str" cm="1">
        <f t="array" ref="C93">IF(B93="","",B93-IFERROR(LOOKUP(2,1/($B$6:B92&lt;&gt;""),$B$6:B92),Settings!$B$5))</f>
        <v/>
      </c>
      <c r="D93" s="127" t="str">
        <f>IF(B93="","",AVERAGE(B87:B93))</f>
        <v/>
      </c>
      <c r="E93" s="143"/>
      <c r="F93" s="144"/>
      <c r="G93" s="138"/>
      <c r="H93" s="143"/>
      <c r="I93" s="144"/>
      <c r="J93" s="145"/>
      <c r="K93" s="138"/>
      <c r="L93" s="146"/>
      <c r="M93" s="127" t="str">
        <f>IF(B93="","",B93/((Settings!$B$7)/100)^2)</f>
        <v/>
      </c>
      <c r="N93" s="25">
        <f>Settings!$B$6</f>
        <v>100</v>
      </c>
      <c r="O93" s="3" t="e">
        <f t="shared" si="6"/>
        <v>#N/A</v>
      </c>
      <c r="P93" s="3" t="e">
        <f t="shared" si="7"/>
        <v>#N/A</v>
      </c>
      <c r="Q93" s="3" t="e">
        <f t="shared" si="8"/>
        <v>#N/A</v>
      </c>
      <c r="R93" s="131">
        <f t="shared" si="9"/>
        <v>46365</v>
      </c>
      <c r="S93" s="3" t="e">
        <f t="shared" si="10"/>
        <v>#N/A</v>
      </c>
      <c r="T93" s="3" t="e">
        <f t="shared" si="11"/>
        <v>#N/A</v>
      </c>
      <c r="U93" s="3">
        <f>Settings!$B$6</f>
        <v>100</v>
      </c>
    </row>
    <row r="94" spans="1:21" ht="18" customHeight="1" x14ac:dyDescent="0.3">
      <c r="A94" s="124">
        <f>A93+1</f>
        <v>46366</v>
      </c>
      <c r="B94" s="137"/>
      <c r="C94" s="126" t="str" cm="1">
        <f t="array" ref="C94">IF(B94="","",B94-IFERROR(LOOKUP(2,1/($B$6:B93&lt;&gt;""),$B$6:B93),Settings!$B$5))</f>
        <v/>
      </c>
      <c r="D94" s="127" t="str">
        <f>IF(B94="","",AVERAGE(B88:B94))</f>
        <v/>
      </c>
      <c r="E94" s="139"/>
      <c r="F94" s="140"/>
      <c r="G94" s="137"/>
      <c r="H94" s="139"/>
      <c r="I94" s="140"/>
      <c r="J94" s="141"/>
      <c r="K94" s="137"/>
      <c r="L94" s="142"/>
      <c r="M94" s="127" t="str">
        <f>IF(B94="","",B94/((Settings!$B$7)/100)^2)</f>
        <v/>
      </c>
      <c r="N94" s="25">
        <f>Settings!$B$6</f>
        <v>100</v>
      </c>
      <c r="O94" s="3" t="e">
        <f t="shared" si="6"/>
        <v>#N/A</v>
      </c>
      <c r="P94" s="3" t="e">
        <f t="shared" si="7"/>
        <v>#N/A</v>
      </c>
      <c r="Q94" s="3" t="e">
        <f t="shared" si="8"/>
        <v>#N/A</v>
      </c>
      <c r="R94" s="131">
        <f t="shared" si="9"/>
        <v>46366</v>
      </c>
      <c r="S94" s="3" t="e">
        <f t="shared" si="10"/>
        <v>#N/A</v>
      </c>
      <c r="T94" s="3" t="e">
        <f t="shared" si="11"/>
        <v>#N/A</v>
      </c>
      <c r="U94" s="3">
        <f>Settings!$B$6</f>
        <v>100</v>
      </c>
    </row>
    <row r="95" spans="1:21" ht="18" customHeight="1" x14ac:dyDescent="0.3">
      <c r="A95" s="132">
        <f>A94+1</f>
        <v>46367</v>
      </c>
      <c r="B95" s="138"/>
      <c r="C95" s="126" t="str" cm="1">
        <f t="array" ref="C95">IF(B95="","",B95-IFERROR(LOOKUP(2,1/($B$6:B94&lt;&gt;""),$B$6:B94),Settings!$B$5))</f>
        <v/>
      </c>
      <c r="D95" s="127" t="str">
        <f>IF(B95="","",AVERAGE(B89:B95))</f>
        <v/>
      </c>
      <c r="E95" s="143"/>
      <c r="F95" s="144"/>
      <c r="G95" s="138"/>
      <c r="H95" s="143"/>
      <c r="I95" s="144"/>
      <c r="J95" s="145"/>
      <c r="K95" s="138"/>
      <c r="L95" s="146"/>
      <c r="M95" s="127" t="str">
        <f>IF(B95="","",B95/((Settings!$B$7)/100)^2)</f>
        <v/>
      </c>
      <c r="N95" s="25">
        <f>Settings!$B$6</f>
        <v>100</v>
      </c>
      <c r="O95" s="3" t="e">
        <f t="shared" si="6"/>
        <v>#N/A</v>
      </c>
      <c r="P95" s="3" t="e">
        <f t="shared" si="7"/>
        <v>#N/A</v>
      </c>
      <c r="Q95" s="3" t="e">
        <f t="shared" si="8"/>
        <v>#N/A</v>
      </c>
      <c r="R95" s="131">
        <f t="shared" si="9"/>
        <v>46367</v>
      </c>
      <c r="S95" s="3" t="e">
        <f t="shared" si="10"/>
        <v>#N/A</v>
      </c>
      <c r="T95" s="3" t="e">
        <f t="shared" si="11"/>
        <v>#N/A</v>
      </c>
      <c r="U95" s="3">
        <f>Settings!$B$6</f>
        <v>100</v>
      </c>
    </row>
    <row r="96" spans="1:21" ht="18" customHeight="1" x14ac:dyDescent="0.3">
      <c r="A96" s="124">
        <f>A95+1</f>
        <v>46368</v>
      </c>
      <c r="B96" s="137"/>
      <c r="C96" s="126" t="str" cm="1">
        <f t="array" ref="C96">IF(B96="","",B96-IFERROR(LOOKUP(2,1/($B$6:B95&lt;&gt;""),$B$6:B95),Settings!$B$5))</f>
        <v/>
      </c>
      <c r="D96" s="127" t="str">
        <f>IF(B96="","",AVERAGE(B90:B96))</f>
        <v/>
      </c>
      <c r="E96" s="139"/>
      <c r="F96" s="140"/>
      <c r="G96" s="137"/>
      <c r="H96" s="139"/>
      <c r="I96" s="140"/>
      <c r="J96" s="141"/>
      <c r="K96" s="137"/>
      <c r="L96" s="142"/>
      <c r="M96" s="127" t="str">
        <f>IF(B96="","",B96/((Settings!$B$7)/100)^2)</f>
        <v/>
      </c>
      <c r="N96" s="25">
        <f>Settings!$B$6</f>
        <v>100</v>
      </c>
      <c r="O96" s="3" t="e">
        <f t="shared" si="6"/>
        <v>#N/A</v>
      </c>
      <c r="P96" s="3" t="e">
        <f t="shared" si="7"/>
        <v>#N/A</v>
      </c>
      <c r="Q96" s="3" t="e">
        <f t="shared" si="8"/>
        <v>#N/A</v>
      </c>
      <c r="R96" s="131">
        <f t="shared" si="9"/>
        <v>46368</v>
      </c>
      <c r="S96" s="3" t="e">
        <f t="shared" si="10"/>
        <v>#N/A</v>
      </c>
      <c r="T96" s="3" t="e">
        <f t="shared" si="11"/>
        <v>#N/A</v>
      </c>
      <c r="U96" s="3">
        <f>Settings!$B$6</f>
        <v>100</v>
      </c>
    </row>
    <row r="97" spans="1:21" ht="18" customHeight="1" x14ac:dyDescent="0.3">
      <c r="A97" s="132">
        <f>A96+1</f>
        <v>46369</v>
      </c>
      <c r="B97" s="138"/>
      <c r="C97" s="126" t="str" cm="1">
        <f t="array" ref="C97">IF(B97="","",B97-IFERROR(LOOKUP(2,1/($B$6:B96&lt;&gt;""),$B$6:B96),Settings!$B$5))</f>
        <v/>
      </c>
      <c r="D97" s="127" t="str">
        <f>IF(B97="","",AVERAGE(B91:B97))</f>
        <v/>
      </c>
      <c r="E97" s="143"/>
      <c r="F97" s="144"/>
      <c r="G97" s="138"/>
      <c r="H97" s="143"/>
      <c r="I97" s="144"/>
      <c r="J97" s="145"/>
      <c r="K97" s="138"/>
      <c r="L97" s="146"/>
      <c r="M97" s="127" t="str">
        <f>IF(B97="","",B97/((Settings!$B$7)/100)^2)</f>
        <v/>
      </c>
      <c r="N97" s="25">
        <f>Settings!$B$6</f>
        <v>100</v>
      </c>
      <c r="O97" s="3" t="e">
        <f t="shared" si="6"/>
        <v>#N/A</v>
      </c>
      <c r="P97" s="3" t="e">
        <f t="shared" si="7"/>
        <v>#N/A</v>
      </c>
      <c r="Q97" s="3" t="e">
        <f t="shared" si="8"/>
        <v>#N/A</v>
      </c>
      <c r="R97" s="131">
        <f t="shared" si="9"/>
        <v>46369</v>
      </c>
      <c r="S97" s="3" t="e">
        <f t="shared" si="10"/>
        <v>#N/A</v>
      </c>
      <c r="T97" s="3" t="e">
        <f t="shared" si="11"/>
        <v>#N/A</v>
      </c>
      <c r="U97" s="3">
        <f>Settings!$B$6</f>
        <v>100</v>
      </c>
    </row>
    <row r="98" spans="1:21" ht="18" customHeight="1" x14ac:dyDescent="0.3">
      <c r="A98" s="124">
        <f>A97+1</f>
        <v>46370</v>
      </c>
      <c r="B98" s="137"/>
      <c r="C98" s="126" t="str" cm="1">
        <f t="array" ref="C98">IF(B98="","",B98-IFERROR(LOOKUP(2,1/($B$6:B97&lt;&gt;""),$B$6:B97),Settings!$B$5))</f>
        <v/>
      </c>
      <c r="D98" s="127" t="str">
        <f>IF(B98="","",AVERAGE(B92:B98))</f>
        <v/>
      </c>
      <c r="E98" s="139"/>
      <c r="F98" s="140"/>
      <c r="G98" s="137"/>
      <c r="H98" s="139"/>
      <c r="I98" s="140"/>
      <c r="J98" s="141"/>
      <c r="K98" s="137"/>
      <c r="L98" s="142"/>
      <c r="M98" s="127" t="str">
        <f>IF(B98="","",B98/((Settings!$B$7)/100)^2)</f>
        <v/>
      </c>
      <c r="N98" s="25">
        <f>Settings!$B$6</f>
        <v>100</v>
      </c>
      <c r="O98" s="3" t="e">
        <f t="shared" si="6"/>
        <v>#N/A</v>
      </c>
      <c r="P98" s="3" t="e">
        <f t="shared" si="7"/>
        <v>#N/A</v>
      </c>
      <c r="Q98" s="3" t="e">
        <f t="shared" si="8"/>
        <v>#N/A</v>
      </c>
      <c r="R98" s="131">
        <f t="shared" si="9"/>
        <v>46370</v>
      </c>
      <c r="S98" s="3" t="e">
        <f t="shared" si="10"/>
        <v>#N/A</v>
      </c>
      <c r="T98" s="3" t="e">
        <f t="shared" si="11"/>
        <v>#N/A</v>
      </c>
      <c r="U98" s="3">
        <f>Settings!$B$6</f>
        <v>100</v>
      </c>
    </row>
    <row r="99" spans="1:21" ht="18" customHeight="1" x14ac:dyDescent="0.3">
      <c r="A99" s="132">
        <f>A98+1</f>
        <v>46371</v>
      </c>
      <c r="B99" s="138"/>
      <c r="C99" s="126" t="str" cm="1">
        <f t="array" ref="C99">IF(B99="","",B99-IFERROR(LOOKUP(2,1/($B$6:B98&lt;&gt;""),$B$6:B98),Settings!$B$5))</f>
        <v/>
      </c>
      <c r="D99" s="127" t="str">
        <f>IF(B99="","",AVERAGE(B93:B99))</f>
        <v/>
      </c>
      <c r="E99" s="143"/>
      <c r="F99" s="144"/>
      <c r="G99" s="138"/>
      <c r="H99" s="143"/>
      <c r="I99" s="144"/>
      <c r="J99" s="145"/>
      <c r="K99" s="138"/>
      <c r="L99" s="146"/>
      <c r="M99" s="127" t="str">
        <f>IF(B99="","",B99/((Settings!$B$7)/100)^2)</f>
        <v/>
      </c>
      <c r="N99" s="25">
        <f>Settings!$B$6</f>
        <v>100</v>
      </c>
      <c r="O99" s="3" t="e">
        <f t="shared" si="6"/>
        <v>#N/A</v>
      </c>
      <c r="P99" s="3" t="e">
        <f t="shared" si="7"/>
        <v>#N/A</v>
      </c>
      <c r="Q99" s="3" t="e">
        <f t="shared" si="8"/>
        <v>#N/A</v>
      </c>
      <c r="R99" s="131">
        <f t="shared" si="9"/>
        <v>46371</v>
      </c>
      <c r="S99" s="3" t="e">
        <f t="shared" si="10"/>
        <v>#N/A</v>
      </c>
      <c r="T99" s="3" t="e">
        <f t="shared" si="11"/>
        <v>#N/A</v>
      </c>
      <c r="U99" s="3">
        <f>Settings!$B$6</f>
        <v>100</v>
      </c>
    </row>
    <row r="100" spans="1:21" ht="18" customHeight="1" x14ac:dyDescent="0.3">
      <c r="A100" s="124">
        <f>A99+1</f>
        <v>46372</v>
      </c>
      <c r="B100" s="137"/>
      <c r="C100" s="126" t="str" cm="1">
        <f t="array" ref="C100">IF(B100="","",B100-IFERROR(LOOKUP(2,1/($B$6:B99&lt;&gt;""),$B$6:B99),Settings!$B$5))</f>
        <v/>
      </c>
      <c r="D100" s="127" t="str">
        <f>IF(B100="","",AVERAGE(B94:B100))</f>
        <v/>
      </c>
      <c r="E100" s="139"/>
      <c r="F100" s="140"/>
      <c r="G100" s="137"/>
      <c r="H100" s="139"/>
      <c r="I100" s="140"/>
      <c r="J100" s="141"/>
      <c r="K100" s="137"/>
      <c r="L100" s="142"/>
      <c r="M100" s="127" t="str">
        <f>IF(B100="","",B100/((Settings!$B$7)/100)^2)</f>
        <v/>
      </c>
      <c r="N100" s="25">
        <f>Settings!$B$6</f>
        <v>100</v>
      </c>
      <c r="O100" s="3" t="e">
        <f t="shared" si="6"/>
        <v>#N/A</v>
      </c>
      <c r="P100" s="3" t="e">
        <f t="shared" si="7"/>
        <v>#N/A</v>
      </c>
      <c r="Q100" s="3" t="e">
        <f t="shared" si="8"/>
        <v>#N/A</v>
      </c>
      <c r="R100" s="131">
        <f t="shared" si="9"/>
        <v>46372</v>
      </c>
      <c r="S100" s="3" t="e">
        <f t="shared" si="10"/>
        <v>#N/A</v>
      </c>
      <c r="T100" s="3" t="e">
        <f t="shared" si="11"/>
        <v>#N/A</v>
      </c>
      <c r="U100" s="3">
        <f>Settings!$B$6</f>
        <v>100</v>
      </c>
    </row>
    <row r="101" spans="1:21" ht="18" customHeight="1" x14ac:dyDescent="0.3">
      <c r="A101" s="132">
        <f>A100+1</f>
        <v>46373</v>
      </c>
      <c r="B101" s="138"/>
      <c r="C101" s="126" t="str" cm="1">
        <f t="array" ref="C101">IF(B101="","",B101-IFERROR(LOOKUP(2,1/($B$6:B100&lt;&gt;""),$B$6:B100),Settings!$B$5))</f>
        <v/>
      </c>
      <c r="D101" s="127" t="str">
        <f>IF(B101="","",AVERAGE(B95:B101))</f>
        <v/>
      </c>
      <c r="E101" s="143"/>
      <c r="F101" s="144"/>
      <c r="G101" s="138"/>
      <c r="H101" s="143"/>
      <c r="I101" s="144"/>
      <c r="J101" s="145"/>
      <c r="K101" s="138"/>
      <c r="L101" s="146"/>
      <c r="M101" s="127" t="str">
        <f>IF(B101="","",B101/((Settings!$B$7)/100)^2)</f>
        <v/>
      </c>
      <c r="N101" s="25">
        <f>Settings!$B$6</f>
        <v>100</v>
      </c>
      <c r="O101" s="3" t="e">
        <f t="shared" si="6"/>
        <v>#N/A</v>
      </c>
      <c r="P101" s="3" t="e">
        <f t="shared" si="7"/>
        <v>#N/A</v>
      </c>
      <c r="Q101" s="3" t="e">
        <f t="shared" si="8"/>
        <v>#N/A</v>
      </c>
      <c r="R101" s="131">
        <f t="shared" si="9"/>
        <v>46373</v>
      </c>
      <c r="S101" s="3" t="e">
        <f t="shared" si="10"/>
        <v>#N/A</v>
      </c>
      <c r="T101" s="3" t="e">
        <f t="shared" si="11"/>
        <v>#N/A</v>
      </c>
      <c r="U101" s="3">
        <f>Settings!$B$6</f>
        <v>100</v>
      </c>
    </row>
    <row r="102" spans="1:21" ht="18" customHeight="1" x14ac:dyDescent="0.3">
      <c r="A102" s="124">
        <f>A101+1</f>
        <v>46374</v>
      </c>
      <c r="B102" s="137"/>
      <c r="C102" s="126" t="str" cm="1">
        <f t="array" ref="C102">IF(B102="","",B102-IFERROR(LOOKUP(2,1/($B$6:B101&lt;&gt;""),$B$6:B101),Settings!$B$5))</f>
        <v/>
      </c>
      <c r="D102" s="127" t="str">
        <f>IF(B102="","",AVERAGE(B96:B102))</f>
        <v/>
      </c>
      <c r="E102" s="139"/>
      <c r="F102" s="140"/>
      <c r="G102" s="137"/>
      <c r="H102" s="139"/>
      <c r="I102" s="140"/>
      <c r="J102" s="141"/>
      <c r="K102" s="137"/>
      <c r="L102" s="142"/>
      <c r="M102" s="127" t="str">
        <f>IF(B102="","",B102/((Settings!$B$7)/100)^2)</f>
        <v/>
      </c>
      <c r="N102" s="25">
        <f>Settings!$B$6</f>
        <v>100</v>
      </c>
      <c r="O102" s="3" t="e">
        <f t="shared" si="6"/>
        <v>#N/A</v>
      </c>
      <c r="P102" s="3" t="e">
        <f t="shared" si="7"/>
        <v>#N/A</v>
      </c>
      <c r="Q102" s="3" t="e">
        <f t="shared" si="8"/>
        <v>#N/A</v>
      </c>
      <c r="R102" s="131">
        <f t="shared" si="9"/>
        <v>46374</v>
      </c>
      <c r="S102" s="3" t="e">
        <f t="shared" si="10"/>
        <v>#N/A</v>
      </c>
      <c r="T102" s="3" t="e">
        <f t="shared" si="11"/>
        <v>#N/A</v>
      </c>
      <c r="U102" s="3">
        <f>Settings!$B$6</f>
        <v>100</v>
      </c>
    </row>
    <row r="103" spans="1:21" ht="18" customHeight="1" x14ac:dyDescent="0.3">
      <c r="A103" s="132">
        <f>A102+1</f>
        <v>46375</v>
      </c>
      <c r="B103" s="138"/>
      <c r="C103" s="126" t="str" cm="1">
        <f t="array" ref="C103">IF(B103="","",B103-IFERROR(LOOKUP(2,1/($B$6:B102&lt;&gt;""),$B$6:B102),Settings!$B$5))</f>
        <v/>
      </c>
      <c r="D103" s="127" t="str">
        <f>IF(B103="","",AVERAGE(B97:B103))</f>
        <v/>
      </c>
      <c r="E103" s="143"/>
      <c r="F103" s="144"/>
      <c r="G103" s="138"/>
      <c r="H103" s="143"/>
      <c r="I103" s="144"/>
      <c r="J103" s="145"/>
      <c r="K103" s="138"/>
      <c r="L103" s="146"/>
      <c r="M103" s="127" t="str">
        <f>IF(B103="","",B103/((Settings!$B$7)/100)^2)</f>
        <v/>
      </c>
      <c r="N103" s="25">
        <f>Settings!$B$6</f>
        <v>100</v>
      </c>
      <c r="O103" s="3" t="e">
        <f t="shared" si="6"/>
        <v>#N/A</v>
      </c>
      <c r="P103" s="3" t="e">
        <f t="shared" si="7"/>
        <v>#N/A</v>
      </c>
      <c r="Q103" s="3" t="e">
        <f t="shared" si="8"/>
        <v>#N/A</v>
      </c>
      <c r="R103" s="131">
        <f t="shared" si="9"/>
        <v>46375</v>
      </c>
      <c r="S103" s="3" t="e">
        <f t="shared" si="10"/>
        <v>#N/A</v>
      </c>
      <c r="T103" s="3" t="e">
        <f t="shared" si="11"/>
        <v>#N/A</v>
      </c>
      <c r="U103" s="3">
        <f>Settings!$B$6</f>
        <v>100</v>
      </c>
    </row>
    <row r="104" spans="1:21" ht="18" customHeight="1" x14ac:dyDescent="0.3">
      <c r="A104" s="124">
        <f>A103+1</f>
        <v>46376</v>
      </c>
      <c r="B104" s="137"/>
      <c r="C104" s="126" t="str" cm="1">
        <f t="array" ref="C104">IF(B104="","",B104-IFERROR(LOOKUP(2,1/($B$6:B103&lt;&gt;""),$B$6:B103),Settings!$B$5))</f>
        <v/>
      </c>
      <c r="D104" s="127" t="str">
        <f>IF(B104="","",AVERAGE(B98:B104))</f>
        <v/>
      </c>
      <c r="E104" s="139"/>
      <c r="F104" s="140"/>
      <c r="G104" s="137"/>
      <c r="H104" s="139"/>
      <c r="I104" s="140"/>
      <c r="J104" s="141"/>
      <c r="K104" s="137"/>
      <c r="L104" s="142"/>
      <c r="M104" s="127" t="str">
        <f>IF(B104="","",B104/((Settings!$B$7)/100)^2)</f>
        <v/>
      </c>
      <c r="N104" s="25">
        <f>Settings!$B$6</f>
        <v>100</v>
      </c>
      <c r="O104" s="3" t="e">
        <f t="shared" si="6"/>
        <v>#N/A</v>
      </c>
      <c r="P104" s="3" t="e">
        <f t="shared" si="7"/>
        <v>#N/A</v>
      </c>
      <c r="Q104" s="3" t="e">
        <f t="shared" si="8"/>
        <v>#N/A</v>
      </c>
      <c r="R104" s="131">
        <f t="shared" si="9"/>
        <v>46376</v>
      </c>
      <c r="S104" s="3" t="e">
        <f t="shared" si="10"/>
        <v>#N/A</v>
      </c>
      <c r="T104" s="3" t="e">
        <f t="shared" si="11"/>
        <v>#N/A</v>
      </c>
      <c r="U104" s="3">
        <f>Settings!$B$6</f>
        <v>100</v>
      </c>
    </row>
    <row r="105" spans="1:21" ht="18" customHeight="1" x14ac:dyDescent="0.3">
      <c r="A105" s="132">
        <f>A104+1</f>
        <v>46377</v>
      </c>
      <c r="B105" s="138"/>
      <c r="C105" s="126" t="str" cm="1">
        <f t="array" ref="C105">IF(B105="","",B105-IFERROR(LOOKUP(2,1/($B$6:B104&lt;&gt;""),$B$6:B104),Settings!$B$5))</f>
        <v/>
      </c>
      <c r="D105" s="127" t="str">
        <f>IF(B105="","",AVERAGE(B99:B105))</f>
        <v/>
      </c>
      <c r="E105" s="143"/>
      <c r="F105" s="144"/>
      <c r="G105" s="138"/>
      <c r="H105" s="143"/>
      <c r="I105" s="144"/>
      <c r="J105" s="145"/>
      <c r="K105" s="138"/>
      <c r="L105" s="146"/>
      <c r="M105" s="127" t="str">
        <f>IF(B105="","",B105/((Settings!$B$7)/100)^2)</f>
        <v/>
      </c>
      <c r="N105" s="25">
        <f>Settings!$B$6</f>
        <v>100</v>
      </c>
      <c r="O105" s="3" t="e">
        <f t="shared" si="6"/>
        <v>#N/A</v>
      </c>
      <c r="P105" s="3" t="e">
        <f t="shared" si="7"/>
        <v>#N/A</v>
      </c>
      <c r="Q105" s="3" t="e">
        <f t="shared" si="8"/>
        <v>#N/A</v>
      </c>
      <c r="R105" s="131">
        <f t="shared" si="9"/>
        <v>46377</v>
      </c>
      <c r="S105" s="3" t="e">
        <f t="shared" si="10"/>
        <v>#N/A</v>
      </c>
      <c r="T105" s="3" t="e">
        <f t="shared" si="11"/>
        <v>#N/A</v>
      </c>
      <c r="U105" s="3">
        <f>Settings!$B$6</f>
        <v>100</v>
      </c>
    </row>
    <row r="106" spans="1:21" ht="18" customHeight="1" x14ac:dyDescent="0.3">
      <c r="A106" s="124">
        <f>A105+1</f>
        <v>46378</v>
      </c>
      <c r="B106" s="137"/>
      <c r="C106" s="126" t="str" cm="1">
        <f t="array" ref="C106">IF(B106="","",B106-IFERROR(LOOKUP(2,1/($B$6:B105&lt;&gt;""),$B$6:B105),Settings!$B$5))</f>
        <v/>
      </c>
      <c r="D106" s="127" t="str">
        <f>IF(B106="","",AVERAGE(B100:B106))</f>
        <v/>
      </c>
      <c r="E106" s="139"/>
      <c r="F106" s="140"/>
      <c r="G106" s="137"/>
      <c r="H106" s="139"/>
      <c r="I106" s="140"/>
      <c r="J106" s="141"/>
      <c r="K106" s="137"/>
      <c r="L106" s="142"/>
      <c r="M106" s="127" t="str">
        <f>IF(B106="","",B106/((Settings!$B$7)/100)^2)</f>
        <v/>
      </c>
      <c r="N106" s="25">
        <f>Settings!$B$6</f>
        <v>100</v>
      </c>
      <c r="O106" s="3" t="e">
        <f t="shared" si="6"/>
        <v>#N/A</v>
      </c>
      <c r="P106" s="3" t="e">
        <f t="shared" si="7"/>
        <v>#N/A</v>
      </c>
      <c r="Q106" s="3" t="e">
        <f t="shared" si="8"/>
        <v>#N/A</v>
      </c>
      <c r="R106" s="131">
        <f t="shared" si="9"/>
        <v>46378</v>
      </c>
      <c r="S106" s="3" t="e">
        <f t="shared" si="10"/>
        <v>#N/A</v>
      </c>
      <c r="T106" s="3" t="e">
        <f t="shared" si="11"/>
        <v>#N/A</v>
      </c>
      <c r="U106" s="3">
        <f>Settings!$B$6</f>
        <v>100</v>
      </c>
    </row>
    <row r="107" spans="1:21" ht="18" customHeight="1" x14ac:dyDescent="0.3">
      <c r="A107" s="132">
        <f>A106+1</f>
        <v>46379</v>
      </c>
      <c r="B107" s="138"/>
      <c r="C107" s="126" t="str" cm="1">
        <f t="array" ref="C107">IF(B107="","",B107-IFERROR(LOOKUP(2,1/($B$6:B106&lt;&gt;""),$B$6:B106),Settings!$B$5))</f>
        <v/>
      </c>
      <c r="D107" s="127" t="str">
        <f>IF(B107="","",AVERAGE(B101:B107))</f>
        <v/>
      </c>
      <c r="E107" s="143"/>
      <c r="F107" s="144"/>
      <c r="G107" s="138"/>
      <c r="H107" s="143"/>
      <c r="I107" s="144"/>
      <c r="J107" s="145"/>
      <c r="K107" s="138"/>
      <c r="L107" s="146"/>
      <c r="M107" s="127" t="str">
        <f>IF(B107="","",B107/((Settings!$B$7)/100)^2)</f>
        <v/>
      </c>
      <c r="N107" s="25">
        <f>Settings!$B$6</f>
        <v>100</v>
      </c>
      <c r="O107" s="3" t="e">
        <f t="shared" si="6"/>
        <v>#N/A</v>
      </c>
      <c r="P107" s="3" t="e">
        <f t="shared" si="7"/>
        <v>#N/A</v>
      </c>
      <c r="Q107" s="3" t="e">
        <f t="shared" si="8"/>
        <v>#N/A</v>
      </c>
      <c r="R107" s="131">
        <f t="shared" si="9"/>
        <v>46379</v>
      </c>
      <c r="S107" s="3" t="e">
        <f t="shared" si="10"/>
        <v>#N/A</v>
      </c>
      <c r="T107" s="3" t="e">
        <f t="shared" si="11"/>
        <v>#N/A</v>
      </c>
      <c r="U107" s="3">
        <f>Settings!$B$6</f>
        <v>100</v>
      </c>
    </row>
    <row r="108" spans="1:21" ht="18" customHeight="1" x14ac:dyDescent="0.3">
      <c r="A108" s="124">
        <f>A107+1</f>
        <v>46380</v>
      </c>
      <c r="B108" s="137"/>
      <c r="C108" s="126" t="str" cm="1">
        <f t="array" ref="C108">IF(B108="","",B108-IFERROR(LOOKUP(2,1/($B$6:B107&lt;&gt;""),$B$6:B107),Settings!$B$5))</f>
        <v/>
      </c>
      <c r="D108" s="127" t="str">
        <f>IF(B108="","",AVERAGE(B102:B108))</f>
        <v/>
      </c>
      <c r="E108" s="139"/>
      <c r="F108" s="140"/>
      <c r="G108" s="137"/>
      <c r="H108" s="139"/>
      <c r="I108" s="140"/>
      <c r="J108" s="141"/>
      <c r="K108" s="137"/>
      <c r="L108" s="142"/>
      <c r="M108" s="127" t="str">
        <f>IF(B108="","",B108/((Settings!$B$7)/100)^2)</f>
        <v/>
      </c>
      <c r="N108" s="25">
        <f>Settings!$B$6</f>
        <v>100</v>
      </c>
      <c r="O108" s="3" t="e">
        <f t="shared" si="6"/>
        <v>#N/A</v>
      </c>
      <c r="P108" s="3" t="e">
        <f t="shared" si="7"/>
        <v>#N/A</v>
      </c>
      <c r="Q108" s="3" t="e">
        <f t="shared" si="8"/>
        <v>#N/A</v>
      </c>
      <c r="R108" s="131">
        <f t="shared" si="9"/>
        <v>46380</v>
      </c>
      <c r="S108" s="3" t="e">
        <f t="shared" si="10"/>
        <v>#N/A</v>
      </c>
      <c r="T108" s="3" t="e">
        <f t="shared" si="11"/>
        <v>#N/A</v>
      </c>
      <c r="U108" s="3">
        <f>Settings!$B$6</f>
        <v>100</v>
      </c>
    </row>
    <row r="109" spans="1:21" ht="18" customHeight="1" x14ac:dyDescent="0.3">
      <c r="A109" s="132">
        <f>A108+1</f>
        <v>46381</v>
      </c>
      <c r="B109" s="138"/>
      <c r="C109" s="126" t="str" cm="1">
        <f t="array" ref="C109">IF(B109="","",B109-IFERROR(LOOKUP(2,1/($B$6:B108&lt;&gt;""),$B$6:B108),Settings!$B$5))</f>
        <v/>
      </c>
      <c r="D109" s="127" t="str">
        <f>IF(B109="","",AVERAGE(B103:B109))</f>
        <v/>
      </c>
      <c r="E109" s="143"/>
      <c r="F109" s="144"/>
      <c r="G109" s="138"/>
      <c r="H109" s="143"/>
      <c r="I109" s="144"/>
      <c r="J109" s="145"/>
      <c r="K109" s="138"/>
      <c r="L109" s="146"/>
      <c r="M109" s="127" t="str">
        <f>IF(B109="","",B109/((Settings!$B$7)/100)^2)</f>
        <v/>
      </c>
      <c r="N109" s="25">
        <f>Settings!$B$6</f>
        <v>100</v>
      </c>
      <c r="O109" s="3" t="e">
        <f t="shared" si="6"/>
        <v>#N/A</v>
      </c>
      <c r="P109" s="3" t="e">
        <f t="shared" si="7"/>
        <v>#N/A</v>
      </c>
      <c r="Q109" s="3" t="e">
        <f t="shared" si="8"/>
        <v>#N/A</v>
      </c>
      <c r="R109" s="131">
        <f t="shared" si="9"/>
        <v>46381</v>
      </c>
      <c r="S109" s="3" t="e">
        <f t="shared" si="10"/>
        <v>#N/A</v>
      </c>
      <c r="T109" s="3" t="e">
        <f t="shared" si="11"/>
        <v>#N/A</v>
      </c>
      <c r="U109" s="3">
        <f>Settings!$B$6</f>
        <v>100</v>
      </c>
    </row>
    <row r="110" spans="1:21" ht="18" customHeight="1" x14ac:dyDescent="0.3">
      <c r="A110" s="124">
        <f>A109+1</f>
        <v>46382</v>
      </c>
      <c r="B110" s="137"/>
      <c r="C110" s="126" t="str" cm="1">
        <f t="array" ref="C110">IF(B110="","",B110-IFERROR(LOOKUP(2,1/($B$6:B109&lt;&gt;""),$B$6:B109),Settings!$B$5))</f>
        <v/>
      </c>
      <c r="D110" s="127" t="str">
        <f>IF(B110="","",AVERAGE(B104:B110))</f>
        <v/>
      </c>
      <c r="E110" s="139"/>
      <c r="F110" s="140"/>
      <c r="G110" s="137"/>
      <c r="H110" s="139"/>
      <c r="I110" s="140"/>
      <c r="J110" s="141"/>
      <c r="K110" s="137"/>
      <c r="L110" s="142"/>
      <c r="M110" s="127" t="str">
        <f>IF(B110="","",B110/((Settings!$B$7)/100)^2)</f>
        <v/>
      </c>
      <c r="N110" s="25">
        <f>Settings!$B$6</f>
        <v>100</v>
      </c>
      <c r="O110" s="3" t="e">
        <f t="shared" si="6"/>
        <v>#N/A</v>
      </c>
      <c r="P110" s="3" t="e">
        <f t="shared" si="7"/>
        <v>#N/A</v>
      </c>
      <c r="Q110" s="3" t="e">
        <f t="shared" si="8"/>
        <v>#N/A</v>
      </c>
      <c r="R110" s="131">
        <f t="shared" si="9"/>
        <v>46382</v>
      </c>
      <c r="S110" s="3" t="e">
        <f t="shared" si="10"/>
        <v>#N/A</v>
      </c>
      <c r="T110" s="3" t="e">
        <f t="shared" si="11"/>
        <v>#N/A</v>
      </c>
      <c r="U110" s="3">
        <f>Settings!$B$6</f>
        <v>100</v>
      </c>
    </row>
    <row r="111" spans="1:21" ht="18" customHeight="1" x14ac:dyDescent="0.3">
      <c r="A111" s="132">
        <f>A110+1</f>
        <v>46383</v>
      </c>
      <c r="B111" s="138"/>
      <c r="C111" s="126" t="str" cm="1">
        <f t="array" ref="C111">IF(B111="","",B111-IFERROR(LOOKUP(2,1/($B$6:B110&lt;&gt;""),$B$6:B110),Settings!$B$5))</f>
        <v/>
      </c>
      <c r="D111" s="127" t="str">
        <f>IF(B111="","",AVERAGE(B105:B111))</f>
        <v/>
      </c>
      <c r="E111" s="143"/>
      <c r="F111" s="144"/>
      <c r="G111" s="138"/>
      <c r="H111" s="143"/>
      <c r="I111" s="144"/>
      <c r="J111" s="145"/>
      <c r="K111" s="138"/>
      <c r="L111" s="146"/>
      <c r="M111" s="127" t="str">
        <f>IF(B111="","",B111/((Settings!$B$7)/100)^2)</f>
        <v/>
      </c>
      <c r="N111" s="25">
        <f>Settings!$B$6</f>
        <v>100</v>
      </c>
      <c r="O111" s="3" t="e">
        <f t="shared" si="6"/>
        <v>#N/A</v>
      </c>
      <c r="P111" s="3" t="e">
        <f t="shared" si="7"/>
        <v>#N/A</v>
      </c>
      <c r="Q111" s="3" t="e">
        <f t="shared" si="8"/>
        <v>#N/A</v>
      </c>
      <c r="R111" s="131">
        <f t="shared" si="9"/>
        <v>46383</v>
      </c>
      <c r="S111" s="3" t="e">
        <f t="shared" si="10"/>
        <v>#N/A</v>
      </c>
      <c r="T111" s="3" t="e">
        <f t="shared" si="11"/>
        <v>#N/A</v>
      </c>
      <c r="U111" s="3">
        <f>Settings!$B$6</f>
        <v>100</v>
      </c>
    </row>
    <row r="112" spans="1:21" ht="18" customHeight="1" x14ac:dyDescent="0.3">
      <c r="A112" s="124">
        <f>A111+1</f>
        <v>46384</v>
      </c>
      <c r="B112" s="137"/>
      <c r="C112" s="126" t="str" cm="1">
        <f t="array" ref="C112">IF(B112="","",B112-IFERROR(LOOKUP(2,1/($B$6:B111&lt;&gt;""),$B$6:B111),Settings!$B$5))</f>
        <v/>
      </c>
      <c r="D112" s="127" t="str">
        <f>IF(B112="","",AVERAGE(B106:B112))</f>
        <v/>
      </c>
      <c r="E112" s="139"/>
      <c r="F112" s="140"/>
      <c r="G112" s="137"/>
      <c r="H112" s="139"/>
      <c r="I112" s="140"/>
      <c r="J112" s="141"/>
      <c r="K112" s="137"/>
      <c r="L112" s="142"/>
      <c r="M112" s="127" t="str">
        <f>IF(B112="","",B112/((Settings!$B$7)/100)^2)</f>
        <v/>
      </c>
      <c r="N112" s="25">
        <f>Settings!$B$6</f>
        <v>100</v>
      </c>
      <c r="O112" s="3" t="e">
        <f t="shared" si="6"/>
        <v>#N/A</v>
      </c>
      <c r="P112" s="3" t="e">
        <f t="shared" si="7"/>
        <v>#N/A</v>
      </c>
      <c r="Q112" s="3" t="e">
        <f t="shared" si="8"/>
        <v>#N/A</v>
      </c>
      <c r="R112" s="131">
        <f t="shared" si="9"/>
        <v>46384</v>
      </c>
      <c r="S112" s="3" t="e">
        <f t="shared" si="10"/>
        <v>#N/A</v>
      </c>
      <c r="T112" s="3" t="e">
        <f t="shared" si="11"/>
        <v>#N/A</v>
      </c>
      <c r="U112" s="3">
        <f>Settings!$B$6</f>
        <v>100</v>
      </c>
    </row>
    <row r="113" spans="1:21" ht="18" customHeight="1" x14ac:dyDescent="0.3">
      <c r="A113" s="132">
        <f>A112+1</f>
        <v>46385</v>
      </c>
      <c r="B113" s="138"/>
      <c r="C113" s="126" t="str" cm="1">
        <f t="array" ref="C113">IF(B113="","",B113-IFERROR(LOOKUP(2,1/($B$6:B112&lt;&gt;""),$B$6:B112),Settings!$B$5))</f>
        <v/>
      </c>
      <c r="D113" s="127" t="str">
        <f>IF(B113="","",AVERAGE(B107:B113))</f>
        <v/>
      </c>
      <c r="E113" s="143"/>
      <c r="F113" s="144"/>
      <c r="G113" s="138"/>
      <c r="H113" s="143"/>
      <c r="I113" s="144"/>
      <c r="J113" s="145"/>
      <c r="K113" s="138"/>
      <c r="L113" s="146"/>
      <c r="M113" s="127" t="str">
        <f>IF(B113="","",B113/((Settings!$B$7)/100)^2)</f>
        <v/>
      </c>
      <c r="N113" s="25">
        <f>Settings!$B$6</f>
        <v>100</v>
      </c>
      <c r="O113" s="3" t="e">
        <f t="shared" si="6"/>
        <v>#N/A</v>
      </c>
      <c r="P113" s="3" t="e">
        <f t="shared" si="7"/>
        <v>#N/A</v>
      </c>
      <c r="Q113" s="3" t="e">
        <f t="shared" si="8"/>
        <v>#N/A</v>
      </c>
      <c r="R113" s="131">
        <f t="shared" si="9"/>
        <v>46385</v>
      </c>
      <c r="S113" s="3" t="e">
        <f t="shared" si="10"/>
        <v>#N/A</v>
      </c>
      <c r="T113" s="3" t="e">
        <f t="shared" si="11"/>
        <v>#N/A</v>
      </c>
      <c r="U113" s="3">
        <f>Settings!$B$6</f>
        <v>100</v>
      </c>
    </row>
    <row r="114" spans="1:21" ht="18" customHeight="1" x14ac:dyDescent="0.3">
      <c r="A114" s="124">
        <f>A113+1</f>
        <v>46386</v>
      </c>
      <c r="B114" s="137"/>
      <c r="C114" s="126" t="str" cm="1">
        <f t="array" ref="C114">IF(B114="","",B114-IFERROR(LOOKUP(2,1/($B$6:B113&lt;&gt;""),$B$6:B113),Settings!$B$5))</f>
        <v/>
      </c>
      <c r="D114" s="127" t="str">
        <f>IF(B114="","",AVERAGE(B108:B114))</f>
        <v/>
      </c>
      <c r="E114" s="139"/>
      <c r="F114" s="140"/>
      <c r="G114" s="137"/>
      <c r="H114" s="139"/>
      <c r="I114" s="140"/>
      <c r="J114" s="141"/>
      <c r="K114" s="137"/>
      <c r="L114" s="142"/>
      <c r="M114" s="127" t="str">
        <f>IF(B114="","",B114/((Settings!$B$7)/100)^2)</f>
        <v/>
      </c>
      <c r="N114" s="25">
        <f>Settings!$B$6</f>
        <v>100</v>
      </c>
      <c r="O114" s="3" t="e">
        <f t="shared" si="6"/>
        <v>#N/A</v>
      </c>
      <c r="P114" s="3" t="e">
        <f t="shared" si="7"/>
        <v>#N/A</v>
      </c>
      <c r="Q114" s="3" t="e">
        <f t="shared" si="8"/>
        <v>#N/A</v>
      </c>
      <c r="R114" s="131">
        <f t="shared" si="9"/>
        <v>46386</v>
      </c>
      <c r="S114" s="3" t="e">
        <f t="shared" si="10"/>
        <v>#N/A</v>
      </c>
      <c r="T114" s="3" t="e">
        <f t="shared" si="11"/>
        <v>#N/A</v>
      </c>
      <c r="U114" s="3">
        <f>Settings!$B$6</f>
        <v>100</v>
      </c>
    </row>
    <row r="115" spans="1:21" ht="18" customHeight="1" x14ac:dyDescent="0.3">
      <c r="A115" s="132">
        <f>A114+1</f>
        <v>46387</v>
      </c>
      <c r="B115" s="138"/>
      <c r="C115" s="126" t="str" cm="1">
        <f t="array" ref="C115">IF(B115="","",B115-IFERROR(LOOKUP(2,1/($B$6:B114&lt;&gt;""),$B$6:B114),Settings!$B$5))</f>
        <v/>
      </c>
      <c r="D115" s="127" t="str">
        <f>IF(B115="","",AVERAGE(B109:B115))</f>
        <v/>
      </c>
      <c r="E115" s="143"/>
      <c r="F115" s="144"/>
      <c r="G115" s="138"/>
      <c r="H115" s="143"/>
      <c r="I115" s="144"/>
      <c r="J115" s="145"/>
      <c r="K115" s="138"/>
      <c r="L115" s="146"/>
      <c r="M115" s="127" t="str">
        <f>IF(B115="","",B115/((Settings!$B$7)/100)^2)</f>
        <v/>
      </c>
      <c r="N115" s="25">
        <f>Settings!$B$6</f>
        <v>100</v>
      </c>
      <c r="O115" s="3" t="e">
        <f t="shared" si="6"/>
        <v>#N/A</v>
      </c>
      <c r="P115" s="3" t="e">
        <f t="shared" si="7"/>
        <v>#N/A</v>
      </c>
      <c r="Q115" s="3" t="e">
        <f t="shared" si="8"/>
        <v>#N/A</v>
      </c>
      <c r="R115" s="131">
        <f t="shared" si="9"/>
        <v>46387</v>
      </c>
      <c r="S115" s="3" t="e">
        <f t="shared" si="10"/>
        <v>#N/A</v>
      </c>
      <c r="T115" s="3" t="e">
        <f t="shared" si="11"/>
        <v>#N/A</v>
      </c>
      <c r="U115" s="3">
        <f>Settings!$B$6</f>
        <v>100</v>
      </c>
    </row>
    <row r="116" spans="1:21" ht="18" customHeight="1" x14ac:dyDescent="0.3">
      <c r="A116" s="124">
        <f>A115+1</f>
        <v>46388</v>
      </c>
      <c r="B116" s="137"/>
      <c r="C116" s="126" t="str" cm="1">
        <f t="array" ref="C116">IF(B116="","",B116-IFERROR(LOOKUP(2,1/($B$6:B115&lt;&gt;""),$B$6:B115),Settings!$B$5))</f>
        <v/>
      </c>
      <c r="D116" s="127" t="str">
        <f>IF(B116="","",AVERAGE(B110:B116))</f>
        <v/>
      </c>
      <c r="E116" s="139"/>
      <c r="F116" s="140"/>
      <c r="G116" s="137"/>
      <c r="H116" s="139"/>
      <c r="I116" s="140"/>
      <c r="J116" s="141"/>
      <c r="K116" s="137"/>
      <c r="L116" s="142"/>
      <c r="M116" s="127" t="str">
        <f>IF(B116="","",B116/((Settings!$B$7)/100)^2)</f>
        <v/>
      </c>
      <c r="N116" s="25">
        <f>Settings!$B$6</f>
        <v>100</v>
      </c>
      <c r="O116" s="3" t="e">
        <f t="shared" si="6"/>
        <v>#N/A</v>
      </c>
      <c r="P116" s="3" t="e">
        <f t="shared" si="7"/>
        <v>#N/A</v>
      </c>
      <c r="Q116" s="3" t="e">
        <f t="shared" si="8"/>
        <v>#N/A</v>
      </c>
      <c r="R116" s="131">
        <f t="shared" si="9"/>
        <v>46388</v>
      </c>
      <c r="S116" s="3" t="e">
        <f t="shared" si="10"/>
        <v>#N/A</v>
      </c>
      <c r="T116" s="3" t="e">
        <f t="shared" si="11"/>
        <v>#N/A</v>
      </c>
      <c r="U116" s="3">
        <f>Settings!$B$6</f>
        <v>100</v>
      </c>
    </row>
    <row r="117" spans="1:21" ht="18" customHeight="1" x14ac:dyDescent="0.3">
      <c r="A117" s="132">
        <f>A116+1</f>
        <v>46389</v>
      </c>
      <c r="B117" s="138"/>
      <c r="C117" s="126" t="str" cm="1">
        <f t="array" ref="C117">IF(B117="","",B117-IFERROR(LOOKUP(2,1/($B$6:B116&lt;&gt;""),$B$6:B116),Settings!$B$5))</f>
        <v/>
      </c>
      <c r="D117" s="127" t="str">
        <f>IF(B117="","",AVERAGE(B111:B117))</f>
        <v/>
      </c>
      <c r="E117" s="143"/>
      <c r="F117" s="144"/>
      <c r="G117" s="138"/>
      <c r="H117" s="143"/>
      <c r="I117" s="144"/>
      <c r="J117" s="145"/>
      <c r="K117" s="138"/>
      <c r="L117" s="146"/>
      <c r="M117" s="127" t="str">
        <f>IF(B117="","",B117/((Settings!$B$7)/100)^2)</f>
        <v/>
      </c>
      <c r="N117" s="25">
        <f>Settings!$B$6</f>
        <v>100</v>
      </c>
      <c r="O117" s="3" t="e">
        <f t="shared" si="6"/>
        <v>#N/A</v>
      </c>
      <c r="P117" s="3" t="e">
        <f t="shared" si="7"/>
        <v>#N/A</v>
      </c>
      <c r="Q117" s="3" t="e">
        <f t="shared" si="8"/>
        <v>#N/A</v>
      </c>
      <c r="R117" s="131">
        <f t="shared" si="9"/>
        <v>46389</v>
      </c>
      <c r="S117" s="3" t="e">
        <f t="shared" si="10"/>
        <v>#N/A</v>
      </c>
      <c r="T117" s="3" t="e">
        <f t="shared" si="11"/>
        <v>#N/A</v>
      </c>
      <c r="U117" s="3">
        <f>Settings!$B$6</f>
        <v>100</v>
      </c>
    </row>
    <row r="118" spans="1:21" ht="18" customHeight="1" x14ac:dyDescent="0.3">
      <c r="A118" s="124">
        <f>A117+1</f>
        <v>46390</v>
      </c>
      <c r="B118" s="137"/>
      <c r="C118" s="126" t="str" cm="1">
        <f t="array" ref="C118">IF(B118="","",B118-IFERROR(LOOKUP(2,1/($B$6:B117&lt;&gt;""),$B$6:B117),Settings!$B$5))</f>
        <v/>
      </c>
      <c r="D118" s="127" t="str">
        <f>IF(B118="","",AVERAGE(B112:B118))</f>
        <v/>
      </c>
      <c r="E118" s="139"/>
      <c r="F118" s="140"/>
      <c r="G118" s="137"/>
      <c r="H118" s="139"/>
      <c r="I118" s="140"/>
      <c r="J118" s="141"/>
      <c r="K118" s="137"/>
      <c r="L118" s="142"/>
      <c r="M118" s="127" t="str">
        <f>IF(B118="","",B118/((Settings!$B$7)/100)^2)</f>
        <v/>
      </c>
      <c r="N118" s="25">
        <f>Settings!$B$6</f>
        <v>100</v>
      </c>
      <c r="O118" s="3" t="e">
        <f t="shared" si="6"/>
        <v>#N/A</v>
      </c>
      <c r="P118" s="3" t="e">
        <f t="shared" si="7"/>
        <v>#N/A</v>
      </c>
      <c r="Q118" s="3" t="e">
        <f t="shared" si="8"/>
        <v>#N/A</v>
      </c>
      <c r="R118" s="131">
        <f t="shared" si="9"/>
        <v>46390</v>
      </c>
      <c r="S118" s="3" t="e">
        <f t="shared" si="10"/>
        <v>#N/A</v>
      </c>
      <c r="T118" s="3" t="e">
        <f t="shared" si="11"/>
        <v>#N/A</v>
      </c>
      <c r="U118" s="3">
        <f>Settings!$B$6</f>
        <v>100</v>
      </c>
    </row>
    <row r="119" spans="1:21" ht="18" customHeight="1" x14ac:dyDescent="0.3">
      <c r="A119" s="132">
        <f>A118+1</f>
        <v>46391</v>
      </c>
      <c r="B119" s="138"/>
      <c r="C119" s="126" t="str" cm="1">
        <f t="array" ref="C119">IF(B119="","",B119-IFERROR(LOOKUP(2,1/($B$6:B118&lt;&gt;""),$B$6:B118),Settings!$B$5))</f>
        <v/>
      </c>
      <c r="D119" s="127" t="str">
        <f>IF(B119="","",AVERAGE(B113:B119))</f>
        <v/>
      </c>
      <c r="E119" s="143"/>
      <c r="F119" s="144"/>
      <c r="G119" s="138"/>
      <c r="H119" s="143"/>
      <c r="I119" s="144"/>
      <c r="J119" s="145"/>
      <c r="K119" s="138"/>
      <c r="L119" s="146"/>
      <c r="M119" s="127" t="str">
        <f>IF(B119="","",B119/((Settings!$B$7)/100)^2)</f>
        <v/>
      </c>
      <c r="N119" s="25">
        <f>Settings!$B$6</f>
        <v>100</v>
      </c>
      <c r="O119" s="3" t="e">
        <f t="shared" si="6"/>
        <v>#N/A</v>
      </c>
      <c r="P119" s="3" t="e">
        <f t="shared" si="7"/>
        <v>#N/A</v>
      </c>
      <c r="Q119" s="3" t="e">
        <f t="shared" si="8"/>
        <v>#N/A</v>
      </c>
      <c r="R119" s="131">
        <f t="shared" si="9"/>
        <v>46391</v>
      </c>
      <c r="S119" s="3" t="e">
        <f t="shared" si="10"/>
        <v>#N/A</v>
      </c>
      <c r="T119" s="3" t="e">
        <f t="shared" si="11"/>
        <v>#N/A</v>
      </c>
      <c r="U119" s="3">
        <f>Settings!$B$6</f>
        <v>100</v>
      </c>
    </row>
    <row r="120" spans="1:21" ht="18" customHeight="1" x14ac:dyDescent="0.3">
      <c r="A120" s="124">
        <f>A119+1</f>
        <v>46392</v>
      </c>
      <c r="B120" s="137"/>
      <c r="C120" s="126" t="str" cm="1">
        <f t="array" ref="C120">IF(B120="","",B120-IFERROR(LOOKUP(2,1/($B$6:B119&lt;&gt;""),$B$6:B119),Settings!$B$5))</f>
        <v/>
      </c>
      <c r="D120" s="127" t="str">
        <f>IF(B120="","",AVERAGE(B114:B120))</f>
        <v/>
      </c>
      <c r="E120" s="139"/>
      <c r="F120" s="140"/>
      <c r="G120" s="137"/>
      <c r="H120" s="139"/>
      <c r="I120" s="140"/>
      <c r="J120" s="141"/>
      <c r="K120" s="137"/>
      <c r="L120" s="142"/>
      <c r="M120" s="127" t="str">
        <f>IF(B120="","",B120/((Settings!$B$7)/100)^2)</f>
        <v/>
      </c>
      <c r="N120" s="25">
        <f>Settings!$B$6</f>
        <v>100</v>
      </c>
      <c r="O120" s="3" t="e">
        <f t="shared" si="6"/>
        <v>#N/A</v>
      </c>
      <c r="P120" s="3" t="e">
        <f t="shared" si="7"/>
        <v>#N/A</v>
      </c>
      <c r="Q120" s="3" t="e">
        <f t="shared" si="8"/>
        <v>#N/A</v>
      </c>
      <c r="R120" s="131">
        <f t="shared" si="9"/>
        <v>46392</v>
      </c>
      <c r="S120" s="3" t="e">
        <f t="shared" si="10"/>
        <v>#N/A</v>
      </c>
      <c r="T120" s="3" t="e">
        <f t="shared" si="11"/>
        <v>#N/A</v>
      </c>
      <c r="U120" s="3">
        <f>Settings!$B$6</f>
        <v>100</v>
      </c>
    </row>
    <row r="121" spans="1:21" ht="18" customHeight="1" x14ac:dyDescent="0.3">
      <c r="A121" s="132">
        <f>A120+1</f>
        <v>46393</v>
      </c>
      <c r="B121" s="138"/>
      <c r="C121" s="126" t="str" cm="1">
        <f t="array" ref="C121">IF(B121="","",B121-IFERROR(LOOKUP(2,1/($B$6:B120&lt;&gt;""),$B$6:B120),Settings!$B$5))</f>
        <v/>
      </c>
      <c r="D121" s="127" t="str">
        <f>IF(B121="","",AVERAGE(B115:B121))</f>
        <v/>
      </c>
      <c r="E121" s="143"/>
      <c r="F121" s="144"/>
      <c r="G121" s="138"/>
      <c r="H121" s="143"/>
      <c r="I121" s="144"/>
      <c r="J121" s="145"/>
      <c r="K121" s="138"/>
      <c r="L121" s="146"/>
      <c r="M121" s="127" t="str">
        <f>IF(B121="","",B121/((Settings!$B$7)/100)^2)</f>
        <v/>
      </c>
      <c r="N121" s="25">
        <f>Settings!$B$6</f>
        <v>100</v>
      </c>
      <c r="O121" s="3" t="e">
        <f t="shared" si="6"/>
        <v>#N/A</v>
      </c>
      <c r="P121" s="3" t="e">
        <f t="shared" si="7"/>
        <v>#N/A</v>
      </c>
      <c r="Q121" s="3" t="e">
        <f t="shared" si="8"/>
        <v>#N/A</v>
      </c>
      <c r="R121" s="131">
        <f t="shared" si="9"/>
        <v>46393</v>
      </c>
      <c r="S121" s="3" t="e">
        <f t="shared" si="10"/>
        <v>#N/A</v>
      </c>
      <c r="T121" s="3" t="e">
        <f t="shared" si="11"/>
        <v>#N/A</v>
      </c>
      <c r="U121" s="3">
        <f>Settings!$B$6</f>
        <v>100</v>
      </c>
    </row>
    <row r="122" spans="1:21" ht="18" customHeight="1" x14ac:dyDescent="0.3">
      <c r="A122" s="124">
        <f>A121+1</f>
        <v>46394</v>
      </c>
      <c r="B122" s="137"/>
      <c r="C122" s="126" t="str" cm="1">
        <f t="array" ref="C122">IF(B122="","",B122-IFERROR(LOOKUP(2,1/($B$6:B121&lt;&gt;""),$B$6:B121),Settings!$B$5))</f>
        <v/>
      </c>
      <c r="D122" s="127" t="str">
        <f>IF(B122="","",AVERAGE(B116:B122))</f>
        <v/>
      </c>
      <c r="E122" s="139"/>
      <c r="F122" s="140"/>
      <c r="G122" s="137"/>
      <c r="H122" s="139"/>
      <c r="I122" s="140"/>
      <c r="J122" s="141"/>
      <c r="K122" s="137"/>
      <c r="L122" s="142"/>
      <c r="M122" s="127" t="str">
        <f>IF(B122="","",B122/((Settings!$B$7)/100)^2)</f>
        <v/>
      </c>
      <c r="N122" s="25">
        <f>Settings!$B$6</f>
        <v>100</v>
      </c>
      <c r="O122" s="3" t="e">
        <f t="shared" si="6"/>
        <v>#N/A</v>
      </c>
      <c r="P122" s="3" t="e">
        <f t="shared" si="7"/>
        <v>#N/A</v>
      </c>
      <c r="Q122" s="3" t="e">
        <f t="shared" si="8"/>
        <v>#N/A</v>
      </c>
      <c r="R122" s="131">
        <f t="shared" si="9"/>
        <v>46394</v>
      </c>
      <c r="S122" s="3" t="e">
        <f t="shared" si="10"/>
        <v>#N/A</v>
      </c>
      <c r="T122" s="3" t="e">
        <f t="shared" si="11"/>
        <v>#N/A</v>
      </c>
      <c r="U122" s="3">
        <f>Settings!$B$6</f>
        <v>100</v>
      </c>
    </row>
    <row r="123" spans="1:21" ht="18" customHeight="1" x14ac:dyDescent="0.3">
      <c r="A123" s="132">
        <f>A122+1</f>
        <v>46395</v>
      </c>
      <c r="B123" s="138"/>
      <c r="C123" s="126" t="str" cm="1">
        <f t="array" ref="C123">IF(B123="","",B123-IFERROR(LOOKUP(2,1/($B$6:B122&lt;&gt;""),$B$6:B122),Settings!$B$5))</f>
        <v/>
      </c>
      <c r="D123" s="127" t="str">
        <f>IF(B123="","",AVERAGE(B117:B123))</f>
        <v/>
      </c>
      <c r="E123" s="143"/>
      <c r="F123" s="144"/>
      <c r="G123" s="138"/>
      <c r="H123" s="143"/>
      <c r="I123" s="144"/>
      <c r="J123" s="145"/>
      <c r="K123" s="138"/>
      <c r="L123" s="146"/>
      <c r="M123" s="127" t="str">
        <f>IF(B123="","",B123/((Settings!$B$7)/100)^2)</f>
        <v/>
      </c>
      <c r="N123" s="25">
        <f>Settings!$B$6</f>
        <v>100</v>
      </c>
      <c r="O123" s="3" t="e">
        <f t="shared" si="6"/>
        <v>#N/A</v>
      </c>
      <c r="P123" s="3" t="e">
        <f t="shared" si="7"/>
        <v>#N/A</v>
      </c>
      <c r="Q123" s="3" t="e">
        <f t="shared" si="8"/>
        <v>#N/A</v>
      </c>
      <c r="R123" s="131">
        <f t="shared" si="9"/>
        <v>46395</v>
      </c>
      <c r="S123" s="3" t="e">
        <f t="shared" si="10"/>
        <v>#N/A</v>
      </c>
      <c r="T123" s="3" t="e">
        <f t="shared" si="11"/>
        <v>#N/A</v>
      </c>
      <c r="U123" s="3">
        <f>Settings!$B$6</f>
        <v>100</v>
      </c>
    </row>
    <row r="124" spans="1:21" ht="18" customHeight="1" x14ac:dyDescent="0.3">
      <c r="A124" s="124">
        <f>A123+1</f>
        <v>46396</v>
      </c>
      <c r="B124" s="137"/>
      <c r="C124" s="126" t="str" cm="1">
        <f t="array" ref="C124">IF(B124="","",B124-IFERROR(LOOKUP(2,1/($B$6:B123&lt;&gt;""),$B$6:B123),Settings!$B$5))</f>
        <v/>
      </c>
      <c r="D124" s="127" t="str">
        <f>IF(B124="","",AVERAGE(B118:B124))</f>
        <v/>
      </c>
      <c r="E124" s="139"/>
      <c r="F124" s="140"/>
      <c r="G124" s="137"/>
      <c r="H124" s="139"/>
      <c r="I124" s="140"/>
      <c r="J124" s="141"/>
      <c r="K124" s="137"/>
      <c r="L124" s="142"/>
      <c r="M124" s="127" t="str">
        <f>IF(B124="","",B124/((Settings!$B$7)/100)^2)</f>
        <v/>
      </c>
      <c r="N124" s="25">
        <f>Settings!$B$6</f>
        <v>100</v>
      </c>
      <c r="O124" s="3" t="e">
        <f t="shared" si="6"/>
        <v>#N/A</v>
      </c>
      <c r="P124" s="3" t="e">
        <f t="shared" si="7"/>
        <v>#N/A</v>
      </c>
      <c r="Q124" s="3" t="e">
        <f t="shared" si="8"/>
        <v>#N/A</v>
      </c>
      <c r="R124" s="131">
        <f t="shared" si="9"/>
        <v>46396</v>
      </c>
      <c r="S124" s="3" t="e">
        <f t="shared" si="10"/>
        <v>#N/A</v>
      </c>
      <c r="T124" s="3" t="e">
        <f t="shared" si="11"/>
        <v>#N/A</v>
      </c>
      <c r="U124" s="3">
        <f>Settings!$B$6</f>
        <v>100</v>
      </c>
    </row>
    <row r="125" spans="1:21" ht="18" customHeight="1" x14ac:dyDescent="0.3">
      <c r="A125" s="132">
        <f>A124+1</f>
        <v>46397</v>
      </c>
      <c r="B125" s="138"/>
      <c r="C125" s="126" t="str" cm="1">
        <f t="array" ref="C125">IF(B125="","",B125-IFERROR(LOOKUP(2,1/($B$6:B124&lt;&gt;""),$B$6:B124),Settings!$B$5))</f>
        <v/>
      </c>
      <c r="D125" s="127" t="str">
        <f>IF(B125="","",AVERAGE(B119:B125))</f>
        <v/>
      </c>
      <c r="E125" s="143"/>
      <c r="F125" s="144"/>
      <c r="G125" s="138"/>
      <c r="H125" s="143"/>
      <c r="I125" s="144"/>
      <c r="J125" s="145"/>
      <c r="K125" s="138"/>
      <c r="L125" s="146"/>
      <c r="M125" s="127" t="str">
        <f>IF(B125="","",B125/((Settings!$B$7)/100)^2)</f>
        <v/>
      </c>
      <c r="N125" s="25">
        <f>Settings!$B$6</f>
        <v>100</v>
      </c>
      <c r="O125" s="3" t="e">
        <f t="shared" si="6"/>
        <v>#N/A</v>
      </c>
      <c r="P125" s="3" t="e">
        <f t="shared" si="7"/>
        <v>#N/A</v>
      </c>
      <c r="Q125" s="3" t="e">
        <f t="shared" si="8"/>
        <v>#N/A</v>
      </c>
      <c r="R125" s="131">
        <f t="shared" si="9"/>
        <v>46397</v>
      </c>
      <c r="S125" s="3" t="e">
        <f t="shared" si="10"/>
        <v>#N/A</v>
      </c>
      <c r="T125" s="3" t="e">
        <f t="shared" si="11"/>
        <v>#N/A</v>
      </c>
      <c r="U125" s="3">
        <f>Settings!$B$6</f>
        <v>100</v>
      </c>
    </row>
    <row r="126" spans="1:21" ht="18" customHeight="1" x14ac:dyDescent="0.3">
      <c r="A126" s="124">
        <f>A125+1</f>
        <v>46398</v>
      </c>
      <c r="B126" s="137"/>
      <c r="C126" s="126" t="str" cm="1">
        <f t="array" ref="C126">IF(B126="","",B126-IFERROR(LOOKUP(2,1/($B$6:B125&lt;&gt;""),$B$6:B125),Settings!$B$5))</f>
        <v/>
      </c>
      <c r="D126" s="127" t="str">
        <f>IF(B126="","",AVERAGE(B120:B126))</f>
        <v/>
      </c>
      <c r="E126" s="139"/>
      <c r="F126" s="140"/>
      <c r="G126" s="137"/>
      <c r="H126" s="139"/>
      <c r="I126" s="140"/>
      <c r="J126" s="141"/>
      <c r="K126" s="137"/>
      <c r="L126" s="142"/>
      <c r="M126" s="127" t="str">
        <f>IF(B126="","",B126/((Settings!$B$7)/100)^2)</f>
        <v/>
      </c>
      <c r="N126" s="25">
        <f>Settings!$B$6</f>
        <v>100</v>
      </c>
      <c r="O126" s="3" t="e">
        <f t="shared" si="6"/>
        <v>#N/A</v>
      </c>
      <c r="P126" s="3" t="e">
        <f t="shared" si="7"/>
        <v>#N/A</v>
      </c>
      <c r="Q126" s="3" t="e">
        <f t="shared" si="8"/>
        <v>#N/A</v>
      </c>
      <c r="R126" s="131">
        <f t="shared" si="9"/>
        <v>46398</v>
      </c>
      <c r="S126" s="3" t="e">
        <f t="shared" si="10"/>
        <v>#N/A</v>
      </c>
      <c r="T126" s="3" t="e">
        <f t="shared" si="11"/>
        <v>#N/A</v>
      </c>
      <c r="U126" s="3">
        <f>Settings!$B$6</f>
        <v>100</v>
      </c>
    </row>
    <row r="127" spans="1:21" ht="18" customHeight="1" x14ac:dyDescent="0.3">
      <c r="A127" s="132">
        <f>A126+1</f>
        <v>46399</v>
      </c>
      <c r="B127" s="138"/>
      <c r="C127" s="126" t="str" cm="1">
        <f t="array" ref="C127">IF(B127="","",B127-IFERROR(LOOKUP(2,1/($B$6:B126&lt;&gt;""),$B$6:B126),Settings!$B$5))</f>
        <v/>
      </c>
      <c r="D127" s="127" t="str">
        <f>IF(B127="","",AVERAGE(B121:B127))</f>
        <v/>
      </c>
      <c r="E127" s="143"/>
      <c r="F127" s="144"/>
      <c r="G127" s="138"/>
      <c r="H127" s="143"/>
      <c r="I127" s="144"/>
      <c r="J127" s="145"/>
      <c r="K127" s="138"/>
      <c r="L127" s="146"/>
      <c r="M127" s="127" t="str">
        <f>IF(B127="","",B127/((Settings!$B$7)/100)^2)</f>
        <v/>
      </c>
      <c r="N127" s="25">
        <f>Settings!$B$6</f>
        <v>100</v>
      </c>
      <c r="O127" s="3" t="e">
        <f t="shared" si="6"/>
        <v>#N/A</v>
      </c>
      <c r="P127" s="3" t="e">
        <f t="shared" si="7"/>
        <v>#N/A</v>
      </c>
      <c r="Q127" s="3" t="e">
        <f t="shared" si="8"/>
        <v>#N/A</v>
      </c>
      <c r="R127" s="131">
        <f t="shared" si="9"/>
        <v>46399</v>
      </c>
      <c r="S127" s="3" t="e">
        <f t="shared" si="10"/>
        <v>#N/A</v>
      </c>
      <c r="T127" s="3" t="e">
        <f t="shared" si="11"/>
        <v>#N/A</v>
      </c>
      <c r="U127" s="3">
        <f>Settings!$B$6</f>
        <v>100</v>
      </c>
    </row>
    <row r="128" spans="1:21" ht="18" customHeight="1" x14ac:dyDescent="0.3">
      <c r="A128" s="124">
        <f>A127+1</f>
        <v>46400</v>
      </c>
      <c r="B128" s="137"/>
      <c r="C128" s="126" t="str" cm="1">
        <f t="array" ref="C128">IF(B128="","",B128-IFERROR(LOOKUP(2,1/($B$6:B127&lt;&gt;""),$B$6:B127),Settings!$B$5))</f>
        <v/>
      </c>
      <c r="D128" s="127" t="str">
        <f>IF(B128="","",AVERAGE(B122:B128))</f>
        <v/>
      </c>
      <c r="E128" s="139"/>
      <c r="F128" s="140"/>
      <c r="G128" s="137"/>
      <c r="H128" s="139"/>
      <c r="I128" s="140"/>
      <c r="J128" s="141"/>
      <c r="K128" s="137"/>
      <c r="L128" s="142"/>
      <c r="M128" s="127" t="str">
        <f>IF(B128="","",B128/((Settings!$B$7)/100)^2)</f>
        <v/>
      </c>
      <c r="N128" s="25">
        <f>Settings!$B$6</f>
        <v>100</v>
      </c>
      <c r="O128" s="3" t="e">
        <f t="shared" si="6"/>
        <v>#N/A</v>
      </c>
      <c r="P128" s="3" t="e">
        <f t="shared" si="7"/>
        <v>#N/A</v>
      </c>
      <c r="Q128" s="3" t="e">
        <f t="shared" si="8"/>
        <v>#N/A</v>
      </c>
      <c r="R128" s="131">
        <f t="shared" si="9"/>
        <v>46400</v>
      </c>
      <c r="S128" s="3" t="e">
        <f t="shared" si="10"/>
        <v>#N/A</v>
      </c>
      <c r="T128" s="3" t="e">
        <f t="shared" si="11"/>
        <v>#N/A</v>
      </c>
      <c r="U128" s="3">
        <f>Settings!$B$6</f>
        <v>100</v>
      </c>
    </row>
    <row r="129" spans="1:21" ht="18" customHeight="1" x14ac:dyDescent="0.3">
      <c r="A129" s="132">
        <f>A128+1</f>
        <v>46401</v>
      </c>
      <c r="B129" s="138"/>
      <c r="C129" s="126" t="str" cm="1">
        <f t="array" ref="C129">IF(B129="","",B129-IFERROR(LOOKUP(2,1/($B$6:B128&lt;&gt;""),$B$6:B128),Settings!$B$5))</f>
        <v/>
      </c>
      <c r="D129" s="127" t="str">
        <f>IF(B129="","",AVERAGE(B123:B129))</f>
        <v/>
      </c>
      <c r="E129" s="143"/>
      <c r="F129" s="144"/>
      <c r="G129" s="138"/>
      <c r="H129" s="143"/>
      <c r="I129" s="144"/>
      <c r="J129" s="145"/>
      <c r="K129" s="138"/>
      <c r="L129" s="146"/>
      <c r="M129" s="127" t="str">
        <f>IF(B129="","",B129/((Settings!$B$7)/100)^2)</f>
        <v/>
      </c>
      <c r="N129" s="25">
        <f>Settings!$B$6</f>
        <v>100</v>
      </c>
      <c r="O129" s="3" t="e">
        <f t="shared" si="6"/>
        <v>#N/A</v>
      </c>
      <c r="P129" s="3" t="e">
        <f t="shared" si="7"/>
        <v>#N/A</v>
      </c>
      <c r="Q129" s="3" t="e">
        <f t="shared" si="8"/>
        <v>#N/A</v>
      </c>
      <c r="R129" s="131">
        <f t="shared" si="9"/>
        <v>46401</v>
      </c>
      <c r="S129" s="3" t="e">
        <f t="shared" si="10"/>
        <v>#N/A</v>
      </c>
      <c r="T129" s="3" t="e">
        <f t="shared" si="11"/>
        <v>#N/A</v>
      </c>
      <c r="U129" s="3">
        <f>Settings!$B$6</f>
        <v>100</v>
      </c>
    </row>
    <row r="130" spans="1:21" ht="18" customHeight="1" x14ac:dyDescent="0.3">
      <c r="A130" s="124">
        <f>A129+1</f>
        <v>46402</v>
      </c>
      <c r="B130" s="137"/>
      <c r="C130" s="126" t="str" cm="1">
        <f t="array" ref="C130">IF(B130="","",B130-IFERROR(LOOKUP(2,1/($B$6:B129&lt;&gt;""),$B$6:B129),Settings!$B$5))</f>
        <v/>
      </c>
      <c r="D130" s="127" t="str">
        <f>IF(B130="","",AVERAGE(B124:B130))</f>
        <v/>
      </c>
      <c r="E130" s="139"/>
      <c r="F130" s="140"/>
      <c r="G130" s="137"/>
      <c r="H130" s="139"/>
      <c r="I130" s="140"/>
      <c r="J130" s="141"/>
      <c r="K130" s="137"/>
      <c r="L130" s="142"/>
      <c r="M130" s="127" t="str">
        <f>IF(B130="","",B130/((Settings!$B$7)/100)^2)</f>
        <v/>
      </c>
      <c r="N130" s="25">
        <f>Settings!$B$6</f>
        <v>100</v>
      </c>
      <c r="O130" s="3" t="e">
        <f t="shared" si="6"/>
        <v>#N/A</v>
      </c>
      <c r="P130" s="3" t="e">
        <f t="shared" si="7"/>
        <v>#N/A</v>
      </c>
      <c r="Q130" s="3" t="e">
        <f t="shared" si="8"/>
        <v>#N/A</v>
      </c>
      <c r="R130" s="131">
        <f t="shared" si="9"/>
        <v>46402</v>
      </c>
      <c r="S130" s="3" t="e">
        <f t="shared" si="10"/>
        <v>#N/A</v>
      </c>
      <c r="T130" s="3" t="e">
        <f t="shared" si="11"/>
        <v>#N/A</v>
      </c>
      <c r="U130" s="3">
        <f>Settings!$B$6</f>
        <v>100</v>
      </c>
    </row>
    <row r="131" spans="1:21" ht="18" customHeight="1" x14ac:dyDescent="0.3">
      <c r="A131" s="132">
        <f>A130+1</f>
        <v>46403</v>
      </c>
      <c r="B131" s="138"/>
      <c r="C131" s="126" t="str" cm="1">
        <f t="array" ref="C131">IF(B131="","",B131-IFERROR(LOOKUP(2,1/($B$6:B130&lt;&gt;""),$B$6:B130),Settings!$B$5))</f>
        <v/>
      </c>
      <c r="D131" s="127" t="str">
        <f>IF(B131="","",AVERAGE(B125:B131))</f>
        <v/>
      </c>
      <c r="E131" s="143"/>
      <c r="F131" s="144"/>
      <c r="G131" s="138"/>
      <c r="H131" s="143"/>
      <c r="I131" s="144"/>
      <c r="J131" s="145"/>
      <c r="K131" s="138"/>
      <c r="L131" s="146"/>
      <c r="M131" s="127" t="str">
        <f>IF(B131="","",B131/((Settings!$B$7)/100)^2)</f>
        <v/>
      </c>
      <c r="N131" s="25">
        <f>Settings!$B$6</f>
        <v>100</v>
      </c>
      <c r="O131" s="3" t="e">
        <f t="shared" si="6"/>
        <v>#N/A</v>
      </c>
      <c r="P131" s="3" t="e">
        <f t="shared" si="7"/>
        <v>#N/A</v>
      </c>
      <c r="Q131" s="3" t="e">
        <f t="shared" si="8"/>
        <v>#N/A</v>
      </c>
      <c r="R131" s="131">
        <f t="shared" si="9"/>
        <v>46403</v>
      </c>
      <c r="S131" s="3" t="e">
        <f t="shared" si="10"/>
        <v>#N/A</v>
      </c>
      <c r="T131" s="3" t="e">
        <f t="shared" si="11"/>
        <v>#N/A</v>
      </c>
      <c r="U131" s="3">
        <f>Settings!$B$6</f>
        <v>100</v>
      </c>
    </row>
    <row r="132" spans="1:21" ht="18" customHeight="1" x14ac:dyDescent="0.3">
      <c r="A132" s="124">
        <f>A131+1</f>
        <v>46404</v>
      </c>
      <c r="B132" s="137"/>
      <c r="C132" s="126" t="str" cm="1">
        <f t="array" ref="C132">IF(B132="","",B132-IFERROR(LOOKUP(2,1/($B$6:B131&lt;&gt;""),$B$6:B131),Settings!$B$5))</f>
        <v/>
      </c>
      <c r="D132" s="127" t="str">
        <f>IF(B132="","",AVERAGE(B126:B132))</f>
        <v/>
      </c>
      <c r="E132" s="139"/>
      <c r="F132" s="140"/>
      <c r="G132" s="137"/>
      <c r="H132" s="139"/>
      <c r="I132" s="140"/>
      <c r="J132" s="141"/>
      <c r="K132" s="137"/>
      <c r="L132" s="142"/>
      <c r="M132" s="127" t="str">
        <f>IF(B132="","",B132/((Settings!$B$7)/100)^2)</f>
        <v/>
      </c>
      <c r="N132" s="25">
        <f>Settings!$B$6</f>
        <v>100</v>
      </c>
      <c r="O132" s="3" t="e">
        <f t="shared" si="6"/>
        <v>#N/A</v>
      </c>
      <c r="P132" s="3" t="e">
        <f t="shared" si="7"/>
        <v>#N/A</v>
      </c>
      <c r="Q132" s="3" t="e">
        <f t="shared" si="8"/>
        <v>#N/A</v>
      </c>
      <c r="R132" s="131">
        <f t="shared" si="9"/>
        <v>46404</v>
      </c>
      <c r="S132" s="3" t="e">
        <f t="shared" si="10"/>
        <v>#N/A</v>
      </c>
      <c r="T132" s="3" t="e">
        <f t="shared" si="11"/>
        <v>#N/A</v>
      </c>
      <c r="U132" s="3">
        <f>Settings!$B$6</f>
        <v>100</v>
      </c>
    </row>
    <row r="133" spans="1:21" ht="18" customHeight="1" x14ac:dyDescent="0.3">
      <c r="A133" s="132">
        <f>A132+1</f>
        <v>46405</v>
      </c>
      <c r="B133" s="138"/>
      <c r="C133" s="126" t="str" cm="1">
        <f t="array" ref="C133">IF(B133="","",B133-IFERROR(LOOKUP(2,1/($B$6:B132&lt;&gt;""),$B$6:B132),Settings!$B$5))</f>
        <v/>
      </c>
      <c r="D133" s="127" t="str">
        <f>IF(B133="","",AVERAGE(B127:B133))</f>
        <v/>
      </c>
      <c r="E133" s="143"/>
      <c r="F133" s="144"/>
      <c r="G133" s="138"/>
      <c r="H133" s="143"/>
      <c r="I133" s="144"/>
      <c r="J133" s="145"/>
      <c r="K133" s="138"/>
      <c r="L133" s="146"/>
      <c r="M133" s="127" t="str">
        <f>IF(B133="","",B133/((Settings!$B$7)/100)^2)</f>
        <v/>
      </c>
      <c r="N133" s="25">
        <f>Settings!$B$6</f>
        <v>100</v>
      </c>
      <c r="O133" s="3" t="e">
        <f t="shared" si="6"/>
        <v>#N/A</v>
      </c>
      <c r="P133" s="3" t="e">
        <f t="shared" si="7"/>
        <v>#N/A</v>
      </c>
      <c r="Q133" s="3" t="e">
        <f t="shared" si="8"/>
        <v>#N/A</v>
      </c>
      <c r="R133" s="131">
        <f t="shared" si="9"/>
        <v>46405</v>
      </c>
      <c r="S133" s="3" t="e">
        <f t="shared" si="10"/>
        <v>#N/A</v>
      </c>
      <c r="T133" s="3" t="e">
        <f t="shared" si="11"/>
        <v>#N/A</v>
      </c>
      <c r="U133" s="3">
        <f>Settings!$B$6</f>
        <v>100</v>
      </c>
    </row>
    <row r="134" spans="1:21" ht="18" customHeight="1" x14ac:dyDescent="0.3">
      <c r="A134" s="124">
        <f>A133+1</f>
        <v>46406</v>
      </c>
      <c r="B134" s="137"/>
      <c r="C134" s="126" t="str" cm="1">
        <f t="array" ref="C134">IF(B134="","",B134-IFERROR(LOOKUP(2,1/($B$6:B133&lt;&gt;""),$B$6:B133),Settings!$B$5))</f>
        <v/>
      </c>
      <c r="D134" s="127" t="str">
        <f>IF(B134="","",AVERAGE(B128:B134))</f>
        <v/>
      </c>
      <c r="E134" s="139"/>
      <c r="F134" s="140"/>
      <c r="G134" s="137"/>
      <c r="H134" s="139"/>
      <c r="I134" s="140"/>
      <c r="J134" s="141"/>
      <c r="K134" s="137"/>
      <c r="L134" s="142"/>
      <c r="M134" s="127" t="str">
        <f>IF(B134="","",B134/((Settings!$B$7)/100)^2)</f>
        <v/>
      </c>
      <c r="N134" s="25">
        <f>Settings!$B$6</f>
        <v>100</v>
      </c>
      <c r="O134" s="3" t="e">
        <f t="shared" si="6"/>
        <v>#N/A</v>
      </c>
      <c r="P134" s="3" t="e">
        <f t="shared" si="7"/>
        <v>#N/A</v>
      </c>
      <c r="Q134" s="3" t="e">
        <f t="shared" si="8"/>
        <v>#N/A</v>
      </c>
      <c r="R134" s="131">
        <f t="shared" si="9"/>
        <v>46406</v>
      </c>
      <c r="S134" s="3" t="e">
        <f t="shared" si="10"/>
        <v>#N/A</v>
      </c>
      <c r="T134" s="3" t="e">
        <f t="shared" si="11"/>
        <v>#N/A</v>
      </c>
      <c r="U134" s="3">
        <f>Settings!$B$6</f>
        <v>100</v>
      </c>
    </row>
    <row r="135" spans="1:21" ht="18" customHeight="1" x14ac:dyDescent="0.3">
      <c r="A135" s="132">
        <f>A134+1</f>
        <v>46407</v>
      </c>
      <c r="B135" s="138"/>
      <c r="C135" s="126" t="str" cm="1">
        <f t="array" ref="C135">IF(B135="","",B135-IFERROR(LOOKUP(2,1/($B$6:B134&lt;&gt;""),$B$6:B134),Settings!$B$5))</f>
        <v/>
      </c>
      <c r="D135" s="127" t="str">
        <f>IF(B135="","",AVERAGE(B129:B135))</f>
        <v/>
      </c>
      <c r="E135" s="143"/>
      <c r="F135" s="144"/>
      <c r="G135" s="138"/>
      <c r="H135" s="143"/>
      <c r="I135" s="144"/>
      <c r="J135" s="145"/>
      <c r="K135" s="138"/>
      <c r="L135" s="146"/>
      <c r="M135" s="127" t="str">
        <f>IF(B135="","",B135/((Settings!$B$7)/100)^2)</f>
        <v/>
      </c>
      <c r="N135" s="25">
        <f>Settings!$B$6</f>
        <v>100</v>
      </c>
      <c r="O135" s="3" t="e">
        <f t="shared" ref="O135:O198" si="12">IF($B135="",NA(),$B135)</f>
        <v>#N/A</v>
      </c>
      <c r="P135" s="3" t="e">
        <f t="shared" ref="P135:P198" si="13">IF($D135="",NA(),$D135)</f>
        <v>#N/A</v>
      </c>
      <c r="Q135" s="3" t="e">
        <f t="shared" ref="Q135:Q198" si="14">IF($M135="",NA(),$M135)</f>
        <v>#N/A</v>
      </c>
      <c r="R135" s="131">
        <f t="shared" ref="R135:R198" si="15">A135</f>
        <v>46407</v>
      </c>
      <c r="S135" s="3" t="e">
        <f t="shared" ref="S135:S198" si="16">IF($B135="",NA(),$B135)</f>
        <v>#N/A</v>
      </c>
      <c r="T135" s="3" t="e">
        <f t="shared" ref="T135:T198" si="17">IF($D135="",NA(),$D135)</f>
        <v>#N/A</v>
      </c>
      <c r="U135" s="3">
        <f>Settings!$B$6</f>
        <v>100</v>
      </c>
    </row>
    <row r="136" spans="1:21" ht="18" customHeight="1" x14ac:dyDescent="0.3">
      <c r="A136" s="124">
        <f>A135+1</f>
        <v>46408</v>
      </c>
      <c r="B136" s="137"/>
      <c r="C136" s="126" t="str" cm="1">
        <f t="array" ref="C136">IF(B136="","",B136-IFERROR(LOOKUP(2,1/($B$6:B135&lt;&gt;""),$B$6:B135),Settings!$B$5))</f>
        <v/>
      </c>
      <c r="D136" s="127" t="str">
        <f>IF(B136="","",AVERAGE(B130:B136))</f>
        <v/>
      </c>
      <c r="E136" s="139"/>
      <c r="F136" s="140"/>
      <c r="G136" s="137"/>
      <c r="H136" s="139"/>
      <c r="I136" s="140"/>
      <c r="J136" s="141"/>
      <c r="K136" s="137"/>
      <c r="L136" s="142"/>
      <c r="M136" s="127" t="str">
        <f>IF(B136="","",B136/((Settings!$B$7)/100)^2)</f>
        <v/>
      </c>
      <c r="N136" s="25">
        <f>Settings!$B$6</f>
        <v>100</v>
      </c>
      <c r="O136" s="3" t="e">
        <f t="shared" si="12"/>
        <v>#N/A</v>
      </c>
      <c r="P136" s="3" t="e">
        <f t="shared" si="13"/>
        <v>#N/A</v>
      </c>
      <c r="Q136" s="3" t="e">
        <f t="shared" si="14"/>
        <v>#N/A</v>
      </c>
      <c r="R136" s="131">
        <f t="shared" si="15"/>
        <v>46408</v>
      </c>
      <c r="S136" s="3" t="e">
        <f t="shared" si="16"/>
        <v>#N/A</v>
      </c>
      <c r="T136" s="3" t="e">
        <f t="shared" si="17"/>
        <v>#N/A</v>
      </c>
      <c r="U136" s="3">
        <f>Settings!$B$6</f>
        <v>100</v>
      </c>
    </row>
    <row r="137" spans="1:21" ht="18" customHeight="1" x14ac:dyDescent="0.3">
      <c r="A137" s="132">
        <f>A136+1</f>
        <v>46409</v>
      </c>
      <c r="B137" s="138"/>
      <c r="C137" s="126" t="str" cm="1">
        <f t="array" ref="C137">IF(B137="","",B137-IFERROR(LOOKUP(2,1/($B$6:B136&lt;&gt;""),$B$6:B136),Settings!$B$5))</f>
        <v/>
      </c>
      <c r="D137" s="127" t="str">
        <f>IF(B137="","",AVERAGE(B131:B137))</f>
        <v/>
      </c>
      <c r="E137" s="143"/>
      <c r="F137" s="144"/>
      <c r="G137" s="138"/>
      <c r="H137" s="143"/>
      <c r="I137" s="144"/>
      <c r="J137" s="145"/>
      <c r="K137" s="138"/>
      <c r="L137" s="146"/>
      <c r="M137" s="127" t="str">
        <f>IF(B137="","",B137/((Settings!$B$7)/100)^2)</f>
        <v/>
      </c>
      <c r="N137" s="25">
        <f>Settings!$B$6</f>
        <v>100</v>
      </c>
      <c r="O137" s="3" t="e">
        <f t="shared" si="12"/>
        <v>#N/A</v>
      </c>
      <c r="P137" s="3" t="e">
        <f t="shared" si="13"/>
        <v>#N/A</v>
      </c>
      <c r="Q137" s="3" t="e">
        <f t="shared" si="14"/>
        <v>#N/A</v>
      </c>
      <c r="R137" s="131">
        <f t="shared" si="15"/>
        <v>46409</v>
      </c>
      <c r="S137" s="3" t="e">
        <f t="shared" si="16"/>
        <v>#N/A</v>
      </c>
      <c r="T137" s="3" t="e">
        <f t="shared" si="17"/>
        <v>#N/A</v>
      </c>
      <c r="U137" s="3">
        <f>Settings!$B$6</f>
        <v>100</v>
      </c>
    </row>
    <row r="138" spans="1:21" ht="18" customHeight="1" x14ac:dyDescent="0.3">
      <c r="A138" s="124">
        <f>A137+1</f>
        <v>46410</v>
      </c>
      <c r="B138" s="137"/>
      <c r="C138" s="126" t="str" cm="1">
        <f t="array" ref="C138">IF(B138="","",B138-IFERROR(LOOKUP(2,1/($B$6:B137&lt;&gt;""),$B$6:B137),Settings!$B$5))</f>
        <v/>
      </c>
      <c r="D138" s="127" t="str">
        <f>IF(B138="","",AVERAGE(B132:B138))</f>
        <v/>
      </c>
      <c r="E138" s="139"/>
      <c r="F138" s="140"/>
      <c r="G138" s="137"/>
      <c r="H138" s="139"/>
      <c r="I138" s="140"/>
      <c r="J138" s="141"/>
      <c r="K138" s="137"/>
      <c r="L138" s="142"/>
      <c r="M138" s="127" t="str">
        <f>IF(B138="","",B138/((Settings!$B$7)/100)^2)</f>
        <v/>
      </c>
      <c r="N138" s="25">
        <f>Settings!$B$6</f>
        <v>100</v>
      </c>
      <c r="O138" s="3" t="e">
        <f t="shared" si="12"/>
        <v>#N/A</v>
      </c>
      <c r="P138" s="3" t="e">
        <f t="shared" si="13"/>
        <v>#N/A</v>
      </c>
      <c r="Q138" s="3" t="e">
        <f t="shared" si="14"/>
        <v>#N/A</v>
      </c>
      <c r="R138" s="131">
        <f t="shared" si="15"/>
        <v>46410</v>
      </c>
      <c r="S138" s="3" t="e">
        <f t="shared" si="16"/>
        <v>#N/A</v>
      </c>
      <c r="T138" s="3" t="e">
        <f t="shared" si="17"/>
        <v>#N/A</v>
      </c>
      <c r="U138" s="3">
        <f>Settings!$B$6</f>
        <v>100</v>
      </c>
    </row>
    <row r="139" spans="1:21" ht="18" customHeight="1" x14ac:dyDescent="0.3">
      <c r="A139" s="132">
        <f>A138+1</f>
        <v>46411</v>
      </c>
      <c r="B139" s="138"/>
      <c r="C139" s="126" t="str" cm="1">
        <f t="array" ref="C139">IF(B139="","",B139-IFERROR(LOOKUP(2,1/($B$6:B138&lt;&gt;""),$B$6:B138),Settings!$B$5))</f>
        <v/>
      </c>
      <c r="D139" s="127" t="str">
        <f>IF(B139="","",AVERAGE(B133:B139))</f>
        <v/>
      </c>
      <c r="E139" s="143"/>
      <c r="F139" s="144"/>
      <c r="G139" s="138"/>
      <c r="H139" s="143"/>
      <c r="I139" s="144"/>
      <c r="J139" s="145"/>
      <c r="K139" s="138"/>
      <c r="L139" s="146"/>
      <c r="M139" s="127" t="str">
        <f>IF(B139="","",B139/((Settings!$B$7)/100)^2)</f>
        <v/>
      </c>
      <c r="N139" s="25">
        <f>Settings!$B$6</f>
        <v>100</v>
      </c>
      <c r="O139" s="3" t="e">
        <f t="shared" si="12"/>
        <v>#N/A</v>
      </c>
      <c r="P139" s="3" t="e">
        <f t="shared" si="13"/>
        <v>#N/A</v>
      </c>
      <c r="Q139" s="3" t="e">
        <f t="shared" si="14"/>
        <v>#N/A</v>
      </c>
      <c r="R139" s="131">
        <f t="shared" si="15"/>
        <v>46411</v>
      </c>
      <c r="S139" s="3" t="e">
        <f t="shared" si="16"/>
        <v>#N/A</v>
      </c>
      <c r="T139" s="3" t="e">
        <f t="shared" si="17"/>
        <v>#N/A</v>
      </c>
      <c r="U139" s="3">
        <f>Settings!$B$6</f>
        <v>100</v>
      </c>
    </row>
    <row r="140" spans="1:21" ht="18" customHeight="1" x14ac:dyDescent="0.3">
      <c r="A140" s="124">
        <f>A139+1</f>
        <v>46412</v>
      </c>
      <c r="B140" s="137"/>
      <c r="C140" s="126" t="str" cm="1">
        <f t="array" ref="C140">IF(B140="","",B140-IFERROR(LOOKUP(2,1/($B$6:B139&lt;&gt;""),$B$6:B139),Settings!$B$5))</f>
        <v/>
      </c>
      <c r="D140" s="127" t="str">
        <f>IF(B140="","",AVERAGE(B134:B140))</f>
        <v/>
      </c>
      <c r="E140" s="139"/>
      <c r="F140" s="140"/>
      <c r="G140" s="137"/>
      <c r="H140" s="139"/>
      <c r="I140" s="140"/>
      <c r="J140" s="141"/>
      <c r="K140" s="137"/>
      <c r="L140" s="142"/>
      <c r="M140" s="127" t="str">
        <f>IF(B140="","",B140/((Settings!$B$7)/100)^2)</f>
        <v/>
      </c>
      <c r="N140" s="25">
        <f>Settings!$B$6</f>
        <v>100</v>
      </c>
      <c r="O140" s="3" t="e">
        <f t="shared" si="12"/>
        <v>#N/A</v>
      </c>
      <c r="P140" s="3" t="e">
        <f t="shared" si="13"/>
        <v>#N/A</v>
      </c>
      <c r="Q140" s="3" t="e">
        <f t="shared" si="14"/>
        <v>#N/A</v>
      </c>
      <c r="R140" s="131">
        <f t="shared" si="15"/>
        <v>46412</v>
      </c>
      <c r="S140" s="3" t="e">
        <f t="shared" si="16"/>
        <v>#N/A</v>
      </c>
      <c r="T140" s="3" t="e">
        <f t="shared" si="17"/>
        <v>#N/A</v>
      </c>
      <c r="U140" s="3">
        <f>Settings!$B$6</f>
        <v>100</v>
      </c>
    </row>
    <row r="141" spans="1:21" ht="18" customHeight="1" x14ac:dyDescent="0.3">
      <c r="A141" s="132">
        <f>A140+1</f>
        <v>46413</v>
      </c>
      <c r="B141" s="138"/>
      <c r="C141" s="126" t="str" cm="1">
        <f t="array" ref="C141">IF(B141="","",B141-IFERROR(LOOKUP(2,1/($B$6:B140&lt;&gt;""),$B$6:B140),Settings!$B$5))</f>
        <v/>
      </c>
      <c r="D141" s="127" t="str">
        <f>IF(B141="","",AVERAGE(B135:B141))</f>
        <v/>
      </c>
      <c r="E141" s="143"/>
      <c r="F141" s="144"/>
      <c r="G141" s="138"/>
      <c r="H141" s="143"/>
      <c r="I141" s="144"/>
      <c r="J141" s="145"/>
      <c r="K141" s="138"/>
      <c r="L141" s="146"/>
      <c r="M141" s="127" t="str">
        <f>IF(B141="","",B141/((Settings!$B$7)/100)^2)</f>
        <v/>
      </c>
      <c r="N141" s="25">
        <f>Settings!$B$6</f>
        <v>100</v>
      </c>
      <c r="O141" s="3" t="e">
        <f t="shared" si="12"/>
        <v>#N/A</v>
      </c>
      <c r="P141" s="3" t="e">
        <f t="shared" si="13"/>
        <v>#N/A</v>
      </c>
      <c r="Q141" s="3" t="e">
        <f t="shared" si="14"/>
        <v>#N/A</v>
      </c>
      <c r="R141" s="131">
        <f t="shared" si="15"/>
        <v>46413</v>
      </c>
      <c r="S141" s="3" t="e">
        <f t="shared" si="16"/>
        <v>#N/A</v>
      </c>
      <c r="T141" s="3" t="e">
        <f t="shared" si="17"/>
        <v>#N/A</v>
      </c>
      <c r="U141" s="3">
        <f>Settings!$B$6</f>
        <v>100</v>
      </c>
    </row>
    <row r="142" spans="1:21" ht="18" customHeight="1" x14ac:dyDescent="0.3">
      <c r="A142" s="124">
        <f>A141+1</f>
        <v>46414</v>
      </c>
      <c r="B142" s="137"/>
      <c r="C142" s="126" t="str" cm="1">
        <f t="array" ref="C142">IF(B142="","",B142-IFERROR(LOOKUP(2,1/($B$6:B141&lt;&gt;""),$B$6:B141),Settings!$B$5))</f>
        <v/>
      </c>
      <c r="D142" s="127" t="str">
        <f>IF(B142="","",AVERAGE(B136:B142))</f>
        <v/>
      </c>
      <c r="E142" s="139"/>
      <c r="F142" s="140"/>
      <c r="G142" s="137"/>
      <c r="H142" s="139"/>
      <c r="I142" s="140"/>
      <c r="J142" s="141"/>
      <c r="K142" s="137"/>
      <c r="L142" s="142"/>
      <c r="M142" s="127" t="str">
        <f>IF(B142="","",B142/((Settings!$B$7)/100)^2)</f>
        <v/>
      </c>
      <c r="N142" s="25">
        <f>Settings!$B$6</f>
        <v>100</v>
      </c>
      <c r="O142" s="3" t="e">
        <f t="shared" si="12"/>
        <v>#N/A</v>
      </c>
      <c r="P142" s="3" t="e">
        <f t="shared" si="13"/>
        <v>#N/A</v>
      </c>
      <c r="Q142" s="3" t="e">
        <f t="shared" si="14"/>
        <v>#N/A</v>
      </c>
      <c r="R142" s="131">
        <f t="shared" si="15"/>
        <v>46414</v>
      </c>
      <c r="S142" s="3" t="e">
        <f t="shared" si="16"/>
        <v>#N/A</v>
      </c>
      <c r="T142" s="3" t="e">
        <f t="shared" si="17"/>
        <v>#N/A</v>
      </c>
      <c r="U142" s="3">
        <f>Settings!$B$6</f>
        <v>100</v>
      </c>
    </row>
    <row r="143" spans="1:21" ht="18" customHeight="1" x14ac:dyDescent="0.3">
      <c r="A143" s="132">
        <f>A142+1</f>
        <v>46415</v>
      </c>
      <c r="B143" s="138"/>
      <c r="C143" s="126" t="str" cm="1">
        <f t="array" ref="C143">IF(B143="","",B143-IFERROR(LOOKUP(2,1/($B$6:B142&lt;&gt;""),$B$6:B142),Settings!$B$5))</f>
        <v/>
      </c>
      <c r="D143" s="127" t="str">
        <f>IF(B143="","",AVERAGE(B137:B143))</f>
        <v/>
      </c>
      <c r="E143" s="143"/>
      <c r="F143" s="144"/>
      <c r="G143" s="138"/>
      <c r="H143" s="143"/>
      <c r="I143" s="144"/>
      <c r="J143" s="145"/>
      <c r="K143" s="138"/>
      <c r="L143" s="146"/>
      <c r="M143" s="127" t="str">
        <f>IF(B143="","",B143/((Settings!$B$7)/100)^2)</f>
        <v/>
      </c>
      <c r="N143" s="25">
        <f>Settings!$B$6</f>
        <v>100</v>
      </c>
      <c r="O143" s="3" t="e">
        <f t="shared" si="12"/>
        <v>#N/A</v>
      </c>
      <c r="P143" s="3" t="e">
        <f t="shared" si="13"/>
        <v>#N/A</v>
      </c>
      <c r="Q143" s="3" t="e">
        <f t="shared" si="14"/>
        <v>#N/A</v>
      </c>
      <c r="R143" s="131">
        <f t="shared" si="15"/>
        <v>46415</v>
      </c>
      <c r="S143" s="3" t="e">
        <f t="shared" si="16"/>
        <v>#N/A</v>
      </c>
      <c r="T143" s="3" t="e">
        <f t="shared" si="17"/>
        <v>#N/A</v>
      </c>
      <c r="U143" s="3">
        <f>Settings!$B$6</f>
        <v>100</v>
      </c>
    </row>
    <row r="144" spans="1:21" ht="18" customHeight="1" x14ac:dyDescent="0.3">
      <c r="A144" s="124">
        <f>A143+1</f>
        <v>46416</v>
      </c>
      <c r="B144" s="137"/>
      <c r="C144" s="126" t="str" cm="1">
        <f t="array" ref="C144">IF(B144="","",B144-IFERROR(LOOKUP(2,1/($B$6:B143&lt;&gt;""),$B$6:B143),Settings!$B$5))</f>
        <v/>
      </c>
      <c r="D144" s="127" t="str">
        <f>IF(B144="","",AVERAGE(B138:B144))</f>
        <v/>
      </c>
      <c r="E144" s="139"/>
      <c r="F144" s="140"/>
      <c r="G144" s="137"/>
      <c r="H144" s="139"/>
      <c r="I144" s="140"/>
      <c r="J144" s="141"/>
      <c r="K144" s="137"/>
      <c r="L144" s="142"/>
      <c r="M144" s="127" t="str">
        <f>IF(B144="","",B144/((Settings!$B$7)/100)^2)</f>
        <v/>
      </c>
      <c r="N144" s="25">
        <f>Settings!$B$6</f>
        <v>100</v>
      </c>
      <c r="O144" s="3" t="e">
        <f t="shared" si="12"/>
        <v>#N/A</v>
      </c>
      <c r="P144" s="3" t="e">
        <f t="shared" si="13"/>
        <v>#N/A</v>
      </c>
      <c r="Q144" s="3" t="e">
        <f t="shared" si="14"/>
        <v>#N/A</v>
      </c>
      <c r="R144" s="131">
        <f t="shared" si="15"/>
        <v>46416</v>
      </c>
      <c r="S144" s="3" t="e">
        <f t="shared" si="16"/>
        <v>#N/A</v>
      </c>
      <c r="T144" s="3" t="e">
        <f t="shared" si="17"/>
        <v>#N/A</v>
      </c>
      <c r="U144" s="3">
        <f>Settings!$B$6</f>
        <v>100</v>
      </c>
    </row>
    <row r="145" spans="1:21" ht="18" customHeight="1" x14ac:dyDescent="0.3">
      <c r="A145" s="132">
        <f>A144+1</f>
        <v>46417</v>
      </c>
      <c r="B145" s="138"/>
      <c r="C145" s="126" t="str" cm="1">
        <f t="array" ref="C145">IF(B145="","",B145-IFERROR(LOOKUP(2,1/($B$6:B144&lt;&gt;""),$B$6:B144),Settings!$B$5))</f>
        <v/>
      </c>
      <c r="D145" s="127" t="str">
        <f>IF(B145="","",AVERAGE(B139:B145))</f>
        <v/>
      </c>
      <c r="E145" s="143"/>
      <c r="F145" s="144"/>
      <c r="G145" s="138"/>
      <c r="H145" s="143"/>
      <c r="I145" s="144"/>
      <c r="J145" s="145"/>
      <c r="K145" s="138"/>
      <c r="L145" s="146"/>
      <c r="M145" s="127" t="str">
        <f>IF(B145="","",B145/((Settings!$B$7)/100)^2)</f>
        <v/>
      </c>
      <c r="N145" s="25">
        <f>Settings!$B$6</f>
        <v>100</v>
      </c>
      <c r="O145" s="3" t="e">
        <f t="shared" si="12"/>
        <v>#N/A</v>
      </c>
      <c r="P145" s="3" t="e">
        <f t="shared" si="13"/>
        <v>#N/A</v>
      </c>
      <c r="Q145" s="3" t="e">
        <f t="shared" si="14"/>
        <v>#N/A</v>
      </c>
      <c r="R145" s="131">
        <f t="shared" si="15"/>
        <v>46417</v>
      </c>
      <c r="S145" s="3" t="e">
        <f t="shared" si="16"/>
        <v>#N/A</v>
      </c>
      <c r="T145" s="3" t="e">
        <f t="shared" si="17"/>
        <v>#N/A</v>
      </c>
      <c r="U145" s="3">
        <f>Settings!$B$6</f>
        <v>100</v>
      </c>
    </row>
    <row r="146" spans="1:21" ht="18" customHeight="1" x14ac:dyDescent="0.3">
      <c r="A146" s="124">
        <f>A145+1</f>
        <v>46418</v>
      </c>
      <c r="B146" s="137"/>
      <c r="C146" s="126" t="str" cm="1">
        <f t="array" ref="C146">IF(B146="","",B146-IFERROR(LOOKUP(2,1/($B$6:B145&lt;&gt;""),$B$6:B145),Settings!$B$5))</f>
        <v/>
      </c>
      <c r="D146" s="127" t="str">
        <f>IF(B146="","",AVERAGE(B140:B146))</f>
        <v/>
      </c>
      <c r="E146" s="139"/>
      <c r="F146" s="140"/>
      <c r="G146" s="137"/>
      <c r="H146" s="139"/>
      <c r="I146" s="140"/>
      <c r="J146" s="141"/>
      <c r="K146" s="137"/>
      <c r="L146" s="142"/>
      <c r="M146" s="127" t="str">
        <f>IF(B146="","",B146/((Settings!$B$7)/100)^2)</f>
        <v/>
      </c>
      <c r="N146" s="25">
        <f>Settings!$B$6</f>
        <v>100</v>
      </c>
      <c r="O146" s="3" t="e">
        <f t="shared" si="12"/>
        <v>#N/A</v>
      </c>
      <c r="P146" s="3" t="e">
        <f t="shared" si="13"/>
        <v>#N/A</v>
      </c>
      <c r="Q146" s="3" t="e">
        <f t="shared" si="14"/>
        <v>#N/A</v>
      </c>
      <c r="R146" s="131">
        <f t="shared" si="15"/>
        <v>46418</v>
      </c>
      <c r="S146" s="3" t="e">
        <f t="shared" si="16"/>
        <v>#N/A</v>
      </c>
      <c r="T146" s="3" t="e">
        <f t="shared" si="17"/>
        <v>#N/A</v>
      </c>
      <c r="U146" s="3">
        <f>Settings!$B$6</f>
        <v>100</v>
      </c>
    </row>
    <row r="147" spans="1:21" ht="18" customHeight="1" x14ac:dyDescent="0.3">
      <c r="A147" s="132">
        <f>A146+1</f>
        <v>46419</v>
      </c>
      <c r="B147" s="138"/>
      <c r="C147" s="126" t="str" cm="1">
        <f t="array" ref="C147">IF(B147="","",B147-IFERROR(LOOKUP(2,1/($B$6:B146&lt;&gt;""),$B$6:B146),Settings!$B$5))</f>
        <v/>
      </c>
      <c r="D147" s="127" t="str">
        <f>IF(B147="","",AVERAGE(B141:B147))</f>
        <v/>
      </c>
      <c r="E147" s="143"/>
      <c r="F147" s="144"/>
      <c r="G147" s="138"/>
      <c r="H147" s="143"/>
      <c r="I147" s="144"/>
      <c r="J147" s="145"/>
      <c r="K147" s="138"/>
      <c r="L147" s="146"/>
      <c r="M147" s="127" t="str">
        <f>IF(B147="","",B147/((Settings!$B$7)/100)^2)</f>
        <v/>
      </c>
      <c r="N147" s="25">
        <f>Settings!$B$6</f>
        <v>100</v>
      </c>
      <c r="O147" s="3" t="e">
        <f t="shared" si="12"/>
        <v>#N/A</v>
      </c>
      <c r="P147" s="3" t="e">
        <f t="shared" si="13"/>
        <v>#N/A</v>
      </c>
      <c r="Q147" s="3" t="e">
        <f t="shared" si="14"/>
        <v>#N/A</v>
      </c>
      <c r="R147" s="131">
        <f t="shared" si="15"/>
        <v>46419</v>
      </c>
      <c r="S147" s="3" t="e">
        <f t="shared" si="16"/>
        <v>#N/A</v>
      </c>
      <c r="T147" s="3" t="e">
        <f t="shared" si="17"/>
        <v>#N/A</v>
      </c>
      <c r="U147" s="3">
        <f>Settings!$B$6</f>
        <v>100</v>
      </c>
    </row>
    <row r="148" spans="1:21" ht="18" customHeight="1" x14ac:dyDescent="0.3">
      <c r="A148" s="124">
        <f>A147+1</f>
        <v>46420</v>
      </c>
      <c r="B148" s="137"/>
      <c r="C148" s="126" t="str" cm="1">
        <f t="array" ref="C148">IF(B148="","",B148-IFERROR(LOOKUP(2,1/($B$6:B147&lt;&gt;""),$B$6:B147),Settings!$B$5))</f>
        <v/>
      </c>
      <c r="D148" s="127" t="str">
        <f>IF(B148="","",AVERAGE(B142:B148))</f>
        <v/>
      </c>
      <c r="E148" s="139"/>
      <c r="F148" s="140"/>
      <c r="G148" s="137"/>
      <c r="H148" s="139"/>
      <c r="I148" s="140"/>
      <c r="J148" s="141"/>
      <c r="K148" s="137"/>
      <c r="L148" s="142"/>
      <c r="M148" s="127" t="str">
        <f>IF(B148="","",B148/((Settings!$B$7)/100)^2)</f>
        <v/>
      </c>
      <c r="N148" s="25">
        <f>Settings!$B$6</f>
        <v>100</v>
      </c>
      <c r="O148" s="3" t="e">
        <f t="shared" si="12"/>
        <v>#N/A</v>
      </c>
      <c r="P148" s="3" t="e">
        <f t="shared" si="13"/>
        <v>#N/A</v>
      </c>
      <c r="Q148" s="3" t="e">
        <f t="shared" si="14"/>
        <v>#N/A</v>
      </c>
      <c r="R148" s="131">
        <f t="shared" si="15"/>
        <v>46420</v>
      </c>
      <c r="S148" s="3" t="e">
        <f t="shared" si="16"/>
        <v>#N/A</v>
      </c>
      <c r="T148" s="3" t="e">
        <f t="shared" si="17"/>
        <v>#N/A</v>
      </c>
      <c r="U148" s="3">
        <f>Settings!$B$6</f>
        <v>100</v>
      </c>
    </row>
    <row r="149" spans="1:21" ht="18" customHeight="1" x14ac:dyDescent="0.3">
      <c r="A149" s="132">
        <f>A148+1</f>
        <v>46421</v>
      </c>
      <c r="B149" s="138"/>
      <c r="C149" s="126" t="str" cm="1">
        <f t="array" ref="C149">IF(B149="","",B149-IFERROR(LOOKUP(2,1/($B$6:B148&lt;&gt;""),$B$6:B148),Settings!$B$5))</f>
        <v/>
      </c>
      <c r="D149" s="127" t="str">
        <f>IF(B149="","",AVERAGE(B143:B149))</f>
        <v/>
      </c>
      <c r="E149" s="143"/>
      <c r="F149" s="144"/>
      <c r="G149" s="138"/>
      <c r="H149" s="143"/>
      <c r="I149" s="144"/>
      <c r="J149" s="145"/>
      <c r="K149" s="138"/>
      <c r="L149" s="146"/>
      <c r="M149" s="127" t="str">
        <f>IF(B149="","",B149/((Settings!$B$7)/100)^2)</f>
        <v/>
      </c>
      <c r="N149" s="25">
        <f>Settings!$B$6</f>
        <v>100</v>
      </c>
      <c r="O149" s="3" t="e">
        <f t="shared" si="12"/>
        <v>#N/A</v>
      </c>
      <c r="P149" s="3" t="e">
        <f t="shared" si="13"/>
        <v>#N/A</v>
      </c>
      <c r="Q149" s="3" t="e">
        <f t="shared" si="14"/>
        <v>#N/A</v>
      </c>
      <c r="R149" s="131">
        <f t="shared" si="15"/>
        <v>46421</v>
      </c>
      <c r="S149" s="3" t="e">
        <f t="shared" si="16"/>
        <v>#N/A</v>
      </c>
      <c r="T149" s="3" t="e">
        <f t="shared" si="17"/>
        <v>#N/A</v>
      </c>
      <c r="U149" s="3">
        <f>Settings!$B$6</f>
        <v>100</v>
      </c>
    </row>
    <row r="150" spans="1:21" ht="18" customHeight="1" x14ac:dyDescent="0.3">
      <c r="A150" s="124">
        <f>A149+1</f>
        <v>46422</v>
      </c>
      <c r="B150" s="137"/>
      <c r="C150" s="126" t="str" cm="1">
        <f t="array" ref="C150">IF(B150="","",B150-IFERROR(LOOKUP(2,1/($B$6:B149&lt;&gt;""),$B$6:B149),Settings!$B$5))</f>
        <v/>
      </c>
      <c r="D150" s="127" t="str">
        <f>IF(B150="","",AVERAGE(B144:B150))</f>
        <v/>
      </c>
      <c r="E150" s="139"/>
      <c r="F150" s="140"/>
      <c r="G150" s="137"/>
      <c r="H150" s="139"/>
      <c r="I150" s="140"/>
      <c r="J150" s="141"/>
      <c r="K150" s="137"/>
      <c r="L150" s="142"/>
      <c r="M150" s="127" t="str">
        <f>IF(B150="","",B150/((Settings!$B$7)/100)^2)</f>
        <v/>
      </c>
      <c r="N150" s="25">
        <f>Settings!$B$6</f>
        <v>100</v>
      </c>
      <c r="O150" s="3" t="e">
        <f t="shared" si="12"/>
        <v>#N/A</v>
      </c>
      <c r="P150" s="3" t="e">
        <f t="shared" si="13"/>
        <v>#N/A</v>
      </c>
      <c r="Q150" s="3" t="e">
        <f t="shared" si="14"/>
        <v>#N/A</v>
      </c>
      <c r="R150" s="131">
        <f t="shared" si="15"/>
        <v>46422</v>
      </c>
      <c r="S150" s="3" t="e">
        <f t="shared" si="16"/>
        <v>#N/A</v>
      </c>
      <c r="T150" s="3" t="e">
        <f t="shared" si="17"/>
        <v>#N/A</v>
      </c>
      <c r="U150" s="3">
        <f>Settings!$B$6</f>
        <v>100</v>
      </c>
    </row>
    <row r="151" spans="1:21" ht="18" customHeight="1" x14ac:dyDescent="0.3">
      <c r="A151" s="132">
        <f>A150+1</f>
        <v>46423</v>
      </c>
      <c r="B151" s="138"/>
      <c r="C151" s="126" t="str" cm="1">
        <f t="array" ref="C151">IF(B151="","",B151-IFERROR(LOOKUP(2,1/($B$6:B150&lt;&gt;""),$B$6:B150),Settings!$B$5))</f>
        <v/>
      </c>
      <c r="D151" s="127" t="str">
        <f>IF(B151="","",AVERAGE(B145:B151))</f>
        <v/>
      </c>
      <c r="E151" s="143"/>
      <c r="F151" s="144"/>
      <c r="G151" s="138"/>
      <c r="H151" s="143"/>
      <c r="I151" s="144"/>
      <c r="J151" s="145"/>
      <c r="K151" s="138"/>
      <c r="L151" s="146"/>
      <c r="M151" s="127" t="str">
        <f>IF(B151="","",B151/((Settings!$B$7)/100)^2)</f>
        <v/>
      </c>
      <c r="N151" s="25">
        <f>Settings!$B$6</f>
        <v>100</v>
      </c>
      <c r="O151" s="3" t="e">
        <f t="shared" si="12"/>
        <v>#N/A</v>
      </c>
      <c r="P151" s="3" t="e">
        <f t="shared" si="13"/>
        <v>#N/A</v>
      </c>
      <c r="Q151" s="3" t="e">
        <f t="shared" si="14"/>
        <v>#N/A</v>
      </c>
      <c r="R151" s="131">
        <f t="shared" si="15"/>
        <v>46423</v>
      </c>
      <c r="S151" s="3" t="e">
        <f t="shared" si="16"/>
        <v>#N/A</v>
      </c>
      <c r="T151" s="3" t="e">
        <f t="shared" si="17"/>
        <v>#N/A</v>
      </c>
      <c r="U151" s="3">
        <f>Settings!$B$6</f>
        <v>100</v>
      </c>
    </row>
    <row r="152" spans="1:21" ht="18" customHeight="1" x14ac:dyDescent="0.3">
      <c r="A152" s="124">
        <f>A151+1</f>
        <v>46424</v>
      </c>
      <c r="B152" s="137"/>
      <c r="C152" s="126" t="str" cm="1">
        <f t="array" ref="C152">IF(B152="","",B152-IFERROR(LOOKUP(2,1/($B$6:B151&lt;&gt;""),$B$6:B151),Settings!$B$5))</f>
        <v/>
      </c>
      <c r="D152" s="127" t="str">
        <f>IF(B152="","",AVERAGE(B146:B152))</f>
        <v/>
      </c>
      <c r="E152" s="139"/>
      <c r="F152" s="140"/>
      <c r="G152" s="137"/>
      <c r="H152" s="139"/>
      <c r="I152" s="140"/>
      <c r="J152" s="141"/>
      <c r="K152" s="137"/>
      <c r="L152" s="142"/>
      <c r="M152" s="127" t="str">
        <f>IF(B152="","",B152/((Settings!$B$7)/100)^2)</f>
        <v/>
      </c>
      <c r="N152" s="25">
        <f>Settings!$B$6</f>
        <v>100</v>
      </c>
      <c r="O152" s="3" t="e">
        <f t="shared" si="12"/>
        <v>#N/A</v>
      </c>
      <c r="P152" s="3" t="e">
        <f t="shared" si="13"/>
        <v>#N/A</v>
      </c>
      <c r="Q152" s="3" t="e">
        <f t="shared" si="14"/>
        <v>#N/A</v>
      </c>
      <c r="R152" s="131">
        <f t="shared" si="15"/>
        <v>46424</v>
      </c>
      <c r="S152" s="3" t="e">
        <f t="shared" si="16"/>
        <v>#N/A</v>
      </c>
      <c r="T152" s="3" t="e">
        <f t="shared" si="17"/>
        <v>#N/A</v>
      </c>
      <c r="U152" s="3">
        <f>Settings!$B$6</f>
        <v>100</v>
      </c>
    </row>
    <row r="153" spans="1:21" ht="18" customHeight="1" x14ac:dyDescent="0.3">
      <c r="A153" s="132">
        <f>A152+1</f>
        <v>46425</v>
      </c>
      <c r="B153" s="138"/>
      <c r="C153" s="126" t="str" cm="1">
        <f t="array" ref="C153">IF(B153="","",B153-IFERROR(LOOKUP(2,1/($B$6:B152&lt;&gt;""),$B$6:B152),Settings!$B$5))</f>
        <v/>
      </c>
      <c r="D153" s="127" t="str">
        <f>IF(B153="","",AVERAGE(B147:B153))</f>
        <v/>
      </c>
      <c r="E153" s="143"/>
      <c r="F153" s="144"/>
      <c r="G153" s="138"/>
      <c r="H153" s="143"/>
      <c r="I153" s="144"/>
      <c r="J153" s="145"/>
      <c r="K153" s="138"/>
      <c r="L153" s="146"/>
      <c r="M153" s="127" t="str">
        <f>IF(B153="","",B153/((Settings!$B$7)/100)^2)</f>
        <v/>
      </c>
      <c r="N153" s="25">
        <f>Settings!$B$6</f>
        <v>100</v>
      </c>
      <c r="O153" s="3" t="e">
        <f t="shared" si="12"/>
        <v>#N/A</v>
      </c>
      <c r="P153" s="3" t="e">
        <f t="shared" si="13"/>
        <v>#N/A</v>
      </c>
      <c r="Q153" s="3" t="e">
        <f t="shared" si="14"/>
        <v>#N/A</v>
      </c>
      <c r="R153" s="131">
        <f t="shared" si="15"/>
        <v>46425</v>
      </c>
      <c r="S153" s="3" t="e">
        <f t="shared" si="16"/>
        <v>#N/A</v>
      </c>
      <c r="T153" s="3" t="e">
        <f t="shared" si="17"/>
        <v>#N/A</v>
      </c>
      <c r="U153" s="3">
        <f>Settings!$B$6</f>
        <v>100</v>
      </c>
    </row>
    <row r="154" spans="1:21" ht="18" customHeight="1" x14ac:dyDescent="0.3">
      <c r="A154" s="124">
        <f>A153+1</f>
        <v>46426</v>
      </c>
      <c r="B154" s="137"/>
      <c r="C154" s="126" t="str" cm="1">
        <f t="array" ref="C154">IF(B154="","",B154-IFERROR(LOOKUP(2,1/($B$6:B153&lt;&gt;""),$B$6:B153),Settings!$B$5))</f>
        <v/>
      </c>
      <c r="D154" s="127" t="str">
        <f>IF(B154="","",AVERAGE(B148:B154))</f>
        <v/>
      </c>
      <c r="E154" s="139"/>
      <c r="F154" s="140"/>
      <c r="G154" s="137"/>
      <c r="H154" s="139"/>
      <c r="I154" s="140"/>
      <c r="J154" s="141"/>
      <c r="K154" s="137"/>
      <c r="L154" s="142"/>
      <c r="M154" s="127" t="str">
        <f>IF(B154="","",B154/((Settings!$B$7)/100)^2)</f>
        <v/>
      </c>
      <c r="N154" s="25">
        <f>Settings!$B$6</f>
        <v>100</v>
      </c>
      <c r="O154" s="3" t="e">
        <f t="shared" si="12"/>
        <v>#N/A</v>
      </c>
      <c r="P154" s="3" t="e">
        <f t="shared" si="13"/>
        <v>#N/A</v>
      </c>
      <c r="Q154" s="3" t="e">
        <f t="shared" si="14"/>
        <v>#N/A</v>
      </c>
      <c r="R154" s="131">
        <f t="shared" si="15"/>
        <v>46426</v>
      </c>
      <c r="S154" s="3" t="e">
        <f t="shared" si="16"/>
        <v>#N/A</v>
      </c>
      <c r="T154" s="3" t="e">
        <f t="shared" si="17"/>
        <v>#N/A</v>
      </c>
      <c r="U154" s="3">
        <f>Settings!$B$6</f>
        <v>100</v>
      </c>
    </row>
    <row r="155" spans="1:21" ht="18" customHeight="1" x14ac:dyDescent="0.3">
      <c r="A155" s="132">
        <f>A154+1</f>
        <v>46427</v>
      </c>
      <c r="B155" s="138"/>
      <c r="C155" s="126" t="str" cm="1">
        <f t="array" ref="C155">IF(B155="","",B155-IFERROR(LOOKUP(2,1/($B$6:B154&lt;&gt;""),$B$6:B154),Settings!$B$5))</f>
        <v/>
      </c>
      <c r="D155" s="127" t="str">
        <f>IF(B155="","",AVERAGE(B149:B155))</f>
        <v/>
      </c>
      <c r="E155" s="143"/>
      <c r="F155" s="144"/>
      <c r="G155" s="138"/>
      <c r="H155" s="143"/>
      <c r="I155" s="144"/>
      <c r="J155" s="145"/>
      <c r="K155" s="138"/>
      <c r="L155" s="146"/>
      <c r="M155" s="127" t="str">
        <f>IF(B155="","",B155/((Settings!$B$7)/100)^2)</f>
        <v/>
      </c>
      <c r="N155" s="25">
        <f>Settings!$B$6</f>
        <v>100</v>
      </c>
      <c r="O155" s="3" t="e">
        <f t="shared" si="12"/>
        <v>#N/A</v>
      </c>
      <c r="P155" s="3" t="e">
        <f t="shared" si="13"/>
        <v>#N/A</v>
      </c>
      <c r="Q155" s="3" t="e">
        <f t="shared" si="14"/>
        <v>#N/A</v>
      </c>
      <c r="R155" s="131">
        <f t="shared" si="15"/>
        <v>46427</v>
      </c>
      <c r="S155" s="3" t="e">
        <f t="shared" si="16"/>
        <v>#N/A</v>
      </c>
      <c r="T155" s="3" t="e">
        <f t="shared" si="17"/>
        <v>#N/A</v>
      </c>
      <c r="U155" s="3">
        <f>Settings!$B$6</f>
        <v>100</v>
      </c>
    </row>
    <row r="156" spans="1:21" ht="18" customHeight="1" x14ac:dyDescent="0.3">
      <c r="A156" s="124">
        <f>A155+1</f>
        <v>46428</v>
      </c>
      <c r="B156" s="137"/>
      <c r="C156" s="126" t="str" cm="1">
        <f t="array" ref="C156">IF(B156="","",B156-IFERROR(LOOKUP(2,1/($B$6:B155&lt;&gt;""),$B$6:B155),Settings!$B$5))</f>
        <v/>
      </c>
      <c r="D156" s="127" t="str">
        <f>IF(B156="","",AVERAGE(B150:B156))</f>
        <v/>
      </c>
      <c r="E156" s="139"/>
      <c r="F156" s="140"/>
      <c r="G156" s="137"/>
      <c r="H156" s="139"/>
      <c r="I156" s="140"/>
      <c r="J156" s="141"/>
      <c r="K156" s="137"/>
      <c r="L156" s="142"/>
      <c r="M156" s="127" t="str">
        <f>IF(B156="","",B156/((Settings!$B$7)/100)^2)</f>
        <v/>
      </c>
      <c r="N156" s="25">
        <f>Settings!$B$6</f>
        <v>100</v>
      </c>
      <c r="O156" s="3" t="e">
        <f t="shared" si="12"/>
        <v>#N/A</v>
      </c>
      <c r="P156" s="3" t="e">
        <f t="shared" si="13"/>
        <v>#N/A</v>
      </c>
      <c r="Q156" s="3" t="e">
        <f t="shared" si="14"/>
        <v>#N/A</v>
      </c>
      <c r="R156" s="131">
        <f t="shared" si="15"/>
        <v>46428</v>
      </c>
      <c r="S156" s="3" t="e">
        <f t="shared" si="16"/>
        <v>#N/A</v>
      </c>
      <c r="T156" s="3" t="e">
        <f t="shared" si="17"/>
        <v>#N/A</v>
      </c>
      <c r="U156" s="3">
        <f>Settings!$B$6</f>
        <v>100</v>
      </c>
    </row>
    <row r="157" spans="1:21" ht="18" customHeight="1" x14ac:dyDescent="0.3">
      <c r="A157" s="132">
        <f>A156+1</f>
        <v>46429</v>
      </c>
      <c r="B157" s="138"/>
      <c r="C157" s="126" t="str" cm="1">
        <f t="array" ref="C157">IF(B157="","",B157-IFERROR(LOOKUP(2,1/($B$6:B156&lt;&gt;""),$B$6:B156),Settings!$B$5))</f>
        <v/>
      </c>
      <c r="D157" s="127" t="str">
        <f>IF(B157="","",AVERAGE(B151:B157))</f>
        <v/>
      </c>
      <c r="E157" s="143"/>
      <c r="F157" s="144"/>
      <c r="G157" s="138"/>
      <c r="H157" s="143"/>
      <c r="I157" s="144"/>
      <c r="J157" s="145"/>
      <c r="K157" s="138"/>
      <c r="L157" s="146"/>
      <c r="M157" s="127" t="str">
        <f>IF(B157="","",B157/((Settings!$B$7)/100)^2)</f>
        <v/>
      </c>
      <c r="N157" s="25">
        <f>Settings!$B$6</f>
        <v>100</v>
      </c>
      <c r="O157" s="3" t="e">
        <f t="shared" si="12"/>
        <v>#N/A</v>
      </c>
      <c r="P157" s="3" t="e">
        <f t="shared" si="13"/>
        <v>#N/A</v>
      </c>
      <c r="Q157" s="3" t="e">
        <f t="shared" si="14"/>
        <v>#N/A</v>
      </c>
      <c r="R157" s="131">
        <f t="shared" si="15"/>
        <v>46429</v>
      </c>
      <c r="S157" s="3" t="e">
        <f t="shared" si="16"/>
        <v>#N/A</v>
      </c>
      <c r="T157" s="3" t="e">
        <f t="shared" si="17"/>
        <v>#N/A</v>
      </c>
      <c r="U157" s="3">
        <f>Settings!$B$6</f>
        <v>100</v>
      </c>
    </row>
    <row r="158" spans="1:21" ht="18" customHeight="1" x14ac:dyDescent="0.3">
      <c r="A158" s="124">
        <f>A157+1</f>
        <v>46430</v>
      </c>
      <c r="B158" s="137"/>
      <c r="C158" s="126" t="str" cm="1">
        <f t="array" ref="C158">IF(B158="","",B158-IFERROR(LOOKUP(2,1/($B$6:B157&lt;&gt;""),$B$6:B157),Settings!$B$5))</f>
        <v/>
      </c>
      <c r="D158" s="127" t="str">
        <f>IF(B158="","",AVERAGE(B152:B158))</f>
        <v/>
      </c>
      <c r="E158" s="139"/>
      <c r="F158" s="140"/>
      <c r="G158" s="137"/>
      <c r="H158" s="139"/>
      <c r="I158" s="140"/>
      <c r="J158" s="141"/>
      <c r="K158" s="137"/>
      <c r="L158" s="142"/>
      <c r="M158" s="127" t="str">
        <f>IF(B158="","",B158/((Settings!$B$7)/100)^2)</f>
        <v/>
      </c>
      <c r="N158" s="25">
        <f>Settings!$B$6</f>
        <v>100</v>
      </c>
      <c r="O158" s="3" t="e">
        <f t="shared" si="12"/>
        <v>#N/A</v>
      </c>
      <c r="P158" s="3" t="e">
        <f t="shared" si="13"/>
        <v>#N/A</v>
      </c>
      <c r="Q158" s="3" t="e">
        <f t="shared" si="14"/>
        <v>#N/A</v>
      </c>
      <c r="R158" s="131">
        <f t="shared" si="15"/>
        <v>46430</v>
      </c>
      <c r="S158" s="3" t="e">
        <f t="shared" si="16"/>
        <v>#N/A</v>
      </c>
      <c r="T158" s="3" t="e">
        <f t="shared" si="17"/>
        <v>#N/A</v>
      </c>
      <c r="U158" s="3">
        <f>Settings!$B$6</f>
        <v>100</v>
      </c>
    </row>
    <row r="159" spans="1:21" ht="18" customHeight="1" x14ac:dyDescent="0.3">
      <c r="A159" s="132">
        <f>A158+1</f>
        <v>46431</v>
      </c>
      <c r="B159" s="138"/>
      <c r="C159" s="126" t="str" cm="1">
        <f t="array" ref="C159">IF(B159="","",B159-IFERROR(LOOKUP(2,1/($B$6:B158&lt;&gt;""),$B$6:B158),Settings!$B$5))</f>
        <v/>
      </c>
      <c r="D159" s="127" t="str">
        <f>IF(B159="","",AVERAGE(B153:B159))</f>
        <v/>
      </c>
      <c r="E159" s="143"/>
      <c r="F159" s="144"/>
      <c r="G159" s="138"/>
      <c r="H159" s="143"/>
      <c r="I159" s="144"/>
      <c r="J159" s="145"/>
      <c r="K159" s="138"/>
      <c r="L159" s="146"/>
      <c r="M159" s="127" t="str">
        <f>IF(B159="","",B159/((Settings!$B$7)/100)^2)</f>
        <v/>
      </c>
      <c r="N159" s="25">
        <f>Settings!$B$6</f>
        <v>100</v>
      </c>
      <c r="O159" s="3" t="e">
        <f t="shared" si="12"/>
        <v>#N/A</v>
      </c>
      <c r="P159" s="3" t="e">
        <f t="shared" si="13"/>
        <v>#N/A</v>
      </c>
      <c r="Q159" s="3" t="e">
        <f t="shared" si="14"/>
        <v>#N/A</v>
      </c>
      <c r="R159" s="131">
        <f t="shared" si="15"/>
        <v>46431</v>
      </c>
      <c r="S159" s="3" t="e">
        <f t="shared" si="16"/>
        <v>#N/A</v>
      </c>
      <c r="T159" s="3" t="e">
        <f t="shared" si="17"/>
        <v>#N/A</v>
      </c>
      <c r="U159" s="3">
        <f>Settings!$B$6</f>
        <v>100</v>
      </c>
    </row>
    <row r="160" spans="1:21" ht="18" customHeight="1" x14ac:dyDescent="0.3">
      <c r="A160" s="124">
        <f>A159+1</f>
        <v>46432</v>
      </c>
      <c r="B160" s="137"/>
      <c r="C160" s="126" t="str" cm="1">
        <f t="array" ref="C160">IF(B160="","",B160-IFERROR(LOOKUP(2,1/($B$6:B159&lt;&gt;""),$B$6:B159),Settings!$B$5))</f>
        <v/>
      </c>
      <c r="D160" s="127" t="str">
        <f>IF(B160="","",AVERAGE(B154:B160))</f>
        <v/>
      </c>
      <c r="E160" s="139"/>
      <c r="F160" s="140"/>
      <c r="G160" s="137"/>
      <c r="H160" s="139"/>
      <c r="I160" s="140"/>
      <c r="J160" s="141"/>
      <c r="K160" s="137"/>
      <c r="L160" s="142"/>
      <c r="M160" s="127" t="str">
        <f>IF(B160="","",B160/((Settings!$B$7)/100)^2)</f>
        <v/>
      </c>
      <c r="N160" s="25">
        <f>Settings!$B$6</f>
        <v>100</v>
      </c>
      <c r="O160" s="3" t="e">
        <f t="shared" si="12"/>
        <v>#N/A</v>
      </c>
      <c r="P160" s="3" t="e">
        <f t="shared" si="13"/>
        <v>#N/A</v>
      </c>
      <c r="Q160" s="3" t="e">
        <f t="shared" si="14"/>
        <v>#N/A</v>
      </c>
      <c r="R160" s="131">
        <f t="shared" si="15"/>
        <v>46432</v>
      </c>
      <c r="S160" s="3" t="e">
        <f t="shared" si="16"/>
        <v>#N/A</v>
      </c>
      <c r="T160" s="3" t="e">
        <f t="shared" si="17"/>
        <v>#N/A</v>
      </c>
      <c r="U160" s="3">
        <f>Settings!$B$6</f>
        <v>100</v>
      </c>
    </row>
    <row r="161" spans="1:21" ht="18" customHeight="1" x14ac:dyDescent="0.3">
      <c r="A161" s="132">
        <f>A160+1</f>
        <v>46433</v>
      </c>
      <c r="B161" s="138"/>
      <c r="C161" s="126" t="str" cm="1">
        <f t="array" ref="C161">IF(B161="","",B161-IFERROR(LOOKUP(2,1/($B$6:B160&lt;&gt;""),$B$6:B160),Settings!$B$5))</f>
        <v/>
      </c>
      <c r="D161" s="127" t="str">
        <f>IF(B161="","",AVERAGE(B155:B161))</f>
        <v/>
      </c>
      <c r="E161" s="143"/>
      <c r="F161" s="144"/>
      <c r="G161" s="138"/>
      <c r="H161" s="143"/>
      <c r="I161" s="144"/>
      <c r="J161" s="145"/>
      <c r="K161" s="138"/>
      <c r="L161" s="146"/>
      <c r="M161" s="127" t="str">
        <f>IF(B161="","",B161/((Settings!$B$7)/100)^2)</f>
        <v/>
      </c>
      <c r="N161" s="25">
        <f>Settings!$B$6</f>
        <v>100</v>
      </c>
      <c r="O161" s="3" t="e">
        <f t="shared" si="12"/>
        <v>#N/A</v>
      </c>
      <c r="P161" s="3" t="e">
        <f t="shared" si="13"/>
        <v>#N/A</v>
      </c>
      <c r="Q161" s="3" t="e">
        <f t="shared" si="14"/>
        <v>#N/A</v>
      </c>
      <c r="R161" s="131">
        <f t="shared" si="15"/>
        <v>46433</v>
      </c>
      <c r="S161" s="3" t="e">
        <f t="shared" si="16"/>
        <v>#N/A</v>
      </c>
      <c r="T161" s="3" t="e">
        <f t="shared" si="17"/>
        <v>#N/A</v>
      </c>
      <c r="U161" s="3">
        <f>Settings!$B$6</f>
        <v>100</v>
      </c>
    </row>
    <row r="162" spans="1:21" ht="18" customHeight="1" x14ac:dyDescent="0.3">
      <c r="A162" s="124">
        <f>A161+1</f>
        <v>46434</v>
      </c>
      <c r="B162" s="137"/>
      <c r="C162" s="126" t="str" cm="1">
        <f t="array" ref="C162">IF(B162="","",B162-IFERROR(LOOKUP(2,1/($B$6:B161&lt;&gt;""),$B$6:B161),Settings!$B$5))</f>
        <v/>
      </c>
      <c r="D162" s="127" t="str">
        <f>IF(B162="","",AVERAGE(B156:B162))</f>
        <v/>
      </c>
      <c r="E162" s="139"/>
      <c r="F162" s="140"/>
      <c r="G162" s="137"/>
      <c r="H162" s="139"/>
      <c r="I162" s="140"/>
      <c r="J162" s="141"/>
      <c r="K162" s="137"/>
      <c r="L162" s="142"/>
      <c r="M162" s="127" t="str">
        <f>IF(B162="","",B162/((Settings!$B$7)/100)^2)</f>
        <v/>
      </c>
      <c r="N162" s="25">
        <f>Settings!$B$6</f>
        <v>100</v>
      </c>
      <c r="O162" s="3" t="e">
        <f t="shared" si="12"/>
        <v>#N/A</v>
      </c>
      <c r="P162" s="3" t="e">
        <f t="shared" si="13"/>
        <v>#N/A</v>
      </c>
      <c r="Q162" s="3" t="e">
        <f t="shared" si="14"/>
        <v>#N/A</v>
      </c>
      <c r="R162" s="131">
        <f t="shared" si="15"/>
        <v>46434</v>
      </c>
      <c r="S162" s="3" t="e">
        <f t="shared" si="16"/>
        <v>#N/A</v>
      </c>
      <c r="T162" s="3" t="e">
        <f t="shared" si="17"/>
        <v>#N/A</v>
      </c>
      <c r="U162" s="3">
        <f>Settings!$B$6</f>
        <v>100</v>
      </c>
    </row>
    <row r="163" spans="1:21" ht="18" customHeight="1" x14ac:dyDescent="0.3">
      <c r="A163" s="132">
        <f>A162+1</f>
        <v>46435</v>
      </c>
      <c r="B163" s="138"/>
      <c r="C163" s="126" t="str" cm="1">
        <f t="array" ref="C163">IF(B163="","",B163-IFERROR(LOOKUP(2,1/($B$6:B162&lt;&gt;""),$B$6:B162),Settings!$B$5))</f>
        <v/>
      </c>
      <c r="D163" s="127" t="str">
        <f>IF(B163="","",AVERAGE(B157:B163))</f>
        <v/>
      </c>
      <c r="E163" s="143"/>
      <c r="F163" s="144"/>
      <c r="G163" s="138"/>
      <c r="H163" s="143"/>
      <c r="I163" s="144"/>
      <c r="J163" s="145"/>
      <c r="K163" s="138"/>
      <c r="L163" s="146"/>
      <c r="M163" s="127" t="str">
        <f>IF(B163="","",B163/((Settings!$B$7)/100)^2)</f>
        <v/>
      </c>
      <c r="N163" s="25">
        <f>Settings!$B$6</f>
        <v>100</v>
      </c>
      <c r="O163" s="3" t="e">
        <f t="shared" si="12"/>
        <v>#N/A</v>
      </c>
      <c r="P163" s="3" t="e">
        <f t="shared" si="13"/>
        <v>#N/A</v>
      </c>
      <c r="Q163" s="3" t="e">
        <f t="shared" si="14"/>
        <v>#N/A</v>
      </c>
      <c r="R163" s="131">
        <f t="shared" si="15"/>
        <v>46435</v>
      </c>
      <c r="S163" s="3" t="e">
        <f t="shared" si="16"/>
        <v>#N/A</v>
      </c>
      <c r="T163" s="3" t="e">
        <f t="shared" si="17"/>
        <v>#N/A</v>
      </c>
      <c r="U163" s="3">
        <f>Settings!$B$6</f>
        <v>100</v>
      </c>
    </row>
    <row r="164" spans="1:21" ht="18" customHeight="1" x14ac:dyDescent="0.3">
      <c r="A164" s="124">
        <f>A163+1</f>
        <v>46436</v>
      </c>
      <c r="B164" s="137"/>
      <c r="C164" s="126" t="str" cm="1">
        <f t="array" ref="C164">IF(B164="","",B164-IFERROR(LOOKUP(2,1/($B$6:B163&lt;&gt;""),$B$6:B163),Settings!$B$5))</f>
        <v/>
      </c>
      <c r="D164" s="127" t="str">
        <f>IF(B164="","",AVERAGE(B158:B164))</f>
        <v/>
      </c>
      <c r="E164" s="139"/>
      <c r="F164" s="140"/>
      <c r="G164" s="137"/>
      <c r="H164" s="139"/>
      <c r="I164" s="140"/>
      <c r="J164" s="141"/>
      <c r="K164" s="137"/>
      <c r="L164" s="142"/>
      <c r="M164" s="127" t="str">
        <f>IF(B164="","",B164/((Settings!$B$7)/100)^2)</f>
        <v/>
      </c>
      <c r="N164" s="25">
        <f>Settings!$B$6</f>
        <v>100</v>
      </c>
      <c r="O164" s="3" t="e">
        <f t="shared" si="12"/>
        <v>#N/A</v>
      </c>
      <c r="P164" s="3" t="e">
        <f t="shared" si="13"/>
        <v>#N/A</v>
      </c>
      <c r="Q164" s="3" t="e">
        <f t="shared" si="14"/>
        <v>#N/A</v>
      </c>
      <c r="R164" s="131">
        <f t="shared" si="15"/>
        <v>46436</v>
      </c>
      <c r="S164" s="3" t="e">
        <f t="shared" si="16"/>
        <v>#N/A</v>
      </c>
      <c r="T164" s="3" t="e">
        <f t="shared" si="17"/>
        <v>#N/A</v>
      </c>
      <c r="U164" s="3">
        <f>Settings!$B$6</f>
        <v>100</v>
      </c>
    </row>
    <row r="165" spans="1:21" ht="18" customHeight="1" x14ac:dyDescent="0.3">
      <c r="A165" s="132">
        <f>A164+1</f>
        <v>46437</v>
      </c>
      <c r="B165" s="138"/>
      <c r="C165" s="126" t="str" cm="1">
        <f t="array" ref="C165">IF(B165="","",B165-IFERROR(LOOKUP(2,1/($B$6:B164&lt;&gt;""),$B$6:B164),Settings!$B$5))</f>
        <v/>
      </c>
      <c r="D165" s="127" t="str">
        <f>IF(B165="","",AVERAGE(B159:B165))</f>
        <v/>
      </c>
      <c r="E165" s="143"/>
      <c r="F165" s="144"/>
      <c r="G165" s="138"/>
      <c r="H165" s="143"/>
      <c r="I165" s="144"/>
      <c r="J165" s="145"/>
      <c r="K165" s="138"/>
      <c r="L165" s="146"/>
      <c r="M165" s="127" t="str">
        <f>IF(B165="","",B165/((Settings!$B$7)/100)^2)</f>
        <v/>
      </c>
      <c r="N165" s="25">
        <f>Settings!$B$6</f>
        <v>100</v>
      </c>
      <c r="O165" s="3" t="e">
        <f t="shared" si="12"/>
        <v>#N/A</v>
      </c>
      <c r="P165" s="3" t="e">
        <f t="shared" si="13"/>
        <v>#N/A</v>
      </c>
      <c r="Q165" s="3" t="e">
        <f t="shared" si="14"/>
        <v>#N/A</v>
      </c>
      <c r="R165" s="131">
        <f t="shared" si="15"/>
        <v>46437</v>
      </c>
      <c r="S165" s="3" t="e">
        <f t="shared" si="16"/>
        <v>#N/A</v>
      </c>
      <c r="T165" s="3" t="e">
        <f t="shared" si="17"/>
        <v>#N/A</v>
      </c>
      <c r="U165" s="3">
        <f>Settings!$B$6</f>
        <v>100</v>
      </c>
    </row>
    <row r="166" spans="1:21" ht="18" customHeight="1" x14ac:dyDescent="0.3">
      <c r="A166" s="124">
        <f>A165+1</f>
        <v>46438</v>
      </c>
      <c r="B166" s="137"/>
      <c r="C166" s="126" t="str" cm="1">
        <f t="array" ref="C166">IF(B166="","",B166-IFERROR(LOOKUP(2,1/($B$6:B165&lt;&gt;""),$B$6:B165),Settings!$B$5))</f>
        <v/>
      </c>
      <c r="D166" s="127" t="str">
        <f>IF(B166="","",AVERAGE(B160:B166))</f>
        <v/>
      </c>
      <c r="E166" s="139"/>
      <c r="F166" s="140"/>
      <c r="G166" s="137"/>
      <c r="H166" s="139"/>
      <c r="I166" s="140"/>
      <c r="J166" s="141"/>
      <c r="K166" s="137"/>
      <c r="L166" s="142"/>
      <c r="M166" s="127" t="str">
        <f>IF(B166="","",B166/((Settings!$B$7)/100)^2)</f>
        <v/>
      </c>
      <c r="N166" s="25">
        <f>Settings!$B$6</f>
        <v>100</v>
      </c>
      <c r="O166" s="3" t="e">
        <f t="shared" si="12"/>
        <v>#N/A</v>
      </c>
      <c r="P166" s="3" t="e">
        <f t="shared" si="13"/>
        <v>#N/A</v>
      </c>
      <c r="Q166" s="3" t="e">
        <f t="shared" si="14"/>
        <v>#N/A</v>
      </c>
      <c r="R166" s="131">
        <f t="shared" si="15"/>
        <v>46438</v>
      </c>
      <c r="S166" s="3" t="e">
        <f t="shared" si="16"/>
        <v>#N/A</v>
      </c>
      <c r="T166" s="3" t="e">
        <f t="shared" si="17"/>
        <v>#N/A</v>
      </c>
      <c r="U166" s="3">
        <f>Settings!$B$6</f>
        <v>100</v>
      </c>
    </row>
    <row r="167" spans="1:21" ht="18" customHeight="1" x14ac:dyDescent="0.3">
      <c r="A167" s="132">
        <f>A166+1</f>
        <v>46439</v>
      </c>
      <c r="B167" s="138"/>
      <c r="C167" s="126" t="str" cm="1">
        <f t="array" ref="C167">IF(B167="","",B167-IFERROR(LOOKUP(2,1/($B$6:B166&lt;&gt;""),$B$6:B166),Settings!$B$5))</f>
        <v/>
      </c>
      <c r="D167" s="127" t="str">
        <f>IF(B167="","",AVERAGE(B161:B167))</f>
        <v/>
      </c>
      <c r="E167" s="143"/>
      <c r="F167" s="144"/>
      <c r="G167" s="138"/>
      <c r="H167" s="143"/>
      <c r="I167" s="144"/>
      <c r="J167" s="145"/>
      <c r="K167" s="138"/>
      <c r="L167" s="146"/>
      <c r="M167" s="127" t="str">
        <f>IF(B167="","",B167/((Settings!$B$7)/100)^2)</f>
        <v/>
      </c>
      <c r="N167" s="25">
        <f>Settings!$B$6</f>
        <v>100</v>
      </c>
      <c r="O167" s="3" t="e">
        <f t="shared" si="12"/>
        <v>#N/A</v>
      </c>
      <c r="P167" s="3" t="e">
        <f t="shared" si="13"/>
        <v>#N/A</v>
      </c>
      <c r="Q167" s="3" t="e">
        <f t="shared" si="14"/>
        <v>#N/A</v>
      </c>
      <c r="R167" s="131">
        <f t="shared" si="15"/>
        <v>46439</v>
      </c>
      <c r="S167" s="3" t="e">
        <f t="shared" si="16"/>
        <v>#N/A</v>
      </c>
      <c r="T167" s="3" t="e">
        <f t="shared" si="17"/>
        <v>#N/A</v>
      </c>
      <c r="U167" s="3">
        <f>Settings!$B$6</f>
        <v>100</v>
      </c>
    </row>
    <row r="168" spans="1:21" ht="18" customHeight="1" x14ac:dyDescent="0.3">
      <c r="A168" s="124">
        <f>A167+1</f>
        <v>46440</v>
      </c>
      <c r="B168" s="137"/>
      <c r="C168" s="126" t="str" cm="1">
        <f t="array" ref="C168">IF(B168="","",B168-IFERROR(LOOKUP(2,1/($B$6:B167&lt;&gt;""),$B$6:B167),Settings!$B$5))</f>
        <v/>
      </c>
      <c r="D168" s="127" t="str">
        <f>IF(B168="","",AVERAGE(B162:B168))</f>
        <v/>
      </c>
      <c r="E168" s="139"/>
      <c r="F168" s="140"/>
      <c r="G168" s="137"/>
      <c r="H168" s="139"/>
      <c r="I168" s="140"/>
      <c r="J168" s="141"/>
      <c r="K168" s="137"/>
      <c r="L168" s="142"/>
      <c r="M168" s="127" t="str">
        <f>IF(B168="","",B168/((Settings!$B$7)/100)^2)</f>
        <v/>
      </c>
      <c r="N168" s="25">
        <f>Settings!$B$6</f>
        <v>100</v>
      </c>
      <c r="O168" s="3" t="e">
        <f t="shared" si="12"/>
        <v>#N/A</v>
      </c>
      <c r="P168" s="3" t="e">
        <f t="shared" si="13"/>
        <v>#N/A</v>
      </c>
      <c r="Q168" s="3" t="e">
        <f t="shared" si="14"/>
        <v>#N/A</v>
      </c>
      <c r="R168" s="131">
        <f t="shared" si="15"/>
        <v>46440</v>
      </c>
      <c r="S168" s="3" t="e">
        <f t="shared" si="16"/>
        <v>#N/A</v>
      </c>
      <c r="T168" s="3" t="e">
        <f t="shared" si="17"/>
        <v>#N/A</v>
      </c>
      <c r="U168" s="3">
        <f>Settings!$B$6</f>
        <v>100</v>
      </c>
    </row>
    <row r="169" spans="1:21" ht="18" customHeight="1" x14ac:dyDescent="0.3">
      <c r="A169" s="132">
        <f>A168+1</f>
        <v>46441</v>
      </c>
      <c r="B169" s="138"/>
      <c r="C169" s="126" t="str" cm="1">
        <f t="array" ref="C169">IF(B169="","",B169-IFERROR(LOOKUP(2,1/($B$6:B168&lt;&gt;""),$B$6:B168),Settings!$B$5))</f>
        <v/>
      </c>
      <c r="D169" s="127" t="str">
        <f>IF(B169="","",AVERAGE(B163:B169))</f>
        <v/>
      </c>
      <c r="E169" s="143"/>
      <c r="F169" s="144"/>
      <c r="G169" s="138"/>
      <c r="H169" s="143"/>
      <c r="I169" s="144"/>
      <c r="J169" s="145"/>
      <c r="K169" s="138"/>
      <c r="L169" s="146"/>
      <c r="M169" s="127" t="str">
        <f>IF(B169="","",B169/((Settings!$B$7)/100)^2)</f>
        <v/>
      </c>
      <c r="N169" s="25">
        <f>Settings!$B$6</f>
        <v>100</v>
      </c>
      <c r="O169" s="3" t="e">
        <f t="shared" si="12"/>
        <v>#N/A</v>
      </c>
      <c r="P169" s="3" t="e">
        <f t="shared" si="13"/>
        <v>#N/A</v>
      </c>
      <c r="Q169" s="3" t="e">
        <f t="shared" si="14"/>
        <v>#N/A</v>
      </c>
      <c r="R169" s="131">
        <f t="shared" si="15"/>
        <v>46441</v>
      </c>
      <c r="S169" s="3" t="e">
        <f t="shared" si="16"/>
        <v>#N/A</v>
      </c>
      <c r="T169" s="3" t="e">
        <f t="shared" si="17"/>
        <v>#N/A</v>
      </c>
      <c r="U169" s="3">
        <f>Settings!$B$6</f>
        <v>100</v>
      </c>
    </row>
    <row r="170" spans="1:21" ht="18" customHeight="1" x14ac:dyDescent="0.3">
      <c r="A170" s="124">
        <f>A169+1</f>
        <v>46442</v>
      </c>
      <c r="B170" s="137"/>
      <c r="C170" s="126" t="str" cm="1">
        <f t="array" ref="C170">IF(B170="","",B170-IFERROR(LOOKUP(2,1/($B$6:B169&lt;&gt;""),$B$6:B169),Settings!$B$5))</f>
        <v/>
      </c>
      <c r="D170" s="127" t="str">
        <f>IF(B170="","",AVERAGE(B164:B170))</f>
        <v/>
      </c>
      <c r="E170" s="139"/>
      <c r="F170" s="140"/>
      <c r="G170" s="137"/>
      <c r="H170" s="139"/>
      <c r="I170" s="140"/>
      <c r="J170" s="141"/>
      <c r="K170" s="137"/>
      <c r="L170" s="142"/>
      <c r="M170" s="127" t="str">
        <f>IF(B170="","",B170/((Settings!$B$7)/100)^2)</f>
        <v/>
      </c>
      <c r="N170" s="25">
        <f>Settings!$B$6</f>
        <v>100</v>
      </c>
      <c r="O170" s="3" t="e">
        <f t="shared" si="12"/>
        <v>#N/A</v>
      </c>
      <c r="P170" s="3" t="e">
        <f t="shared" si="13"/>
        <v>#N/A</v>
      </c>
      <c r="Q170" s="3" t="e">
        <f t="shared" si="14"/>
        <v>#N/A</v>
      </c>
      <c r="R170" s="131">
        <f t="shared" si="15"/>
        <v>46442</v>
      </c>
      <c r="S170" s="3" t="e">
        <f t="shared" si="16"/>
        <v>#N/A</v>
      </c>
      <c r="T170" s="3" t="e">
        <f t="shared" si="17"/>
        <v>#N/A</v>
      </c>
      <c r="U170" s="3">
        <f>Settings!$B$6</f>
        <v>100</v>
      </c>
    </row>
    <row r="171" spans="1:21" ht="18" customHeight="1" x14ac:dyDescent="0.3">
      <c r="A171" s="132">
        <f>A170+1</f>
        <v>46443</v>
      </c>
      <c r="B171" s="138"/>
      <c r="C171" s="126" t="str" cm="1">
        <f t="array" ref="C171">IF(B171="","",B171-IFERROR(LOOKUP(2,1/($B$6:B170&lt;&gt;""),$B$6:B170),Settings!$B$5))</f>
        <v/>
      </c>
      <c r="D171" s="127" t="str">
        <f>IF(B171="","",AVERAGE(B165:B171))</f>
        <v/>
      </c>
      <c r="E171" s="143"/>
      <c r="F171" s="144"/>
      <c r="G171" s="138"/>
      <c r="H171" s="143"/>
      <c r="I171" s="144"/>
      <c r="J171" s="145"/>
      <c r="K171" s="138"/>
      <c r="L171" s="146"/>
      <c r="M171" s="127" t="str">
        <f>IF(B171="","",B171/((Settings!$B$7)/100)^2)</f>
        <v/>
      </c>
      <c r="N171" s="25">
        <f>Settings!$B$6</f>
        <v>100</v>
      </c>
      <c r="O171" s="3" t="e">
        <f t="shared" si="12"/>
        <v>#N/A</v>
      </c>
      <c r="P171" s="3" t="e">
        <f t="shared" si="13"/>
        <v>#N/A</v>
      </c>
      <c r="Q171" s="3" t="e">
        <f t="shared" si="14"/>
        <v>#N/A</v>
      </c>
      <c r="R171" s="131">
        <f t="shared" si="15"/>
        <v>46443</v>
      </c>
      <c r="S171" s="3" t="e">
        <f t="shared" si="16"/>
        <v>#N/A</v>
      </c>
      <c r="T171" s="3" t="e">
        <f t="shared" si="17"/>
        <v>#N/A</v>
      </c>
      <c r="U171" s="3">
        <f>Settings!$B$6</f>
        <v>100</v>
      </c>
    </row>
    <row r="172" spans="1:21" ht="18" customHeight="1" x14ac:dyDescent="0.3">
      <c r="A172" s="124">
        <f>A171+1</f>
        <v>46444</v>
      </c>
      <c r="B172" s="137"/>
      <c r="C172" s="126" t="str" cm="1">
        <f t="array" ref="C172">IF(B172="","",B172-IFERROR(LOOKUP(2,1/($B$6:B171&lt;&gt;""),$B$6:B171),Settings!$B$5))</f>
        <v/>
      </c>
      <c r="D172" s="127" t="str">
        <f>IF(B172="","",AVERAGE(B166:B172))</f>
        <v/>
      </c>
      <c r="E172" s="139"/>
      <c r="F172" s="140"/>
      <c r="G172" s="137"/>
      <c r="H172" s="139"/>
      <c r="I172" s="140"/>
      <c r="J172" s="141"/>
      <c r="K172" s="137"/>
      <c r="L172" s="142"/>
      <c r="M172" s="127" t="str">
        <f>IF(B172="","",B172/((Settings!$B$7)/100)^2)</f>
        <v/>
      </c>
      <c r="N172" s="25">
        <f>Settings!$B$6</f>
        <v>100</v>
      </c>
      <c r="O172" s="3" t="e">
        <f t="shared" si="12"/>
        <v>#N/A</v>
      </c>
      <c r="P172" s="3" t="e">
        <f t="shared" si="13"/>
        <v>#N/A</v>
      </c>
      <c r="Q172" s="3" t="e">
        <f t="shared" si="14"/>
        <v>#N/A</v>
      </c>
      <c r="R172" s="131">
        <f t="shared" si="15"/>
        <v>46444</v>
      </c>
      <c r="S172" s="3" t="e">
        <f t="shared" si="16"/>
        <v>#N/A</v>
      </c>
      <c r="T172" s="3" t="e">
        <f t="shared" si="17"/>
        <v>#N/A</v>
      </c>
      <c r="U172" s="3">
        <f>Settings!$B$6</f>
        <v>100</v>
      </c>
    </row>
    <row r="173" spans="1:21" ht="18" customHeight="1" x14ac:dyDescent="0.3">
      <c r="A173" s="132">
        <f>A172+1</f>
        <v>46445</v>
      </c>
      <c r="B173" s="138"/>
      <c r="C173" s="126" t="str" cm="1">
        <f t="array" ref="C173">IF(B173="","",B173-IFERROR(LOOKUP(2,1/($B$6:B172&lt;&gt;""),$B$6:B172),Settings!$B$5))</f>
        <v/>
      </c>
      <c r="D173" s="127" t="str">
        <f>IF(B173="","",AVERAGE(B167:B173))</f>
        <v/>
      </c>
      <c r="E173" s="143"/>
      <c r="F173" s="144"/>
      <c r="G173" s="138"/>
      <c r="H173" s="143"/>
      <c r="I173" s="144"/>
      <c r="J173" s="145"/>
      <c r="K173" s="138"/>
      <c r="L173" s="146"/>
      <c r="M173" s="127" t="str">
        <f>IF(B173="","",B173/((Settings!$B$7)/100)^2)</f>
        <v/>
      </c>
      <c r="N173" s="25">
        <f>Settings!$B$6</f>
        <v>100</v>
      </c>
      <c r="O173" s="3" t="e">
        <f t="shared" si="12"/>
        <v>#N/A</v>
      </c>
      <c r="P173" s="3" t="e">
        <f t="shared" si="13"/>
        <v>#N/A</v>
      </c>
      <c r="Q173" s="3" t="e">
        <f t="shared" si="14"/>
        <v>#N/A</v>
      </c>
      <c r="R173" s="131">
        <f t="shared" si="15"/>
        <v>46445</v>
      </c>
      <c r="S173" s="3" t="e">
        <f t="shared" si="16"/>
        <v>#N/A</v>
      </c>
      <c r="T173" s="3" t="e">
        <f t="shared" si="17"/>
        <v>#N/A</v>
      </c>
      <c r="U173" s="3">
        <f>Settings!$B$6</f>
        <v>100</v>
      </c>
    </row>
    <row r="174" spans="1:21" ht="18" customHeight="1" x14ac:dyDescent="0.3">
      <c r="A174" s="124">
        <f>A173+1</f>
        <v>46446</v>
      </c>
      <c r="B174" s="137"/>
      <c r="C174" s="126" t="str" cm="1">
        <f t="array" ref="C174">IF(B174="","",B174-IFERROR(LOOKUP(2,1/($B$6:B173&lt;&gt;""),$B$6:B173),Settings!$B$5))</f>
        <v/>
      </c>
      <c r="D174" s="127" t="str">
        <f>IF(B174="","",AVERAGE(B168:B174))</f>
        <v/>
      </c>
      <c r="E174" s="139"/>
      <c r="F174" s="140"/>
      <c r="G174" s="137"/>
      <c r="H174" s="139"/>
      <c r="I174" s="140"/>
      <c r="J174" s="141"/>
      <c r="K174" s="137"/>
      <c r="L174" s="142"/>
      <c r="M174" s="127" t="str">
        <f>IF(B174="","",B174/((Settings!$B$7)/100)^2)</f>
        <v/>
      </c>
      <c r="N174" s="25">
        <f>Settings!$B$6</f>
        <v>100</v>
      </c>
      <c r="O174" s="3" t="e">
        <f t="shared" si="12"/>
        <v>#N/A</v>
      </c>
      <c r="P174" s="3" t="e">
        <f t="shared" si="13"/>
        <v>#N/A</v>
      </c>
      <c r="Q174" s="3" t="e">
        <f t="shared" si="14"/>
        <v>#N/A</v>
      </c>
      <c r="R174" s="131">
        <f t="shared" si="15"/>
        <v>46446</v>
      </c>
      <c r="S174" s="3" t="e">
        <f t="shared" si="16"/>
        <v>#N/A</v>
      </c>
      <c r="T174" s="3" t="e">
        <f t="shared" si="17"/>
        <v>#N/A</v>
      </c>
      <c r="U174" s="3">
        <f>Settings!$B$6</f>
        <v>100</v>
      </c>
    </row>
    <row r="175" spans="1:21" ht="18" customHeight="1" x14ac:dyDescent="0.3">
      <c r="A175" s="132">
        <f>A174+1</f>
        <v>46447</v>
      </c>
      <c r="B175" s="138"/>
      <c r="C175" s="126" t="str" cm="1">
        <f t="array" ref="C175">IF(B175="","",B175-IFERROR(LOOKUP(2,1/($B$6:B174&lt;&gt;""),$B$6:B174),Settings!$B$5))</f>
        <v/>
      </c>
      <c r="D175" s="127" t="str">
        <f>IF(B175="","",AVERAGE(B169:B175))</f>
        <v/>
      </c>
      <c r="E175" s="143"/>
      <c r="F175" s="144"/>
      <c r="G175" s="138"/>
      <c r="H175" s="143"/>
      <c r="I175" s="144"/>
      <c r="J175" s="145"/>
      <c r="K175" s="138"/>
      <c r="L175" s="146"/>
      <c r="M175" s="127" t="str">
        <f>IF(B175="","",B175/((Settings!$B$7)/100)^2)</f>
        <v/>
      </c>
      <c r="N175" s="25">
        <f>Settings!$B$6</f>
        <v>100</v>
      </c>
      <c r="O175" s="3" t="e">
        <f t="shared" si="12"/>
        <v>#N/A</v>
      </c>
      <c r="P175" s="3" t="e">
        <f t="shared" si="13"/>
        <v>#N/A</v>
      </c>
      <c r="Q175" s="3" t="e">
        <f t="shared" si="14"/>
        <v>#N/A</v>
      </c>
      <c r="R175" s="131">
        <f t="shared" si="15"/>
        <v>46447</v>
      </c>
      <c r="S175" s="3" t="e">
        <f t="shared" si="16"/>
        <v>#N/A</v>
      </c>
      <c r="T175" s="3" t="e">
        <f t="shared" si="17"/>
        <v>#N/A</v>
      </c>
      <c r="U175" s="3">
        <f>Settings!$B$6</f>
        <v>100</v>
      </c>
    </row>
    <row r="176" spans="1:21" ht="18" customHeight="1" x14ac:dyDescent="0.3">
      <c r="A176" s="124">
        <f>A175+1</f>
        <v>46448</v>
      </c>
      <c r="B176" s="137"/>
      <c r="C176" s="126" t="str" cm="1">
        <f t="array" ref="C176">IF(B176="","",B176-IFERROR(LOOKUP(2,1/($B$6:B175&lt;&gt;""),$B$6:B175),Settings!$B$5))</f>
        <v/>
      </c>
      <c r="D176" s="127" t="str">
        <f>IF(B176="","",AVERAGE(B170:B176))</f>
        <v/>
      </c>
      <c r="E176" s="139"/>
      <c r="F176" s="140"/>
      <c r="G176" s="137"/>
      <c r="H176" s="139"/>
      <c r="I176" s="140"/>
      <c r="J176" s="141"/>
      <c r="K176" s="137"/>
      <c r="L176" s="142"/>
      <c r="M176" s="127" t="str">
        <f>IF(B176="","",B176/((Settings!$B$7)/100)^2)</f>
        <v/>
      </c>
      <c r="N176" s="25">
        <f>Settings!$B$6</f>
        <v>100</v>
      </c>
      <c r="O176" s="3" t="e">
        <f t="shared" si="12"/>
        <v>#N/A</v>
      </c>
      <c r="P176" s="3" t="e">
        <f t="shared" si="13"/>
        <v>#N/A</v>
      </c>
      <c r="Q176" s="3" t="e">
        <f t="shared" si="14"/>
        <v>#N/A</v>
      </c>
      <c r="R176" s="131">
        <f t="shared" si="15"/>
        <v>46448</v>
      </c>
      <c r="S176" s="3" t="e">
        <f t="shared" si="16"/>
        <v>#N/A</v>
      </c>
      <c r="T176" s="3" t="e">
        <f t="shared" si="17"/>
        <v>#N/A</v>
      </c>
      <c r="U176" s="3">
        <f>Settings!$B$6</f>
        <v>100</v>
      </c>
    </row>
    <row r="177" spans="1:21" ht="18" customHeight="1" x14ac:dyDescent="0.3">
      <c r="A177" s="132">
        <f>A176+1</f>
        <v>46449</v>
      </c>
      <c r="B177" s="138"/>
      <c r="C177" s="126" t="str" cm="1">
        <f t="array" ref="C177">IF(B177="","",B177-IFERROR(LOOKUP(2,1/($B$6:B176&lt;&gt;""),$B$6:B176),Settings!$B$5))</f>
        <v/>
      </c>
      <c r="D177" s="127" t="str">
        <f>IF(B177="","",AVERAGE(B171:B177))</f>
        <v/>
      </c>
      <c r="E177" s="143"/>
      <c r="F177" s="144"/>
      <c r="G177" s="138"/>
      <c r="H177" s="143"/>
      <c r="I177" s="144"/>
      <c r="J177" s="145"/>
      <c r="K177" s="138"/>
      <c r="L177" s="146"/>
      <c r="M177" s="127" t="str">
        <f>IF(B177="","",B177/((Settings!$B$7)/100)^2)</f>
        <v/>
      </c>
      <c r="N177" s="25">
        <f>Settings!$B$6</f>
        <v>100</v>
      </c>
      <c r="O177" s="3" t="e">
        <f t="shared" si="12"/>
        <v>#N/A</v>
      </c>
      <c r="P177" s="3" t="e">
        <f t="shared" si="13"/>
        <v>#N/A</v>
      </c>
      <c r="Q177" s="3" t="e">
        <f t="shared" si="14"/>
        <v>#N/A</v>
      </c>
      <c r="R177" s="131">
        <f t="shared" si="15"/>
        <v>46449</v>
      </c>
      <c r="S177" s="3" t="e">
        <f t="shared" si="16"/>
        <v>#N/A</v>
      </c>
      <c r="T177" s="3" t="e">
        <f t="shared" si="17"/>
        <v>#N/A</v>
      </c>
      <c r="U177" s="3">
        <f>Settings!$B$6</f>
        <v>100</v>
      </c>
    </row>
    <row r="178" spans="1:21" ht="18" customHeight="1" x14ac:dyDescent="0.3">
      <c r="A178" s="124">
        <f>A177+1</f>
        <v>46450</v>
      </c>
      <c r="B178" s="137"/>
      <c r="C178" s="126" t="str" cm="1">
        <f t="array" ref="C178">IF(B178="","",B178-IFERROR(LOOKUP(2,1/($B$6:B177&lt;&gt;""),$B$6:B177),Settings!$B$5))</f>
        <v/>
      </c>
      <c r="D178" s="127" t="str">
        <f>IF(B178="","",AVERAGE(B172:B178))</f>
        <v/>
      </c>
      <c r="E178" s="139"/>
      <c r="F178" s="140"/>
      <c r="G178" s="137"/>
      <c r="H178" s="139"/>
      <c r="I178" s="140"/>
      <c r="J178" s="141"/>
      <c r="K178" s="137"/>
      <c r="L178" s="142"/>
      <c r="M178" s="127" t="str">
        <f>IF(B178="","",B178/((Settings!$B$7)/100)^2)</f>
        <v/>
      </c>
      <c r="N178" s="25">
        <f>Settings!$B$6</f>
        <v>100</v>
      </c>
      <c r="O178" s="3" t="e">
        <f t="shared" si="12"/>
        <v>#N/A</v>
      </c>
      <c r="P178" s="3" t="e">
        <f t="shared" si="13"/>
        <v>#N/A</v>
      </c>
      <c r="Q178" s="3" t="e">
        <f t="shared" si="14"/>
        <v>#N/A</v>
      </c>
      <c r="R178" s="131">
        <f t="shared" si="15"/>
        <v>46450</v>
      </c>
      <c r="S178" s="3" t="e">
        <f t="shared" si="16"/>
        <v>#N/A</v>
      </c>
      <c r="T178" s="3" t="e">
        <f t="shared" si="17"/>
        <v>#N/A</v>
      </c>
      <c r="U178" s="3">
        <f>Settings!$B$6</f>
        <v>100</v>
      </c>
    </row>
    <row r="179" spans="1:21" ht="18" customHeight="1" x14ac:dyDescent="0.3">
      <c r="A179" s="132">
        <f>A178+1</f>
        <v>46451</v>
      </c>
      <c r="B179" s="138"/>
      <c r="C179" s="126" t="str" cm="1">
        <f t="array" ref="C179">IF(B179="","",B179-IFERROR(LOOKUP(2,1/($B$6:B178&lt;&gt;""),$B$6:B178),Settings!$B$5))</f>
        <v/>
      </c>
      <c r="D179" s="127" t="str">
        <f>IF(B179="","",AVERAGE(B173:B179))</f>
        <v/>
      </c>
      <c r="E179" s="143"/>
      <c r="F179" s="144"/>
      <c r="G179" s="138"/>
      <c r="H179" s="143"/>
      <c r="I179" s="144"/>
      <c r="J179" s="145"/>
      <c r="K179" s="138"/>
      <c r="L179" s="146"/>
      <c r="M179" s="127" t="str">
        <f>IF(B179="","",B179/((Settings!$B$7)/100)^2)</f>
        <v/>
      </c>
      <c r="N179" s="25">
        <f>Settings!$B$6</f>
        <v>100</v>
      </c>
      <c r="O179" s="3" t="e">
        <f t="shared" si="12"/>
        <v>#N/A</v>
      </c>
      <c r="P179" s="3" t="e">
        <f t="shared" si="13"/>
        <v>#N/A</v>
      </c>
      <c r="Q179" s="3" t="e">
        <f t="shared" si="14"/>
        <v>#N/A</v>
      </c>
      <c r="R179" s="131">
        <f t="shared" si="15"/>
        <v>46451</v>
      </c>
      <c r="S179" s="3" t="e">
        <f t="shared" si="16"/>
        <v>#N/A</v>
      </c>
      <c r="T179" s="3" t="e">
        <f t="shared" si="17"/>
        <v>#N/A</v>
      </c>
      <c r="U179" s="3">
        <f>Settings!$B$6</f>
        <v>100</v>
      </c>
    </row>
    <row r="180" spans="1:21" ht="18" customHeight="1" x14ac:dyDescent="0.3">
      <c r="A180" s="124">
        <f>A179+1</f>
        <v>46452</v>
      </c>
      <c r="B180" s="137"/>
      <c r="C180" s="126" t="str" cm="1">
        <f t="array" ref="C180">IF(B180="","",B180-IFERROR(LOOKUP(2,1/($B$6:B179&lt;&gt;""),$B$6:B179),Settings!$B$5))</f>
        <v/>
      </c>
      <c r="D180" s="127" t="str">
        <f>IF(B180="","",AVERAGE(B174:B180))</f>
        <v/>
      </c>
      <c r="E180" s="139"/>
      <c r="F180" s="140"/>
      <c r="G180" s="137"/>
      <c r="H180" s="139"/>
      <c r="I180" s="140"/>
      <c r="J180" s="141"/>
      <c r="K180" s="137"/>
      <c r="L180" s="142"/>
      <c r="M180" s="127" t="str">
        <f>IF(B180="","",B180/((Settings!$B$7)/100)^2)</f>
        <v/>
      </c>
      <c r="N180" s="25">
        <f>Settings!$B$6</f>
        <v>100</v>
      </c>
      <c r="O180" s="3" t="e">
        <f t="shared" si="12"/>
        <v>#N/A</v>
      </c>
      <c r="P180" s="3" t="e">
        <f t="shared" si="13"/>
        <v>#N/A</v>
      </c>
      <c r="Q180" s="3" t="e">
        <f t="shared" si="14"/>
        <v>#N/A</v>
      </c>
      <c r="R180" s="131">
        <f t="shared" si="15"/>
        <v>46452</v>
      </c>
      <c r="S180" s="3" t="e">
        <f t="shared" si="16"/>
        <v>#N/A</v>
      </c>
      <c r="T180" s="3" t="e">
        <f t="shared" si="17"/>
        <v>#N/A</v>
      </c>
      <c r="U180" s="3">
        <f>Settings!$B$6</f>
        <v>100</v>
      </c>
    </row>
    <row r="181" spans="1:21" ht="18" customHeight="1" x14ac:dyDescent="0.3">
      <c r="A181" s="132">
        <f>A180+1</f>
        <v>46453</v>
      </c>
      <c r="B181" s="138"/>
      <c r="C181" s="126" t="str" cm="1">
        <f t="array" ref="C181">IF(B181="","",B181-IFERROR(LOOKUP(2,1/($B$6:B180&lt;&gt;""),$B$6:B180),Settings!$B$5))</f>
        <v/>
      </c>
      <c r="D181" s="127" t="str">
        <f>IF(B181="","",AVERAGE(B175:B181))</f>
        <v/>
      </c>
      <c r="E181" s="143"/>
      <c r="F181" s="144"/>
      <c r="G181" s="138"/>
      <c r="H181" s="143"/>
      <c r="I181" s="144"/>
      <c r="J181" s="145"/>
      <c r="K181" s="138"/>
      <c r="L181" s="146"/>
      <c r="M181" s="127" t="str">
        <f>IF(B181="","",B181/((Settings!$B$7)/100)^2)</f>
        <v/>
      </c>
      <c r="N181" s="25">
        <f>Settings!$B$6</f>
        <v>100</v>
      </c>
      <c r="O181" s="3" t="e">
        <f t="shared" si="12"/>
        <v>#N/A</v>
      </c>
      <c r="P181" s="3" t="e">
        <f t="shared" si="13"/>
        <v>#N/A</v>
      </c>
      <c r="Q181" s="3" t="e">
        <f t="shared" si="14"/>
        <v>#N/A</v>
      </c>
      <c r="R181" s="131">
        <f t="shared" si="15"/>
        <v>46453</v>
      </c>
      <c r="S181" s="3" t="e">
        <f t="shared" si="16"/>
        <v>#N/A</v>
      </c>
      <c r="T181" s="3" t="e">
        <f t="shared" si="17"/>
        <v>#N/A</v>
      </c>
      <c r="U181" s="3">
        <f>Settings!$B$6</f>
        <v>100</v>
      </c>
    </row>
    <row r="182" spans="1:21" ht="18" customHeight="1" x14ac:dyDescent="0.3">
      <c r="A182" s="124">
        <f>A181+1</f>
        <v>46454</v>
      </c>
      <c r="B182" s="137"/>
      <c r="C182" s="126" t="str" cm="1">
        <f t="array" ref="C182">IF(B182="","",B182-IFERROR(LOOKUP(2,1/($B$6:B181&lt;&gt;""),$B$6:B181),Settings!$B$5))</f>
        <v/>
      </c>
      <c r="D182" s="127" t="str">
        <f>IF(B182="","",AVERAGE(B176:B182))</f>
        <v/>
      </c>
      <c r="E182" s="139"/>
      <c r="F182" s="140"/>
      <c r="G182" s="137"/>
      <c r="H182" s="139"/>
      <c r="I182" s="140"/>
      <c r="J182" s="141"/>
      <c r="K182" s="137"/>
      <c r="L182" s="142"/>
      <c r="M182" s="127" t="str">
        <f>IF(B182="","",B182/((Settings!$B$7)/100)^2)</f>
        <v/>
      </c>
      <c r="N182" s="25">
        <f>Settings!$B$6</f>
        <v>100</v>
      </c>
      <c r="O182" s="3" t="e">
        <f t="shared" si="12"/>
        <v>#N/A</v>
      </c>
      <c r="P182" s="3" t="e">
        <f t="shared" si="13"/>
        <v>#N/A</v>
      </c>
      <c r="Q182" s="3" t="e">
        <f t="shared" si="14"/>
        <v>#N/A</v>
      </c>
      <c r="R182" s="131">
        <f t="shared" si="15"/>
        <v>46454</v>
      </c>
      <c r="S182" s="3" t="e">
        <f t="shared" si="16"/>
        <v>#N/A</v>
      </c>
      <c r="T182" s="3" t="e">
        <f t="shared" si="17"/>
        <v>#N/A</v>
      </c>
      <c r="U182" s="3">
        <f>Settings!$B$6</f>
        <v>100</v>
      </c>
    </row>
    <row r="183" spans="1:21" ht="18" customHeight="1" x14ac:dyDescent="0.3">
      <c r="A183" s="132">
        <f>A182+1</f>
        <v>46455</v>
      </c>
      <c r="B183" s="138"/>
      <c r="C183" s="126" t="str" cm="1">
        <f t="array" ref="C183">IF(B183="","",B183-IFERROR(LOOKUP(2,1/($B$6:B182&lt;&gt;""),$B$6:B182),Settings!$B$5))</f>
        <v/>
      </c>
      <c r="D183" s="127" t="str">
        <f>IF(B183="","",AVERAGE(B177:B183))</f>
        <v/>
      </c>
      <c r="E183" s="143"/>
      <c r="F183" s="144"/>
      <c r="G183" s="138"/>
      <c r="H183" s="143"/>
      <c r="I183" s="144"/>
      <c r="J183" s="145"/>
      <c r="K183" s="138"/>
      <c r="L183" s="146"/>
      <c r="M183" s="127" t="str">
        <f>IF(B183="","",B183/((Settings!$B$7)/100)^2)</f>
        <v/>
      </c>
      <c r="N183" s="25">
        <f>Settings!$B$6</f>
        <v>100</v>
      </c>
      <c r="O183" s="3" t="e">
        <f t="shared" si="12"/>
        <v>#N/A</v>
      </c>
      <c r="P183" s="3" t="e">
        <f t="shared" si="13"/>
        <v>#N/A</v>
      </c>
      <c r="Q183" s="3" t="e">
        <f t="shared" si="14"/>
        <v>#N/A</v>
      </c>
      <c r="R183" s="131">
        <f t="shared" si="15"/>
        <v>46455</v>
      </c>
      <c r="S183" s="3" t="e">
        <f t="shared" si="16"/>
        <v>#N/A</v>
      </c>
      <c r="T183" s="3" t="e">
        <f t="shared" si="17"/>
        <v>#N/A</v>
      </c>
      <c r="U183" s="3">
        <f>Settings!$B$6</f>
        <v>100</v>
      </c>
    </row>
    <row r="184" spans="1:21" ht="18" customHeight="1" x14ac:dyDescent="0.3">
      <c r="A184" s="124">
        <f>A183+1</f>
        <v>46456</v>
      </c>
      <c r="B184" s="137"/>
      <c r="C184" s="126" t="str" cm="1">
        <f t="array" ref="C184">IF(B184="","",B184-IFERROR(LOOKUP(2,1/($B$6:B183&lt;&gt;""),$B$6:B183),Settings!$B$5))</f>
        <v/>
      </c>
      <c r="D184" s="127" t="str">
        <f>IF(B184="","",AVERAGE(B178:B184))</f>
        <v/>
      </c>
      <c r="E184" s="139"/>
      <c r="F184" s="140"/>
      <c r="G184" s="137"/>
      <c r="H184" s="139"/>
      <c r="I184" s="140"/>
      <c r="J184" s="141"/>
      <c r="K184" s="137"/>
      <c r="L184" s="142"/>
      <c r="M184" s="127" t="str">
        <f>IF(B184="","",B184/((Settings!$B$7)/100)^2)</f>
        <v/>
      </c>
      <c r="N184" s="25">
        <f>Settings!$B$6</f>
        <v>100</v>
      </c>
      <c r="O184" s="3" t="e">
        <f t="shared" si="12"/>
        <v>#N/A</v>
      </c>
      <c r="P184" s="3" t="e">
        <f t="shared" si="13"/>
        <v>#N/A</v>
      </c>
      <c r="Q184" s="3" t="e">
        <f t="shared" si="14"/>
        <v>#N/A</v>
      </c>
      <c r="R184" s="131">
        <f t="shared" si="15"/>
        <v>46456</v>
      </c>
      <c r="S184" s="3" t="e">
        <f t="shared" si="16"/>
        <v>#N/A</v>
      </c>
      <c r="T184" s="3" t="e">
        <f t="shared" si="17"/>
        <v>#N/A</v>
      </c>
      <c r="U184" s="3">
        <f>Settings!$B$6</f>
        <v>100</v>
      </c>
    </row>
    <row r="185" spans="1:21" ht="18" customHeight="1" x14ac:dyDescent="0.3">
      <c r="A185" s="132">
        <f>A184+1</f>
        <v>46457</v>
      </c>
      <c r="B185" s="138"/>
      <c r="C185" s="126" t="str" cm="1">
        <f t="array" ref="C185">IF(B185="","",B185-IFERROR(LOOKUP(2,1/($B$6:B184&lt;&gt;""),$B$6:B184),Settings!$B$5))</f>
        <v/>
      </c>
      <c r="D185" s="127" t="str">
        <f>IF(B185="","",AVERAGE(B179:B185))</f>
        <v/>
      </c>
      <c r="E185" s="143"/>
      <c r="F185" s="144"/>
      <c r="G185" s="138"/>
      <c r="H185" s="143"/>
      <c r="I185" s="144"/>
      <c r="J185" s="145"/>
      <c r="K185" s="138"/>
      <c r="L185" s="146"/>
      <c r="M185" s="127" t="str">
        <f>IF(B185="","",B185/((Settings!$B$7)/100)^2)</f>
        <v/>
      </c>
      <c r="N185" s="25">
        <f>Settings!$B$6</f>
        <v>100</v>
      </c>
      <c r="O185" s="3" t="e">
        <f t="shared" si="12"/>
        <v>#N/A</v>
      </c>
      <c r="P185" s="3" t="e">
        <f t="shared" si="13"/>
        <v>#N/A</v>
      </c>
      <c r="Q185" s="3" t="e">
        <f t="shared" si="14"/>
        <v>#N/A</v>
      </c>
      <c r="R185" s="131">
        <f t="shared" si="15"/>
        <v>46457</v>
      </c>
      <c r="S185" s="3" t="e">
        <f t="shared" si="16"/>
        <v>#N/A</v>
      </c>
      <c r="T185" s="3" t="e">
        <f t="shared" si="17"/>
        <v>#N/A</v>
      </c>
      <c r="U185" s="3">
        <f>Settings!$B$6</f>
        <v>100</v>
      </c>
    </row>
    <row r="186" spans="1:21" ht="18" customHeight="1" x14ac:dyDescent="0.3">
      <c r="A186" s="124">
        <f>A185+1</f>
        <v>46458</v>
      </c>
      <c r="B186" s="137"/>
      <c r="C186" s="126" t="str" cm="1">
        <f t="array" ref="C186">IF(B186="","",B186-IFERROR(LOOKUP(2,1/($B$6:B185&lt;&gt;""),$B$6:B185),Settings!$B$5))</f>
        <v/>
      </c>
      <c r="D186" s="127" t="str">
        <f>IF(B186="","",AVERAGE(B180:B186))</f>
        <v/>
      </c>
      <c r="E186" s="139"/>
      <c r="F186" s="140"/>
      <c r="G186" s="137"/>
      <c r="H186" s="139"/>
      <c r="I186" s="140"/>
      <c r="J186" s="141"/>
      <c r="K186" s="137"/>
      <c r="L186" s="142"/>
      <c r="M186" s="127" t="str">
        <f>IF(B186="","",B186/((Settings!$B$7)/100)^2)</f>
        <v/>
      </c>
      <c r="N186" s="25">
        <f>Settings!$B$6</f>
        <v>100</v>
      </c>
      <c r="O186" s="3" t="e">
        <f t="shared" si="12"/>
        <v>#N/A</v>
      </c>
      <c r="P186" s="3" t="e">
        <f t="shared" si="13"/>
        <v>#N/A</v>
      </c>
      <c r="Q186" s="3" t="e">
        <f t="shared" si="14"/>
        <v>#N/A</v>
      </c>
      <c r="R186" s="131">
        <f t="shared" si="15"/>
        <v>46458</v>
      </c>
      <c r="S186" s="3" t="e">
        <f t="shared" si="16"/>
        <v>#N/A</v>
      </c>
      <c r="T186" s="3" t="e">
        <f t="shared" si="17"/>
        <v>#N/A</v>
      </c>
      <c r="U186" s="3">
        <f>Settings!$B$6</f>
        <v>100</v>
      </c>
    </row>
    <row r="187" spans="1:21" ht="18" customHeight="1" x14ac:dyDescent="0.3">
      <c r="A187" s="132">
        <f>A186+1</f>
        <v>46459</v>
      </c>
      <c r="B187" s="138"/>
      <c r="C187" s="126" t="str" cm="1">
        <f t="array" ref="C187">IF(B187="","",B187-IFERROR(LOOKUP(2,1/($B$6:B186&lt;&gt;""),$B$6:B186),Settings!$B$5))</f>
        <v/>
      </c>
      <c r="D187" s="127" t="str">
        <f>IF(B187="","",AVERAGE(B181:B187))</f>
        <v/>
      </c>
      <c r="E187" s="143"/>
      <c r="F187" s="144"/>
      <c r="G187" s="138"/>
      <c r="H187" s="143"/>
      <c r="I187" s="144"/>
      <c r="J187" s="145"/>
      <c r="K187" s="138"/>
      <c r="L187" s="146"/>
      <c r="M187" s="127" t="str">
        <f>IF(B187="","",B187/((Settings!$B$7)/100)^2)</f>
        <v/>
      </c>
      <c r="N187" s="25">
        <f>Settings!$B$6</f>
        <v>100</v>
      </c>
      <c r="O187" s="3" t="e">
        <f t="shared" si="12"/>
        <v>#N/A</v>
      </c>
      <c r="P187" s="3" t="e">
        <f t="shared" si="13"/>
        <v>#N/A</v>
      </c>
      <c r="Q187" s="3" t="e">
        <f t="shared" si="14"/>
        <v>#N/A</v>
      </c>
      <c r="R187" s="131">
        <f t="shared" si="15"/>
        <v>46459</v>
      </c>
      <c r="S187" s="3" t="e">
        <f t="shared" si="16"/>
        <v>#N/A</v>
      </c>
      <c r="T187" s="3" t="e">
        <f t="shared" si="17"/>
        <v>#N/A</v>
      </c>
      <c r="U187" s="3">
        <f>Settings!$B$6</f>
        <v>100</v>
      </c>
    </row>
    <row r="188" spans="1:21" ht="18" customHeight="1" x14ac:dyDescent="0.3">
      <c r="A188" s="124">
        <f>A187+1</f>
        <v>46460</v>
      </c>
      <c r="B188" s="137"/>
      <c r="C188" s="126" t="str" cm="1">
        <f t="array" ref="C188">IF(B188="","",B188-IFERROR(LOOKUP(2,1/($B$6:B187&lt;&gt;""),$B$6:B187),Settings!$B$5))</f>
        <v/>
      </c>
      <c r="D188" s="127" t="str">
        <f>IF(B188="","",AVERAGE(B182:B188))</f>
        <v/>
      </c>
      <c r="E188" s="139"/>
      <c r="F188" s="140"/>
      <c r="G188" s="137"/>
      <c r="H188" s="139"/>
      <c r="I188" s="140"/>
      <c r="J188" s="141"/>
      <c r="K188" s="137"/>
      <c r="L188" s="142"/>
      <c r="M188" s="127" t="str">
        <f>IF(B188="","",B188/((Settings!$B$7)/100)^2)</f>
        <v/>
      </c>
      <c r="N188" s="25">
        <f>Settings!$B$6</f>
        <v>100</v>
      </c>
      <c r="O188" s="3" t="e">
        <f t="shared" si="12"/>
        <v>#N/A</v>
      </c>
      <c r="P188" s="3" t="e">
        <f t="shared" si="13"/>
        <v>#N/A</v>
      </c>
      <c r="Q188" s="3" t="e">
        <f t="shared" si="14"/>
        <v>#N/A</v>
      </c>
      <c r="R188" s="131">
        <f t="shared" si="15"/>
        <v>46460</v>
      </c>
      <c r="S188" s="3" t="e">
        <f t="shared" si="16"/>
        <v>#N/A</v>
      </c>
      <c r="T188" s="3" t="e">
        <f t="shared" si="17"/>
        <v>#N/A</v>
      </c>
      <c r="U188" s="3">
        <f>Settings!$B$6</f>
        <v>100</v>
      </c>
    </row>
    <row r="189" spans="1:21" ht="18" customHeight="1" x14ac:dyDescent="0.3">
      <c r="A189" s="132">
        <f>A188+1</f>
        <v>46461</v>
      </c>
      <c r="B189" s="138"/>
      <c r="C189" s="126" t="str" cm="1">
        <f t="array" ref="C189">IF(B189="","",B189-IFERROR(LOOKUP(2,1/($B$6:B188&lt;&gt;""),$B$6:B188),Settings!$B$5))</f>
        <v/>
      </c>
      <c r="D189" s="127" t="str">
        <f>IF(B189="","",AVERAGE(B183:B189))</f>
        <v/>
      </c>
      <c r="E189" s="143"/>
      <c r="F189" s="144"/>
      <c r="G189" s="138"/>
      <c r="H189" s="143"/>
      <c r="I189" s="144"/>
      <c r="J189" s="145"/>
      <c r="K189" s="138"/>
      <c r="L189" s="146"/>
      <c r="M189" s="127" t="str">
        <f>IF(B189="","",B189/((Settings!$B$7)/100)^2)</f>
        <v/>
      </c>
      <c r="N189" s="25">
        <f>Settings!$B$6</f>
        <v>100</v>
      </c>
      <c r="O189" s="3" t="e">
        <f t="shared" si="12"/>
        <v>#N/A</v>
      </c>
      <c r="P189" s="3" t="e">
        <f t="shared" si="13"/>
        <v>#N/A</v>
      </c>
      <c r="Q189" s="3" t="e">
        <f t="shared" si="14"/>
        <v>#N/A</v>
      </c>
      <c r="R189" s="131">
        <f t="shared" si="15"/>
        <v>46461</v>
      </c>
      <c r="S189" s="3" t="e">
        <f t="shared" si="16"/>
        <v>#N/A</v>
      </c>
      <c r="T189" s="3" t="e">
        <f t="shared" si="17"/>
        <v>#N/A</v>
      </c>
      <c r="U189" s="3">
        <f>Settings!$B$6</f>
        <v>100</v>
      </c>
    </row>
    <row r="190" spans="1:21" ht="18" customHeight="1" x14ac:dyDescent="0.3">
      <c r="A190" s="124">
        <f>A189+1</f>
        <v>46462</v>
      </c>
      <c r="B190" s="137"/>
      <c r="C190" s="126" t="str" cm="1">
        <f t="array" ref="C190">IF(B190="","",B190-IFERROR(LOOKUP(2,1/($B$6:B189&lt;&gt;""),$B$6:B189),Settings!$B$5))</f>
        <v/>
      </c>
      <c r="D190" s="127" t="str">
        <f>IF(B190="","",AVERAGE(B184:B190))</f>
        <v/>
      </c>
      <c r="E190" s="139"/>
      <c r="F190" s="140"/>
      <c r="G190" s="137"/>
      <c r="H190" s="139"/>
      <c r="I190" s="140"/>
      <c r="J190" s="141"/>
      <c r="K190" s="137"/>
      <c r="L190" s="142"/>
      <c r="M190" s="127" t="str">
        <f>IF(B190="","",B190/((Settings!$B$7)/100)^2)</f>
        <v/>
      </c>
      <c r="N190" s="25">
        <f>Settings!$B$6</f>
        <v>100</v>
      </c>
      <c r="O190" s="3" t="e">
        <f t="shared" si="12"/>
        <v>#N/A</v>
      </c>
      <c r="P190" s="3" t="e">
        <f t="shared" si="13"/>
        <v>#N/A</v>
      </c>
      <c r="Q190" s="3" t="e">
        <f t="shared" si="14"/>
        <v>#N/A</v>
      </c>
      <c r="R190" s="131">
        <f t="shared" si="15"/>
        <v>46462</v>
      </c>
      <c r="S190" s="3" t="e">
        <f t="shared" si="16"/>
        <v>#N/A</v>
      </c>
      <c r="T190" s="3" t="e">
        <f t="shared" si="17"/>
        <v>#N/A</v>
      </c>
      <c r="U190" s="3">
        <f>Settings!$B$6</f>
        <v>100</v>
      </c>
    </row>
    <row r="191" spans="1:21" ht="18" customHeight="1" x14ac:dyDescent="0.3">
      <c r="A191" s="132">
        <f>A190+1</f>
        <v>46463</v>
      </c>
      <c r="B191" s="138"/>
      <c r="C191" s="126" t="str" cm="1">
        <f t="array" ref="C191">IF(B191="","",B191-IFERROR(LOOKUP(2,1/($B$6:B190&lt;&gt;""),$B$6:B190),Settings!$B$5))</f>
        <v/>
      </c>
      <c r="D191" s="127" t="str">
        <f>IF(B191="","",AVERAGE(B185:B191))</f>
        <v/>
      </c>
      <c r="E191" s="143"/>
      <c r="F191" s="144"/>
      <c r="G191" s="138"/>
      <c r="H191" s="143"/>
      <c r="I191" s="144"/>
      <c r="J191" s="145"/>
      <c r="K191" s="138"/>
      <c r="L191" s="146"/>
      <c r="M191" s="127" t="str">
        <f>IF(B191="","",B191/((Settings!$B$7)/100)^2)</f>
        <v/>
      </c>
      <c r="N191" s="25">
        <f>Settings!$B$6</f>
        <v>100</v>
      </c>
      <c r="O191" s="3" t="e">
        <f t="shared" si="12"/>
        <v>#N/A</v>
      </c>
      <c r="P191" s="3" t="e">
        <f t="shared" si="13"/>
        <v>#N/A</v>
      </c>
      <c r="Q191" s="3" t="e">
        <f t="shared" si="14"/>
        <v>#N/A</v>
      </c>
      <c r="R191" s="131">
        <f t="shared" si="15"/>
        <v>46463</v>
      </c>
      <c r="S191" s="3" t="e">
        <f t="shared" si="16"/>
        <v>#N/A</v>
      </c>
      <c r="T191" s="3" t="e">
        <f t="shared" si="17"/>
        <v>#N/A</v>
      </c>
      <c r="U191" s="3">
        <f>Settings!$B$6</f>
        <v>100</v>
      </c>
    </row>
    <row r="192" spans="1:21" ht="18" customHeight="1" x14ac:dyDescent="0.3">
      <c r="A192" s="124">
        <f>A191+1</f>
        <v>46464</v>
      </c>
      <c r="B192" s="137"/>
      <c r="C192" s="126" t="str" cm="1">
        <f t="array" ref="C192">IF(B192="","",B192-IFERROR(LOOKUP(2,1/($B$6:B191&lt;&gt;""),$B$6:B191),Settings!$B$5))</f>
        <v/>
      </c>
      <c r="D192" s="127" t="str">
        <f>IF(B192="","",AVERAGE(B186:B192))</f>
        <v/>
      </c>
      <c r="E192" s="139"/>
      <c r="F192" s="140"/>
      <c r="G192" s="137"/>
      <c r="H192" s="139"/>
      <c r="I192" s="140"/>
      <c r="J192" s="141"/>
      <c r="K192" s="137"/>
      <c r="L192" s="142"/>
      <c r="M192" s="127" t="str">
        <f>IF(B192="","",B192/((Settings!$B$7)/100)^2)</f>
        <v/>
      </c>
      <c r="N192" s="25">
        <f>Settings!$B$6</f>
        <v>100</v>
      </c>
      <c r="O192" s="3" t="e">
        <f t="shared" si="12"/>
        <v>#N/A</v>
      </c>
      <c r="P192" s="3" t="e">
        <f t="shared" si="13"/>
        <v>#N/A</v>
      </c>
      <c r="Q192" s="3" t="e">
        <f t="shared" si="14"/>
        <v>#N/A</v>
      </c>
      <c r="R192" s="131">
        <f t="shared" si="15"/>
        <v>46464</v>
      </c>
      <c r="S192" s="3" t="e">
        <f t="shared" si="16"/>
        <v>#N/A</v>
      </c>
      <c r="T192" s="3" t="e">
        <f t="shared" si="17"/>
        <v>#N/A</v>
      </c>
      <c r="U192" s="3">
        <f>Settings!$B$6</f>
        <v>100</v>
      </c>
    </row>
    <row r="193" spans="1:21" ht="18" customHeight="1" x14ac:dyDescent="0.3">
      <c r="A193" s="132">
        <f>A192+1</f>
        <v>46465</v>
      </c>
      <c r="B193" s="138"/>
      <c r="C193" s="126" t="str" cm="1">
        <f t="array" ref="C193">IF(B193="","",B193-IFERROR(LOOKUP(2,1/($B$6:B192&lt;&gt;""),$B$6:B192),Settings!$B$5))</f>
        <v/>
      </c>
      <c r="D193" s="127" t="str">
        <f>IF(B193="","",AVERAGE(B187:B193))</f>
        <v/>
      </c>
      <c r="E193" s="143"/>
      <c r="F193" s="144"/>
      <c r="G193" s="138"/>
      <c r="H193" s="143"/>
      <c r="I193" s="144"/>
      <c r="J193" s="145"/>
      <c r="K193" s="138"/>
      <c r="L193" s="146"/>
      <c r="M193" s="127" t="str">
        <f>IF(B193="","",B193/((Settings!$B$7)/100)^2)</f>
        <v/>
      </c>
      <c r="N193" s="25">
        <f>Settings!$B$6</f>
        <v>100</v>
      </c>
      <c r="O193" s="3" t="e">
        <f t="shared" si="12"/>
        <v>#N/A</v>
      </c>
      <c r="P193" s="3" t="e">
        <f t="shared" si="13"/>
        <v>#N/A</v>
      </c>
      <c r="Q193" s="3" t="e">
        <f t="shared" si="14"/>
        <v>#N/A</v>
      </c>
      <c r="R193" s="131">
        <f t="shared" si="15"/>
        <v>46465</v>
      </c>
      <c r="S193" s="3" t="e">
        <f t="shared" si="16"/>
        <v>#N/A</v>
      </c>
      <c r="T193" s="3" t="e">
        <f t="shared" si="17"/>
        <v>#N/A</v>
      </c>
      <c r="U193" s="3">
        <f>Settings!$B$6</f>
        <v>100</v>
      </c>
    </row>
    <row r="194" spans="1:21" ht="18" customHeight="1" x14ac:dyDescent="0.3">
      <c r="A194" s="124">
        <f>A193+1</f>
        <v>46466</v>
      </c>
      <c r="B194" s="137"/>
      <c r="C194" s="126" t="str" cm="1">
        <f t="array" ref="C194">IF(B194="","",B194-IFERROR(LOOKUP(2,1/($B$6:B193&lt;&gt;""),$B$6:B193),Settings!$B$5))</f>
        <v/>
      </c>
      <c r="D194" s="127" t="str">
        <f>IF(B194="","",AVERAGE(B188:B194))</f>
        <v/>
      </c>
      <c r="E194" s="139"/>
      <c r="F194" s="140"/>
      <c r="G194" s="137"/>
      <c r="H194" s="139"/>
      <c r="I194" s="140"/>
      <c r="J194" s="141"/>
      <c r="K194" s="137"/>
      <c r="L194" s="142"/>
      <c r="M194" s="127" t="str">
        <f>IF(B194="","",B194/((Settings!$B$7)/100)^2)</f>
        <v/>
      </c>
      <c r="N194" s="25">
        <f>Settings!$B$6</f>
        <v>100</v>
      </c>
      <c r="O194" s="3" t="e">
        <f t="shared" si="12"/>
        <v>#N/A</v>
      </c>
      <c r="P194" s="3" t="e">
        <f t="shared" si="13"/>
        <v>#N/A</v>
      </c>
      <c r="Q194" s="3" t="e">
        <f t="shared" si="14"/>
        <v>#N/A</v>
      </c>
      <c r="R194" s="131">
        <f t="shared" si="15"/>
        <v>46466</v>
      </c>
      <c r="S194" s="3" t="e">
        <f t="shared" si="16"/>
        <v>#N/A</v>
      </c>
      <c r="T194" s="3" t="e">
        <f t="shared" si="17"/>
        <v>#N/A</v>
      </c>
      <c r="U194" s="3">
        <f>Settings!$B$6</f>
        <v>100</v>
      </c>
    </row>
    <row r="195" spans="1:21" ht="18" customHeight="1" x14ac:dyDescent="0.3">
      <c r="A195" s="132">
        <f>A194+1</f>
        <v>46467</v>
      </c>
      <c r="B195" s="138"/>
      <c r="C195" s="126" t="str" cm="1">
        <f t="array" ref="C195">IF(B195="","",B195-IFERROR(LOOKUP(2,1/($B$6:B194&lt;&gt;""),$B$6:B194),Settings!$B$5))</f>
        <v/>
      </c>
      <c r="D195" s="127" t="str">
        <f>IF(B195="","",AVERAGE(B189:B195))</f>
        <v/>
      </c>
      <c r="E195" s="143"/>
      <c r="F195" s="144"/>
      <c r="G195" s="138"/>
      <c r="H195" s="143"/>
      <c r="I195" s="144"/>
      <c r="J195" s="145"/>
      <c r="K195" s="138"/>
      <c r="L195" s="146"/>
      <c r="M195" s="127" t="str">
        <f>IF(B195="","",B195/((Settings!$B$7)/100)^2)</f>
        <v/>
      </c>
      <c r="N195" s="25">
        <f>Settings!$B$6</f>
        <v>100</v>
      </c>
      <c r="O195" s="3" t="e">
        <f t="shared" si="12"/>
        <v>#N/A</v>
      </c>
      <c r="P195" s="3" t="e">
        <f t="shared" si="13"/>
        <v>#N/A</v>
      </c>
      <c r="Q195" s="3" t="e">
        <f t="shared" si="14"/>
        <v>#N/A</v>
      </c>
      <c r="R195" s="131">
        <f t="shared" si="15"/>
        <v>46467</v>
      </c>
      <c r="S195" s="3" t="e">
        <f t="shared" si="16"/>
        <v>#N/A</v>
      </c>
      <c r="T195" s="3" t="e">
        <f t="shared" si="17"/>
        <v>#N/A</v>
      </c>
      <c r="U195" s="3">
        <f>Settings!$B$6</f>
        <v>100</v>
      </c>
    </row>
    <row r="196" spans="1:21" ht="18" customHeight="1" x14ac:dyDescent="0.3">
      <c r="A196" s="124">
        <f>A195+1</f>
        <v>46468</v>
      </c>
      <c r="B196" s="137"/>
      <c r="C196" s="126" t="str" cm="1">
        <f t="array" ref="C196">IF(B196="","",B196-IFERROR(LOOKUP(2,1/($B$6:B195&lt;&gt;""),$B$6:B195),Settings!$B$5))</f>
        <v/>
      </c>
      <c r="D196" s="127" t="str">
        <f>IF(B196="","",AVERAGE(B190:B196))</f>
        <v/>
      </c>
      <c r="E196" s="139"/>
      <c r="F196" s="140"/>
      <c r="G196" s="137"/>
      <c r="H196" s="139"/>
      <c r="I196" s="140"/>
      <c r="J196" s="141"/>
      <c r="K196" s="137"/>
      <c r="L196" s="142"/>
      <c r="M196" s="127" t="str">
        <f>IF(B196="","",B196/((Settings!$B$7)/100)^2)</f>
        <v/>
      </c>
      <c r="N196" s="25">
        <f>Settings!$B$6</f>
        <v>100</v>
      </c>
      <c r="O196" s="3" t="e">
        <f t="shared" si="12"/>
        <v>#N/A</v>
      </c>
      <c r="P196" s="3" t="e">
        <f t="shared" si="13"/>
        <v>#N/A</v>
      </c>
      <c r="Q196" s="3" t="e">
        <f t="shared" si="14"/>
        <v>#N/A</v>
      </c>
      <c r="R196" s="131">
        <f t="shared" si="15"/>
        <v>46468</v>
      </c>
      <c r="S196" s="3" t="e">
        <f t="shared" si="16"/>
        <v>#N/A</v>
      </c>
      <c r="T196" s="3" t="e">
        <f t="shared" si="17"/>
        <v>#N/A</v>
      </c>
      <c r="U196" s="3">
        <f>Settings!$B$6</f>
        <v>100</v>
      </c>
    </row>
    <row r="197" spans="1:21" ht="18" customHeight="1" x14ac:dyDescent="0.3">
      <c r="A197" s="132">
        <f>A196+1</f>
        <v>46469</v>
      </c>
      <c r="B197" s="138"/>
      <c r="C197" s="126" t="str" cm="1">
        <f t="array" ref="C197">IF(B197="","",B197-IFERROR(LOOKUP(2,1/($B$6:B196&lt;&gt;""),$B$6:B196),Settings!$B$5))</f>
        <v/>
      </c>
      <c r="D197" s="127" t="str">
        <f>IF(B197="","",AVERAGE(B191:B197))</f>
        <v/>
      </c>
      <c r="E197" s="143"/>
      <c r="F197" s="144"/>
      <c r="G197" s="138"/>
      <c r="H197" s="143"/>
      <c r="I197" s="144"/>
      <c r="J197" s="145"/>
      <c r="K197" s="138"/>
      <c r="L197" s="146"/>
      <c r="M197" s="127" t="str">
        <f>IF(B197="","",B197/((Settings!$B$7)/100)^2)</f>
        <v/>
      </c>
      <c r="N197" s="25">
        <f>Settings!$B$6</f>
        <v>100</v>
      </c>
      <c r="O197" s="3" t="e">
        <f t="shared" si="12"/>
        <v>#N/A</v>
      </c>
      <c r="P197" s="3" t="e">
        <f t="shared" si="13"/>
        <v>#N/A</v>
      </c>
      <c r="Q197" s="3" t="e">
        <f t="shared" si="14"/>
        <v>#N/A</v>
      </c>
      <c r="R197" s="131">
        <f t="shared" si="15"/>
        <v>46469</v>
      </c>
      <c r="S197" s="3" t="e">
        <f t="shared" si="16"/>
        <v>#N/A</v>
      </c>
      <c r="T197" s="3" t="e">
        <f t="shared" si="17"/>
        <v>#N/A</v>
      </c>
      <c r="U197" s="3">
        <f>Settings!$B$6</f>
        <v>100</v>
      </c>
    </row>
    <row r="198" spans="1:21" ht="18" customHeight="1" x14ac:dyDescent="0.3">
      <c r="A198" s="124">
        <f>A197+1</f>
        <v>46470</v>
      </c>
      <c r="B198" s="137"/>
      <c r="C198" s="126" t="str" cm="1">
        <f t="array" ref="C198">IF(B198="","",B198-IFERROR(LOOKUP(2,1/($B$6:B197&lt;&gt;""),$B$6:B197),Settings!$B$5))</f>
        <v/>
      </c>
      <c r="D198" s="127" t="str">
        <f>IF(B198="","",AVERAGE(B192:B198))</f>
        <v/>
      </c>
      <c r="E198" s="139"/>
      <c r="F198" s="140"/>
      <c r="G198" s="137"/>
      <c r="H198" s="139"/>
      <c r="I198" s="140"/>
      <c r="J198" s="141"/>
      <c r="K198" s="137"/>
      <c r="L198" s="142"/>
      <c r="M198" s="127" t="str">
        <f>IF(B198="","",B198/((Settings!$B$7)/100)^2)</f>
        <v/>
      </c>
      <c r="N198" s="25">
        <f>Settings!$B$6</f>
        <v>100</v>
      </c>
      <c r="O198" s="3" t="e">
        <f t="shared" si="12"/>
        <v>#N/A</v>
      </c>
      <c r="P198" s="3" t="e">
        <f t="shared" si="13"/>
        <v>#N/A</v>
      </c>
      <c r="Q198" s="3" t="e">
        <f t="shared" si="14"/>
        <v>#N/A</v>
      </c>
      <c r="R198" s="131">
        <f t="shared" si="15"/>
        <v>46470</v>
      </c>
      <c r="S198" s="3" t="e">
        <f t="shared" si="16"/>
        <v>#N/A</v>
      </c>
      <c r="T198" s="3" t="e">
        <f t="shared" si="17"/>
        <v>#N/A</v>
      </c>
      <c r="U198" s="3">
        <f>Settings!$B$6</f>
        <v>100</v>
      </c>
    </row>
    <row r="199" spans="1:21" ht="18" customHeight="1" x14ac:dyDescent="0.3">
      <c r="A199" s="132">
        <f>A198+1</f>
        <v>46471</v>
      </c>
      <c r="B199" s="138"/>
      <c r="C199" s="126" t="str" cm="1">
        <f t="array" ref="C199">IF(B199="","",B199-IFERROR(LOOKUP(2,1/($B$6:B198&lt;&gt;""),$B$6:B198),Settings!$B$5))</f>
        <v/>
      </c>
      <c r="D199" s="127" t="str">
        <f>IF(B199="","",AVERAGE(B193:B199))</f>
        <v/>
      </c>
      <c r="E199" s="143"/>
      <c r="F199" s="144"/>
      <c r="G199" s="138"/>
      <c r="H199" s="143"/>
      <c r="I199" s="144"/>
      <c r="J199" s="145"/>
      <c r="K199" s="138"/>
      <c r="L199" s="146"/>
      <c r="M199" s="127" t="str">
        <f>IF(B199="","",B199/((Settings!$B$7)/100)^2)</f>
        <v/>
      </c>
      <c r="N199" s="25">
        <f>Settings!$B$6</f>
        <v>100</v>
      </c>
      <c r="O199" s="3" t="e">
        <f t="shared" ref="O199:O262" si="18">IF($B199="",NA(),$B199)</f>
        <v>#N/A</v>
      </c>
      <c r="P199" s="3" t="e">
        <f t="shared" ref="P199:P262" si="19">IF($D199="",NA(),$D199)</f>
        <v>#N/A</v>
      </c>
      <c r="Q199" s="3" t="e">
        <f t="shared" ref="Q199:Q262" si="20">IF($M199="",NA(),$M199)</f>
        <v>#N/A</v>
      </c>
      <c r="R199" s="131">
        <f t="shared" ref="R199:R262" si="21">A199</f>
        <v>46471</v>
      </c>
      <c r="S199" s="3" t="e">
        <f t="shared" ref="S199:S262" si="22">IF($B199="",NA(),$B199)</f>
        <v>#N/A</v>
      </c>
      <c r="T199" s="3" t="e">
        <f t="shared" ref="T199:T262" si="23">IF($D199="",NA(),$D199)</f>
        <v>#N/A</v>
      </c>
      <c r="U199" s="3">
        <f>Settings!$B$6</f>
        <v>100</v>
      </c>
    </row>
    <row r="200" spans="1:21" ht="18" customHeight="1" x14ac:dyDescent="0.3">
      <c r="A200" s="124">
        <f>A199+1</f>
        <v>46472</v>
      </c>
      <c r="B200" s="137"/>
      <c r="C200" s="126" t="str" cm="1">
        <f t="array" ref="C200">IF(B200="","",B200-IFERROR(LOOKUP(2,1/($B$6:B199&lt;&gt;""),$B$6:B199),Settings!$B$5))</f>
        <v/>
      </c>
      <c r="D200" s="127" t="str">
        <f>IF(B200="","",AVERAGE(B194:B200))</f>
        <v/>
      </c>
      <c r="E200" s="139"/>
      <c r="F200" s="140"/>
      <c r="G200" s="137"/>
      <c r="H200" s="139"/>
      <c r="I200" s="140"/>
      <c r="J200" s="141"/>
      <c r="K200" s="137"/>
      <c r="L200" s="142"/>
      <c r="M200" s="127" t="str">
        <f>IF(B200="","",B200/((Settings!$B$7)/100)^2)</f>
        <v/>
      </c>
      <c r="N200" s="25">
        <f>Settings!$B$6</f>
        <v>100</v>
      </c>
      <c r="O200" s="3" t="e">
        <f t="shared" si="18"/>
        <v>#N/A</v>
      </c>
      <c r="P200" s="3" t="e">
        <f t="shared" si="19"/>
        <v>#N/A</v>
      </c>
      <c r="Q200" s="3" t="e">
        <f t="shared" si="20"/>
        <v>#N/A</v>
      </c>
      <c r="R200" s="131">
        <f t="shared" si="21"/>
        <v>46472</v>
      </c>
      <c r="S200" s="3" t="e">
        <f t="shared" si="22"/>
        <v>#N/A</v>
      </c>
      <c r="T200" s="3" t="e">
        <f t="shared" si="23"/>
        <v>#N/A</v>
      </c>
      <c r="U200" s="3">
        <f>Settings!$B$6</f>
        <v>100</v>
      </c>
    </row>
    <row r="201" spans="1:21" ht="18" customHeight="1" x14ac:dyDescent="0.3">
      <c r="A201" s="132">
        <f>A200+1</f>
        <v>46473</v>
      </c>
      <c r="B201" s="138"/>
      <c r="C201" s="126" t="str" cm="1">
        <f t="array" ref="C201">IF(B201="","",B201-IFERROR(LOOKUP(2,1/($B$6:B200&lt;&gt;""),$B$6:B200),Settings!$B$5))</f>
        <v/>
      </c>
      <c r="D201" s="127" t="str">
        <f>IF(B201="","",AVERAGE(B195:B201))</f>
        <v/>
      </c>
      <c r="E201" s="143"/>
      <c r="F201" s="144"/>
      <c r="G201" s="138"/>
      <c r="H201" s="143"/>
      <c r="I201" s="144"/>
      <c r="J201" s="145"/>
      <c r="K201" s="138"/>
      <c r="L201" s="146"/>
      <c r="M201" s="127" t="str">
        <f>IF(B201="","",B201/((Settings!$B$7)/100)^2)</f>
        <v/>
      </c>
      <c r="N201" s="25">
        <f>Settings!$B$6</f>
        <v>100</v>
      </c>
      <c r="O201" s="3" t="e">
        <f t="shared" si="18"/>
        <v>#N/A</v>
      </c>
      <c r="P201" s="3" t="e">
        <f t="shared" si="19"/>
        <v>#N/A</v>
      </c>
      <c r="Q201" s="3" t="e">
        <f t="shared" si="20"/>
        <v>#N/A</v>
      </c>
      <c r="R201" s="131">
        <f t="shared" si="21"/>
        <v>46473</v>
      </c>
      <c r="S201" s="3" t="e">
        <f t="shared" si="22"/>
        <v>#N/A</v>
      </c>
      <c r="T201" s="3" t="e">
        <f t="shared" si="23"/>
        <v>#N/A</v>
      </c>
      <c r="U201" s="3">
        <f>Settings!$B$6</f>
        <v>100</v>
      </c>
    </row>
    <row r="202" spans="1:21" ht="18" customHeight="1" x14ac:dyDescent="0.3">
      <c r="A202" s="124">
        <f>A201+1</f>
        <v>46474</v>
      </c>
      <c r="B202" s="137"/>
      <c r="C202" s="126" t="str" cm="1">
        <f t="array" ref="C202">IF(B202="","",B202-IFERROR(LOOKUP(2,1/($B$6:B201&lt;&gt;""),$B$6:B201),Settings!$B$5))</f>
        <v/>
      </c>
      <c r="D202" s="127" t="str">
        <f>IF(B202="","",AVERAGE(B196:B202))</f>
        <v/>
      </c>
      <c r="E202" s="139"/>
      <c r="F202" s="140"/>
      <c r="G202" s="137"/>
      <c r="H202" s="139"/>
      <c r="I202" s="140"/>
      <c r="J202" s="141"/>
      <c r="K202" s="137"/>
      <c r="L202" s="142"/>
      <c r="M202" s="127" t="str">
        <f>IF(B202="","",B202/((Settings!$B$7)/100)^2)</f>
        <v/>
      </c>
      <c r="N202" s="25">
        <f>Settings!$B$6</f>
        <v>100</v>
      </c>
      <c r="O202" s="3" t="e">
        <f t="shared" si="18"/>
        <v>#N/A</v>
      </c>
      <c r="P202" s="3" t="e">
        <f t="shared" si="19"/>
        <v>#N/A</v>
      </c>
      <c r="Q202" s="3" t="e">
        <f t="shared" si="20"/>
        <v>#N/A</v>
      </c>
      <c r="R202" s="131">
        <f t="shared" si="21"/>
        <v>46474</v>
      </c>
      <c r="S202" s="3" t="e">
        <f t="shared" si="22"/>
        <v>#N/A</v>
      </c>
      <c r="T202" s="3" t="e">
        <f t="shared" si="23"/>
        <v>#N/A</v>
      </c>
      <c r="U202" s="3">
        <f>Settings!$B$6</f>
        <v>100</v>
      </c>
    </row>
    <row r="203" spans="1:21" ht="18" customHeight="1" x14ac:dyDescent="0.3">
      <c r="A203" s="132">
        <f>A202+1</f>
        <v>46475</v>
      </c>
      <c r="B203" s="138"/>
      <c r="C203" s="126" t="str" cm="1">
        <f t="array" ref="C203">IF(B203="","",B203-IFERROR(LOOKUP(2,1/($B$6:B202&lt;&gt;""),$B$6:B202),Settings!$B$5))</f>
        <v/>
      </c>
      <c r="D203" s="127" t="str">
        <f>IF(B203="","",AVERAGE(B197:B203))</f>
        <v/>
      </c>
      <c r="E203" s="143"/>
      <c r="F203" s="144"/>
      <c r="G203" s="138"/>
      <c r="H203" s="143"/>
      <c r="I203" s="144"/>
      <c r="J203" s="145"/>
      <c r="K203" s="138"/>
      <c r="L203" s="146"/>
      <c r="M203" s="127" t="str">
        <f>IF(B203="","",B203/((Settings!$B$7)/100)^2)</f>
        <v/>
      </c>
      <c r="N203" s="25">
        <f>Settings!$B$6</f>
        <v>100</v>
      </c>
      <c r="O203" s="3" t="e">
        <f t="shared" si="18"/>
        <v>#N/A</v>
      </c>
      <c r="P203" s="3" t="e">
        <f t="shared" si="19"/>
        <v>#N/A</v>
      </c>
      <c r="Q203" s="3" t="e">
        <f t="shared" si="20"/>
        <v>#N/A</v>
      </c>
      <c r="R203" s="131">
        <f t="shared" si="21"/>
        <v>46475</v>
      </c>
      <c r="S203" s="3" t="e">
        <f t="shared" si="22"/>
        <v>#N/A</v>
      </c>
      <c r="T203" s="3" t="e">
        <f t="shared" si="23"/>
        <v>#N/A</v>
      </c>
      <c r="U203" s="3">
        <f>Settings!$B$6</f>
        <v>100</v>
      </c>
    </row>
    <row r="204" spans="1:21" ht="18" customHeight="1" x14ac:dyDescent="0.3">
      <c r="A204" s="124">
        <f>A203+1</f>
        <v>46476</v>
      </c>
      <c r="B204" s="137"/>
      <c r="C204" s="126" t="str" cm="1">
        <f t="array" ref="C204">IF(B204="","",B204-IFERROR(LOOKUP(2,1/($B$6:B203&lt;&gt;""),$B$6:B203),Settings!$B$5))</f>
        <v/>
      </c>
      <c r="D204" s="127" t="str">
        <f>IF(B204="","",AVERAGE(B198:B204))</f>
        <v/>
      </c>
      <c r="E204" s="139"/>
      <c r="F204" s="140"/>
      <c r="G204" s="137"/>
      <c r="H204" s="139"/>
      <c r="I204" s="140"/>
      <c r="J204" s="141"/>
      <c r="K204" s="137"/>
      <c r="L204" s="142"/>
      <c r="M204" s="127" t="str">
        <f>IF(B204="","",B204/((Settings!$B$7)/100)^2)</f>
        <v/>
      </c>
      <c r="N204" s="25">
        <f>Settings!$B$6</f>
        <v>100</v>
      </c>
      <c r="O204" s="3" t="e">
        <f t="shared" si="18"/>
        <v>#N/A</v>
      </c>
      <c r="P204" s="3" t="e">
        <f t="shared" si="19"/>
        <v>#N/A</v>
      </c>
      <c r="Q204" s="3" t="e">
        <f t="shared" si="20"/>
        <v>#N/A</v>
      </c>
      <c r="R204" s="131">
        <f t="shared" si="21"/>
        <v>46476</v>
      </c>
      <c r="S204" s="3" t="e">
        <f t="shared" si="22"/>
        <v>#N/A</v>
      </c>
      <c r="T204" s="3" t="e">
        <f t="shared" si="23"/>
        <v>#N/A</v>
      </c>
      <c r="U204" s="3">
        <f>Settings!$B$6</f>
        <v>100</v>
      </c>
    </row>
    <row r="205" spans="1:21" ht="18" customHeight="1" x14ac:dyDescent="0.3">
      <c r="A205" s="132">
        <f>A204+1</f>
        <v>46477</v>
      </c>
      <c r="B205" s="138"/>
      <c r="C205" s="126" t="str" cm="1">
        <f t="array" ref="C205">IF(B205="","",B205-IFERROR(LOOKUP(2,1/($B$6:B204&lt;&gt;""),$B$6:B204),Settings!$B$5))</f>
        <v/>
      </c>
      <c r="D205" s="127" t="str">
        <f>IF(B205="","",AVERAGE(B199:B205))</f>
        <v/>
      </c>
      <c r="E205" s="143"/>
      <c r="F205" s="144"/>
      <c r="G205" s="138"/>
      <c r="H205" s="143"/>
      <c r="I205" s="144"/>
      <c r="J205" s="145"/>
      <c r="K205" s="138"/>
      <c r="L205" s="146"/>
      <c r="M205" s="127" t="str">
        <f>IF(B205="","",B205/((Settings!$B$7)/100)^2)</f>
        <v/>
      </c>
      <c r="N205" s="25">
        <f>Settings!$B$6</f>
        <v>100</v>
      </c>
      <c r="O205" s="3" t="e">
        <f t="shared" si="18"/>
        <v>#N/A</v>
      </c>
      <c r="P205" s="3" t="e">
        <f t="shared" si="19"/>
        <v>#N/A</v>
      </c>
      <c r="Q205" s="3" t="e">
        <f t="shared" si="20"/>
        <v>#N/A</v>
      </c>
      <c r="R205" s="131">
        <f t="shared" si="21"/>
        <v>46477</v>
      </c>
      <c r="S205" s="3" t="e">
        <f t="shared" si="22"/>
        <v>#N/A</v>
      </c>
      <c r="T205" s="3" t="e">
        <f t="shared" si="23"/>
        <v>#N/A</v>
      </c>
      <c r="U205" s="3">
        <f>Settings!$B$6</f>
        <v>100</v>
      </c>
    </row>
    <row r="206" spans="1:21" ht="18" customHeight="1" x14ac:dyDescent="0.3">
      <c r="A206" s="124">
        <f>A205+1</f>
        <v>46478</v>
      </c>
      <c r="B206" s="137"/>
      <c r="C206" s="126" t="str" cm="1">
        <f t="array" ref="C206">IF(B206="","",B206-IFERROR(LOOKUP(2,1/($B$6:B205&lt;&gt;""),$B$6:B205),Settings!$B$5))</f>
        <v/>
      </c>
      <c r="D206" s="127" t="str">
        <f>IF(B206="","",AVERAGE(B200:B206))</f>
        <v/>
      </c>
      <c r="E206" s="139"/>
      <c r="F206" s="140"/>
      <c r="G206" s="137"/>
      <c r="H206" s="139"/>
      <c r="I206" s="140"/>
      <c r="J206" s="141"/>
      <c r="K206" s="137"/>
      <c r="L206" s="142"/>
      <c r="M206" s="127" t="str">
        <f>IF(B206="","",B206/((Settings!$B$7)/100)^2)</f>
        <v/>
      </c>
      <c r="N206" s="25">
        <f>Settings!$B$6</f>
        <v>100</v>
      </c>
      <c r="O206" s="3" t="e">
        <f t="shared" si="18"/>
        <v>#N/A</v>
      </c>
      <c r="P206" s="3" t="e">
        <f t="shared" si="19"/>
        <v>#N/A</v>
      </c>
      <c r="Q206" s="3" t="e">
        <f t="shared" si="20"/>
        <v>#N/A</v>
      </c>
      <c r="R206" s="131">
        <f t="shared" si="21"/>
        <v>46478</v>
      </c>
      <c r="S206" s="3" t="e">
        <f t="shared" si="22"/>
        <v>#N/A</v>
      </c>
      <c r="T206" s="3" t="e">
        <f t="shared" si="23"/>
        <v>#N/A</v>
      </c>
      <c r="U206" s="3">
        <f>Settings!$B$6</f>
        <v>100</v>
      </c>
    </row>
    <row r="207" spans="1:21" ht="18" customHeight="1" x14ac:dyDescent="0.3">
      <c r="A207" s="132">
        <f>A206+1</f>
        <v>46479</v>
      </c>
      <c r="B207" s="138"/>
      <c r="C207" s="126" t="str" cm="1">
        <f t="array" ref="C207">IF(B207="","",B207-IFERROR(LOOKUP(2,1/($B$6:B206&lt;&gt;""),$B$6:B206),Settings!$B$5))</f>
        <v/>
      </c>
      <c r="D207" s="127" t="str">
        <f>IF(B207="","",AVERAGE(B201:B207))</f>
        <v/>
      </c>
      <c r="E207" s="143"/>
      <c r="F207" s="144"/>
      <c r="G207" s="138"/>
      <c r="H207" s="143"/>
      <c r="I207" s="144"/>
      <c r="J207" s="145"/>
      <c r="K207" s="138"/>
      <c r="L207" s="146"/>
      <c r="M207" s="127" t="str">
        <f>IF(B207="","",B207/((Settings!$B$7)/100)^2)</f>
        <v/>
      </c>
      <c r="N207" s="25">
        <f>Settings!$B$6</f>
        <v>100</v>
      </c>
      <c r="O207" s="3" t="e">
        <f t="shared" si="18"/>
        <v>#N/A</v>
      </c>
      <c r="P207" s="3" t="e">
        <f t="shared" si="19"/>
        <v>#N/A</v>
      </c>
      <c r="Q207" s="3" t="e">
        <f t="shared" si="20"/>
        <v>#N/A</v>
      </c>
      <c r="R207" s="131">
        <f t="shared" si="21"/>
        <v>46479</v>
      </c>
      <c r="S207" s="3" t="e">
        <f t="shared" si="22"/>
        <v>#N/A</v>
      </c>
      <c r="T207" s="3" t="e">
        <f t="shared" si="23"/>
        <v>#N/A</v>
      </c>
      <c r="U207" s="3">
        <f>Settings!$B$6</f>
        <v>100</v>
      </c>
    </row>
    <row r="208" spans="1:21" ht="18" customHeight="1" x14ac:dyDescent="0.3">
      <c r="A208" s="124">
        <f>A207+1</f>
        <v>46480</v>
      </c>
      <c r="B208" s="137"/>
      <c r="C208" s="126" t="str" cm="1">
        <f t="array" ref="C208">IF(B208="","",B208-IFERROR(LOOKUP(2,1/($B$6:B207&lt;&gt;""),$B$6:B207),Settings!$B$5))</f>
        <v/>
      </c>
      <c r="D208" s="127" t="str">
        <f>IF(B208="","",AVERAGE(B202:B208))</f>
        <v/>
      </c>
      <c r="E208" s="139"/>
      <c r="F208" s="140"/>
      <c r="G208" s="137"/>
      <c r="H208" s="139"/>
      <c r="I208" s="140"/>
      <c r="J208" s="141"/>
      <c r="K208" s="137"/>
      <c r="L208" s="142"/>
      <c r="M208" s="127" t="str">
        <f>IF(B208="","",B208/((Settings!$B$7)/100)^2)</f>
        <v/>
      </c>
      <c r="N208" s="25">
        <f>Settings!$B$6</f>
        <v>100</v>
      </c>
      <c r="O208" s="3" t="e">
        <f t="shared" si="18"/>
        <v>#N/A</v>
      </c>
      <c r="P208" s="3" t="e">
        <f t="shared" si="19"/>
        <v>#N/A</v>
      </c>
      <c r="Q208" s="3" t="e">
        <f t="shared" si="20"/>
        <v>#N/A</v>
      </c>
      <c r="R208" s="131">
        <f t="shared" si="21"/>
        <v>46480</v>
      </c>
      <c r="S208" s="3" t="e">
        <f t="shared" si="22"/>
        <v>#N/A</v>
      </c>
      <c r="T208" s="3" t="e">
        <f t="shared" si="23"/>
        <v>#N/A</v>
      </c>
      <c r="U208" s="3">
        <f>Settings!$B$6</f>
        <v>100</v>
      </c>
    </row>
    <row r="209" spans="1:21" ht="18" customHeight="1" x14ac:dyDescent="0.3">
      <c r="A209" s="132">
        <f>A208+1</f>
        <v>46481</v>
      </c>
      <c r="B209" s="138"/>
      <c r="C209" s="126" t="str" cm="1">
        <f t="array" ref="C209">IF(B209="","",B209-IFERROR(LOOKUP(2,1/($B$6:B208&lt;&gt;""),$B$6:B208),Settings!$B$5))</f>
        <v/>
      </c>
      <c r="D209" s="127" t="str">
        <f>IF(B209="","",AVERAGE(B203:B209))</f>
        <v/>
      </c>
      <c r="E209" s="143"/>
      <c r="F209" s="144"/>
      <c r="G209" s="138"/>
      <c r="H209" s="143"/>
      <c r="I209" s="144"/>
      <c r="J209" s="145"/>
      <c r="K209" s="138"/>
      <c r="L209" s="146"/>
      <c r="M209" s="127" t="str">
        <f>IF(B209="","",B209/((Settings!$B$7)/100)^2)</f>
        <v/>
      </c>
      <c r="N209" s="25">
        <f>Settings!$B$6</f>
        <v>100</v>
      </c>
      <c r="O209" s="3" t="e">
        <f t="shared" si="18"/>
        <v>#N/A</v>
      </c>
      <c r="P209" s="3" t="e">
        <f t="shared" si="19"/>
        <v>#N/A</v>
      </c>
      <c r="Q209" s="3" t="e">
        <f t="shared" si="20"/>
        <v>#N/A</v>
      </c>
      <c r="R209" s="131">
        <f t="shared" si="21"/>
        <v>46481</v>
      </c>
      <c r="S209" s="3" t="e">
        <f t="shared" si="22"/>
        <v>#N/A</v>
      </c>
      <c r="T209" s="3" t="e">
        <f t="shared" si="23"/>
        <v>#N/A</v>
      </c>
      <c r="U209" s="3">
        <f>Settings!$B$6</f>
        <v>100</v>
      </c>
    </row>
    <row r="210" spans="1:21" ht="18" customHeight="1" x14ac:dyDescent="0.3">
      <c r="A210" s="124">
        <f>A209+1</f>
        <v>46482</v>
      </c>
      <c r="B210" s="137"/>
      <c r="C210" s="126" t="str" cm="1">
        <f t="array" ref="C210">IF(B210="","",B210-IFERROR(LOOKUP(2,1/($B$6:B209&lt;&gt;""),$B$6:B209),Settings!$B$5))</f>
        <v/>
      </c>
      <c r="D210" s="127" t="str">
        <f>IF(B210="","",AVERAGE(B204:B210))</f>
        <v/>
      </c>
      <c r="E210" s="139"/>
      <c r="F210" s="140"/>
      <c r="G210" s="137"/>
      <c r="H210" s="139"/>
      <c r="I210" s="140"/>
      <c r="J210" s="141"/>
      <c r="K210" s="137"/>
      <c r="L210" s="142"/>
      <c r="M210" s="127" t="str">
        <f>IF(B210="","",B210/((Settings!$B$7)/100)^2)</f>
        <v/>
      </c>
      <c r="N210" s="25">
        <f>Settings!$B$6</f>
        <v>100</v>
      </c>
      <c r="O210" s="3" t="e">
        <f t="shared" si="18"/>
        <v>#N/A</v>
      </c>
      <c r="P210" s="3" t="e">
        <f t="shared" si="19"/>
        <v>#N/A</v>
      </c>
      <c r="Q210" s="3" t="e">
        <f t="shared" si="20"/>
        <v>#N/A</v>
      </c>
      <c r="R210" s="131">
        <f t="shared" si="21"/>
        <v>46482</v>
      </c>
      <c r="S210" s="3" t="e">
        <f t="shared" si="22"/>
        <v>#N/A</v>
      </c>
      <c r="T210" s="3" t="e">
        <f t="shared" si="23"/>
        <v>#N/A</v>
      </c>
      <c r="U210" s="3">
        <f>Settings!$B$6</f>
        <v>100</v>
      </c>
    </row>
    <row r="211" spans="1:21" ht="18" customHeight="1" x14ac:dyDescent="0.3">
      <c r="A211" s="132">
        <f>A210+1</f>
        <v>46483</v>
      </c>
      <c r="B211" s="138"/>
      <c r="C211" s="126" t="str" cm="1">
        <f t="array" ref="C211">IF(B211="","",B211-IFERROR(LOOKUP(2,1/($B$6:B210&lt;&gt;""),$B$6:B210),Settings!$B$5))</f>
        <v/>
      </c>
      <c r="D211" s="127" t="str">
        <f>IF(B211="","",AVERAGE(B205:B211))</f>
        <v/>
      </c>
      <c r="E211" s="143"/>
      <c r="F211" s="144"/>
      <c r="G211" s="138"/>
      <c r="H211" s="143"/>
      <c r="I211" s="144"/>
      <c r="J211" s="145"/>
      <c r="K211" s="138"/>
      <c r="L211" s="146"/>
      <c r="M211" s="127" t="str">
        <f>IF(B211="","",B211/((Settings!$B$7)/100)^2)</f>
        <v/>
      </c>
      <c r="N211" s="25">
        <f>Settings!$B$6</f>
        <v>100</v>
      </c>
      <c r="O211" s="3" t="e">
        <f t="shared" si="18"/>
        <v>#N/A</v>
      </c>
      <c r="P211" s="3" t="e">
        <f t="shared" si="19"/>
        <v>#N/A</v>
      </c>
      <c r="Q211" s="3" t="e">
        <f t="shared" si="20"/>
        <v>#N/A</v>
      </c>
      <c r="R211" s="131">
        <f t="shared" si="21"/>
        <v>46483</v>
      </c>
      <c r="S211" s="3" t="e">
        <f t="shared" si="22"/>
        <v>#N/A</v>
      </c>
      <c r="T211" s="3" t="e">
        <f t="shared" si="23"/>
        <v>#N/A</v>
      </c>
      <c r="U211" s="3">
        <f>Settings!$B$6</f>
        <v>100</v>
      </c>
    </row>
    <row r="212" spans="1:21" ht="18" customHeight="1" x14ac:dyDescent="0.3">
      <c r="A212" s="124">
        <f>A211+1</f>
        <v>46484</v>
      </c>
      <c r="B212" s="137"/>
      <c r="C212" s="126" t="str" cm="1">
        <f t="array" ref="C212">IF(B212="","",B212-IFERROR(LOOKUP(2,1/($B$6:B211&lt;&gt;""),$B$6:B211),Settings!$B$5))</f>
        <v/>
      </c>
      <c r="D212" s="127" t="str">
        <f>IF(B212="","",AVERAGE(B206:B212))</f>
        <v/>
      </c>
      <c r="E212" s="139"/>
      <c r="F212" s="140"/>
      <c r="G212" s="137"/>
      <c r="H212" s="139"/>
      <c r="I212" s="140"/>
      <c r="J212" s="141"/>
      <c r="K212" s="137"/>
      <c r="L212" s="142"/>
      <c r="M212" s="127" t="str">
        <f>IF(B212="","",B212/((Settings!$B$7)/100)^2)</f>
        <v/>
      </c>
      <c r="N212" s="25">
        <f>Settings!$B$6</f>
        <v>100</v>
      </c>
      <c r="O212" s="3" t="e">
        <f t="shared" si="18"/>
        <v>#N/A</v>
      </c>
      <c r="P212" s="3" t="e">
        <f t="shared" si="19"/>
        <v>#N/A</v>
      </c>
      <c r="Q212" s="3" t="e">
        <f t="shared" si="20"/>
        <v>#N/A</v>
      </c>
      <c r="R212" s="131">
        <f t="shared" si="21"/>
        <v>46484</v>
      </c>
      <c r="S212" s="3" t="e">
        <f t="shared" si="22"/>
        <v>#N/A</v>
      </c>
      <c r="T212" s="3" t="e">
        <f t="shared" si="23"/>
        <v>#N/A</v>
      </c>
      <c r="U212" s="3">
        <f>Settings!$B$6</f>
        <v>100</v>
      </c>
    </row>
    <row r="213" spans="1:21" ht="18" customHeight="1" x14ac:dyDescent="0.3">
      <c r="A213" s="132">
        <f>A212+1</f>
        <v>46485</v>
      </c>
      <c r="B213" s="138"/>
      <c r="C213" s="126" t="str" cm="1">
        <f t="array" ref="C213">IF(B213="","",B213-IFERROR(LOOKUP(2,1/($B$6:B212&lt;&gt;""),$B$6:B212),Settings!$B$5))</f>
        <v/>
      </c>
      <c r="D213" s="127" t="str">
        <f>IF(B213="","",AVERAGE(B207:B213))</f>
        <v/>
      </c>
      <c r="E213" s="143"/>
      <c r="F213" s="144"/>
      <c r="G213" s="138"/>
      <c r="H213" s="143"/>
      <c r="I213" s="144"/>
      <c r="J213" s="145"/>
      <c r="K213" s="138"/>
      <c r="L213" s="146"/>
      <c r="M213" s="127" t="str">
        <f>IF(B213="","",B213/((Settings!$B$7)/100)^2)</f>
        <v/>
      </c>
      <c r="N213" s="25">
        <f>Settings!$B$6</f>
        <v>100</v>
      </c>
      <c r="O213" s="3" t="e">
        <f t="shared" si="18"/>
        <v>#N/A</v>
      </c>
      <c r="P213" s="3" t="e">
        <f t="shared" si="19"/>
        <v>#N/A</v>
      </c>
      <c r="Q213" s="3" t="e">
        <f t="shared" si="20"/>
        <v>#N/A</v>
      </c>
      <c r="R213" s="131">
        <f t="shared" si="21"/>
        <v>46485</v>
      </c>
      <c r="S213" s="3" t="e">
        <f t="shared" si="22"/>
        <v>#N/A</v>
      </c>
      <c r="T213" s="3" t="e">
        <f t="shared" si="23"/>
        <v>#N/A</v>
      </c>
      <c r="U213" s="3">
        <f>Settings!$B$6</f>
        <v>100</v>
      </c>
    </row>
    <row r="214" spans="1:21" ht="18" customHeight="1" x14ac:dyDescent="0.3">
      <c r="A214" s="124">
        <f>A213+1</f>
        <v>46486</v>
      </c>
      <c r="B214" s="137"/>
      <c r="C214" s="126" t="str" cm="1">
        <f t="array" ref="C214">IF(B214="","",B214-IFERROR(LOOKUP(2,1/($B$6:B213&lt;&gt;""),$B$6:B213),Settings!$B$5))</f>
        <v/>
      </c>
      <c r="D214" s="127" t="str">
        <f>IF(B214="","",AVERAGE(B208:B214))</f>
        <v/>
      </c>
      <c r="E214" s="139"/>
      <c r="F214" s="140"/>
      <c r="G214" s="137"/>
      <c r="H214" s="139"/>
      <c r="I214" s="140"/>
      <c r="J214" s="141"/>
      <c r="K214" s="137"/>
      <c r="L214" s="142"/>
      <c r="M214" s="127" t="str">
        <f>IF(B214="","",B214/((Settings!$B$7)/100)^2)</f>
        <v/>
      </c>
      <c r="N214" s="25">
        <f>Settings!$B$6</f>
        <v>100</v>
      </c>
      <c r="O214" s="3" t="e">
        <f t="shared" si="18"/>
        <v>#N/A</v>
      </c>
      <c r="P214" s="3" t="e">
        <f t="shared" si="19"/>
        <v>#N/A</v>
      </c>
      <c r="Q214" s="3" t="e">
        <f t="shared" si="20"/>
        <v>#N/A</v>
      </c>
      <c r="R214" s="131">
        <f t="shared" si="21"/>
        <v>46486</v>
      </c>
      <c r="S214" s="3" t="e">
        <f t="shared" si="22"/>
        <v>#N/A</v>
      </c>
      <c r="T214" s="3" t="e">
        <f t="shared" si="23"/>
        <v>#N/A</v>
      </c>
      <c r="U214" s="3">
        <f>Settings!$B$6</f>
        <v>100</v>
      </c>
    </row>
    <row r="215" spans="1:21" ht="18" customHeight="1" x14ac:dyDescent="0.3">
      <c r="A215" s="132">
        <f>A214+1</f>
        <v>46487</v>
      </c>
      <c r="B215" s="138"/>
      <c r="C215" s="126" t="str" cm="1">
        <f t="array" ref="C215">IF(B215="","",B215-IFERROR(LOOKUP(2,1/($B$6:B214&lt;&gt;""),$B$6:B214),Settings!$B$5))</f>
        <v/>
      </c>
      <c r="D215" s="127" t="str">
        <f>IF(B215="","",AVERAGE(B209:B215))</f>
        <v/>
      </c>
      <c r="E215" s="143"/>
      <c r="F215" s="144"/>
      <c r="G215" s="138"/>
      <c r="H215" s="143"/>
      <c r="I215" s="144"/>
      <c r="J215" s="145"/>
      <c r="K215" s="138"/>
      <c r="L215" s="146"/>
      <c r="M215" s="127" t="str">
        <f>IF(B215="","",B215/((Settings!$B$7)/100)^2)</f>
        <v/>
      </c>
      <c r="N215" s="25">
        <f>Settings!$B$6</f>
        <v>100</v>
      </c>
      <c r="O215" s="3" t="e">
        <f t="shared" si="18"/>
        <v>#N/A</v>
      </c>
      <c r="P215" s="3" t="e">
        <f t="shared" si="19"/>
        <v>#N/A</v>
      </c>
      <c r="Q215" s="3" t="e">
        <f t="shared" si="20"/>
        <v>#N/A</v>
      </c>
      <c r="R215" s="131">
        <f t="shared" si="21"/>
        <v>46487</v>
      </c>
      <c r="S215" s="3" t="e">
        <f t="shared" si="22"/>
        <v>#N/A</v>
      </c>
      <c r="T215" s="3" t="e">
        <f t="shared" si="23"/>
        <v>#N/A</v>
      </c>
      <c r="U215" s="3">
        <f>Settings!$B$6</f>
        <v>100</v>
      </c>
    </row>
    <row r="216" spans="1:21" ht="18" customHeight="1" x14ac:dyDescent="0.3">
      <c r="A216" s="124">
        <f>A215+1</f>
        <v>46488</v>
      </c>
      <c r="B216" s="137"/>
      <c r="C216" s="126" t="str" cm="1">
        <f t="array" ref="C216">IF(B216="","",B216-IFERROR(LOOKUP(2,1/($B$6:B215&lt;&gt;""),$B$6:B215),Settings!$B$5))</f>
        <v/>
      </c>
      <c r="D216" s="127" t="str">
        <f>IF(B216="","",AVERAGE(B210:B216))</f>
        <v/>
      </c>
      <c r="E216" s="139"/>
      <c r="F216" s="140"/>
      <c r="G216" s="137"/>
      <c r="H216" s="139"/>
      <c r="I216" s="140"/>
      <c r="J216" s="141"/>
      <c r="K216" s="137"/>
      <c r="L216" s="142"/>
      <c r="M216" s="127" t="str">
        <f>IF(B216="","",B216/((Settings!$B$7)/100)^2)</f>
        <v/>
      </c>
      <c r="N216" s="25">
        <f>Settings!$B$6</f>
        <v>100</v>
      </c>
      <c r="O216" s="3" t="e">
        <f t="shared" si="18"/>
        <v>#N/A</v>
      </c>
      <c r="P216" s="3" t="e">
        <f t="shared" si="19"/>
        <v>#N/A</v>
      </c>
      <c r="Q216" s="3" t="e">
        <f t="shared" si="20"/>
        <v>#N/A</v>
      </c>
      <c r="R216" s="131">
        <f t="shared" si="21"/>
        <v>46488</v>
      </c>
      <c r="S216" s="3" t="e">
        <f t="shared" si="22"/>
        <v>#N/A</v>
      </c>
      <c r="T216" s="3" t="e">
        <f t="shared" si="23"/>
        <v>#N/A</v>
      </c>
      <c r="U216" s="3">
        <f>Settings!$B$6</f>
        <v>100</v>
      </c>
    </row>
    <row r="217" spans="1:21" ht="18" customHeight="1" x14ac:dyDescent="0.3">
      <c r="A217" s="132">
        <f>A216+1</f>
        <v>46489</v>
      </c>
      <c r="B217" s="138"/>
      <c r="C217" s="126" t="str" cm="1">
        <f t="array" ref="C217">IF(B217="","",B217-IFERROR(LOOKUP(2,1/($B$6:B216&lt;&gt;""),$B$6:B216),Settings!$B$5))</f>
        <v/>
      </c>
      <c r="D217" s="127" t="str">
        <f>IF(B217="","",AVERAGE(B211:B217))</f>
        <v/>
      </c>
      <c r="E217" s="143"/>
      <c r="F217" s="144"/>
      <c r="G217" s="138"/>
      <c r="H217" s="143"/>
      <c r="I217" s="144"/>
      <c r="J217" s="145"/>
      <c r="K217" s="138"/>
      <c r="L217" s="146"/>
      <c r="M217" s="127" t="str">
        <f>IF(B217="","",B217/((Settings!$B$7)/100)^2)</f>
        <v/>
      </c>
      <c r="N217" s="25">
        <f>Settings!$B$6</f>
        <v>100</v>
      </c>
      <c r="O217" s="3" t="e">
        <f t="shared" si="18"/>
        <v>#N/A</v>
      </c>
      <c r="P217" s="3" t="e">
        <f t="shared" si="19"/>
        <v>#N/A</v>
      </c>
      <c r="Q217" s="3" t="e">
        <f t="shared" si="20"/>
        <v>#N/A</v>
      </c>
      <c r="R217" s="131">
        <f t="shared" si="21"/>
        <v>46489</v>
      </c>
      <c r="S217" s="3" t="e">
        <f t="shared" si="22"/>
        <v>#N/A</v>
      </c>
      <c r="T217" s="3" t="e">
        <f t="shared" si="23"/>
        <v>#N/A</v>
      </c>
      <c r="U217" s="3">
        <f>Settings!$B$6</f>
        <v>100</v>
      </c>
    </row>
    <row r="218" spans="1:21" ht="18" customHeight="1" x14ac:dyDescent="0.3">
      <c r="A218" s="124">
        <f>A217+1</f>
        <v>46490</v>
      </c>
      <c r="B218" s="137"/>
      <c r="C218" s="126" t="str" cm="1">
        <f t="array" ref="C218">IF(B218="","",B218-IFERROR(LOOKUP(2,1/($B$6:B217&lt;&gt;""),$B$6:B217),Settings!$B$5))</f>
        <v/>
      </c>
      <c r="D218" s="127" t="str">
        <f>IF(B218="","",AVERAGE(B212:B218))</f>
        <v/>
      </c>
      <c r="E218" s="139"/>
      <c r="F218" s="140"/>
      <c r="G218" s="137"/>
      <c r="H218" s="139"/>
      <c r="I218" s="140"/>
      <c r="J218" s="141"/>
      <c r="K218" s="137"/>
      <c r="L218" s="142"/>
      <c r="M218" s="127" t="str">
        <f>IF(B218="","",B218/((Settings!$B$7)/100)^2)</f>
        <v/>
      </c>
      <c r="N218" s="25">
        <f>Settings!$B$6</f>
        <v>100</v>
      </c>
      <c r="O218" s="3" t="e">
        <f t="shared" si="18"/>
        <v>#N/A</v>
      </c>
      <c r="P218" s="3" t="e">
        <f t="shared" si="19"/>
        <v>#N/A</v>
      </c>
      <c r="Q218" s="3" t="e">
        <f t="shared" si="20"/>
        <v>#N/A</v>
      </c>
      <c r="R218" s="131">
        <f t="shared" si="21"/>
        <v>46490</v>
      </c>
      <c r="S218" s="3" t="e">
        <f t="shared" si="22"/>
        <v>#N/A</v>
      </c>
      <c r="T218" s="3" t="e">
        <f t="shared" si="23"/>
        <v>#N/A</v>
      </c>
      <c r="U218" s="3">
        <f>Settings!$B$6</f>
        <v>100</v>
      </c>
    </row>
    <row r="219" spans="1:21" ht="18" customHeight="1" x14ac:dyDescent="0.3">
      <c r="A219" s="132">
        <f>A218+1</f>
        <v>46491</v>
      </c>
      <c r="B219" s="138"/>
      <c r="C219" s="126" t="str" cm="1">
        <f t="array" ref="C219">IF(B219="","",B219-IFERROR(LOOKUP(2,1/($B$6:B218&lt;&gt;""),$B$6:B218),Settings!$B$5))</f>
        <v/>
      </c>
      <c r="D219" s="127" t="str">
        <f>IF(B219="","",AVERAGE(B213:B219))</f>
        <v/>
      </c>
      <c r="E219" s="143"/>
      <c r="F219" s="144"/>
      <c r="G219" s="138"/>
      <c r="H219" s="143"/>
      <c r="I219" s="144"/>
      <c r="J219" s="145"/>
      <c r="K219" s="138"/>
      <c r="L219" s="146"/>
      <c r="M219" s="127" t="str">
        <f>IF(B219="","",B219/((Settings!$B$7)/100)^2)</f>
        <v/>
      </c>
      <c r="N219" s="25">
        <f>Settings!$B$6</f>
        <v>100</v>
      </c>
      <c r="O219" s="3" t="e">
        <f t="shared" si="18"/>
        <v>#N/A</v>
      </c>
      <c r="P219" s="3" t="e">
        <f t="shared" si="19"/>
        <v>#N/A</v>
      </c>
      <c r="Q219" s="3" t="e">
        <f t="shared" si="20"/>
        <v>#N/A</v>
      </c>
      <c r="R219" s="131">
        <f t="shared" si="21"/>
        <v>46491</v>
      </c>
      <c r="S219" s="3" t="e">
        <f t="shared" si="22"/>
        <v>#N/A</v>
      </c>
      <c r="T219" s="3" t="e">
        <f t="shared" si="23"/>
        <v>#N/A</v>
      </c>
      <c r="U219" s="3">
        <f>Settings!$B$6</f>
        <v>100</v>
      </c>
    </row>
    <row r="220" spans="1:21" ht="18" customHeight="1" x14ac:dyDescent="0.3">
      <c r="A220" s="124">
        <f>A219+1</f>
        <v>46492</v>
      </c>
      <c r="B220" s="137"/>
      <c r="C220" s="126" t="str" cm="1">
        <f t="array" ref="C220">IF(B220="","",B220-IFERROR(LOOKUP(2,1/($B$6:B219&lt;&gt;""),$B$6:B219),Settings!$B$5))</f>
        <v/>
      </c>
      <c r="D220" s="127" t="str">
        <f>IF(B220="","",AVERAGE(B214:B220))</f>
        <v/>
      </c>
      <c r="E220" s="139"/>
      <c r="F220" s="140"/>
      <c r="G220" s="137"/>
      <c r="H220" s="139"/>
      <c r="I220" s="140"/>
      <c r="J220" s="141"/>
      <c r="K220" s="137"/>
      <c r="L220" s="142"/>
      <c r="M220" s="127" t="str">
        <f>IF(B220="","",B220/((Settings!$B$7)/100)^2)</f>
        <v/>
      </c>
      <c r="N220" s="25">
        <f>Settings!$B$6</f>
        <v>100</v>
      </c>
      <c r="O220" s="3" t="e">
        <f t="shared" si="18"/>
        <v>#N/A</v>
      </c>
      <c r="P220" s="3" t="e">
        <f t="shared" si="19"/>
        <v>#N/A</v>
      </c>
      <c r="Q220" s="3" t="e">
        <f t="shared" si="20"/>
        <v>#N/A</v>
      </c>
      <c r="R220" s="131">
        <f t="shared" si="21"/>
        <v>46492</v>
      </c>
      <c r="S220" s="3" t="e">
        <f t="shared" si="22"/>
        <v>#N/A</v>
      </c>
      <c r="T220" s="3" t="e">
        <f t="shared" si="23"/>
        <v>#N/A</v>
      </c>
      <c r="U220" s="3">
        <f>Settings!$B$6</f>
        <v>100</v>
      </c>
    </row>
    <row r="221" spans="1:21" ht="18" customHeight="1" x14ac:dyDescent="0.3">
      <c r="A221" s="132">
        <f>A220+1</f>
        <v>46493</v>
      </c>
      <c r="B221" s="138"/>
      <c r="C221" s="126" t="str" cm="1">
        <f t="array" ref="C221">IF(B221="","",B221-IFERROR(LOOKUP(2,1/($B$6:B220&lt;&gt;""),$B$6:B220),Settings!$B$5))</f>
        <v/>
      </c>
      <c r="D221" s="127" t="str">
        <f>IF(B221="","",AVERAGE(B215:B221))</f>
        <v/>
      </c>
      <c r="E221" s="143"/>
      <c r="F221" s="144"/>
      <c r="G221" s="138"/>
      <c r="H221" s="143"/>
      <c r="I221" s="144"/>
      <c r="J221" s="145"/>
      <c r="K221" s="138"/>
      <c r="L221" s="146"/>
      <c r="M221" s="127" t="str">
        <f>IF(B221="","",B221/((Settings!$B$7)/100)^2)</f>
        <v/>
      </c>
      <c r="N221" s="25">
        <f>Settings!$B$6</f>
        <v>100</v>
      </c>
      <c r="O221" s="3" t="e">
        <f t="shared" si="18"/>
        <v>#N/A</v>
      </c>
      <c r="P221" s="3" t="e">
        <f t="shared" si="19"/>
        <v>#N/A</v>
      </c>
      <c r="Q221" s="3" t="e">
        <f t="shared" si="20"/>
        <v>#N/A</v>
      </c>
      <c r="R221" s="131">
        <f t="shared" si="21"/>
        <v>46493</v>
      </c>
      <c r="S221" s="3" t="e">
        <f t="shared" si="22"/>
        <v>#N/A</v>
      </c>
      <c r="T221" s="3" t="e">
        <f t="shared" si="23"/>
        <v>#N/A</v>
      </c>
      <c r="U221" s="3">
        <f>Settings!$B$6</f>
        <v>100</v>
      </c>
    </row>
    <row r="222" spans="1:21" ht="18" customHeight="1" x14ac:dyDescent="0.3">
      <c r="A222" s="124">
        <f>A221+1</f>
        <v>46494</v>
      </c>
      <c r="B222" s="137"/>
      <c r="C222" s="126" t="str" cm="1">
        <f t="array" ref="C222">IF(B222="","",B222-IFERROR(LOOKUP(2,1/($B$6:B221&lt;&gt;""),$B$6:B221),Settings!$B$5))</f>
        <v/>
      </c>
      <c r="D222" s="127" t="str">
        <f>IF(B222="","",AVERAGE(B216:B222))</f>
        <v/>
      </c>
      <c r="E222" s="139"/>
      <c r="F222" s="140"/>
      <c r="G222" s="137"/>
      <c r="H222" s="139"/>
      <c r="I222" s="140"/>
      <c r="J222" s="141"/>
      <c r="K222" s="137"/>
      <c r="L222" s="142"/>
      <c r="M222" s="127" t="str">
        <f>IF(B222="","",B222/((Settings!$B$7)/100)^2)</f>
        <v/>
      </c>
      <c r="N222" s="25">
        <f>Settings!$B$6</f>
        <v>100</v>
      </c>
      <c r="O222" s="3" t="e">
        <f t="shared" si="18"/>
        <v>#N/A</v>
      </c>
      <c r="P222" s="3" t="e">
        <f t="shared" si="19"/>
        <v>#N/A</v>
      </c>
      <c r="Q222" s="3" t="e">
        <f t="shared" si="20"/>
        <v>#N/A</v>
      </c>
      <c r="R222" s="131">
        <f t="shared" si="21"/>
        <v>46494</v>
      </c>
      <c r="S222" s="3" t="e">
        <f t="shared" si="22"/>
        <v>#N/A</v>
      </c>
      <c r="T222" s="3" t="e">
        <f t="shared" si="23"/>
        <v>#N/A</v>
      </c>
      <c r="U222" s="3">
        <f>Settings!$B$6</f>
        <v>100</v>
      </c>
    </row>
    <row r="223" spans="1:21" ht="18" customHeight="1" x14ac:dyDescent="0.3">
      <c r="A223" s="132">
        <f>A222+1</f>
        <v>46495</v>
      </c>
      <c r="B223" s="138"/>
      <c r="C223" s="126" t="str" cm="1">
        <f t="array" ref="C223">IF(B223="","",B223-IFERROR(LOOKUP(2,1/($B$6:B222&lt;&gt;""),$B$6:B222),Settings!$B$5))</f>
        <v/>
      </c>
      <c r="D223" s="127" t="str">
        <f>IF(B223="","",AVERAGE(B217:B223))</f>
        <v/>
      </c>
      <c r="E223" s="143"/>
      <c r="F223" s="144"/>
      <c r="G223" s="138"/>
      <c r="H223" s="143"/>
      <c r="I223" s="144"/>
      <c r="J223" s="145"/>
      <c r="K223" s="138"/>
      <c r="L223" s="146"/>
      <c r="M223" s="127" t="str">
        <f>IF(B223="","",B223/((Settings!$B$7)/100)^2)</f>
        <v/>
      </c>
      <c r="N223" s="25">
        <f>Settings!$B$6</f>
        <v>100</v>
      </c>
      <c r="O223" s="3" t="e">
        <f t="shared" si="18"/>
        <v>#N/A</v>
      </c>
      <c r="P223" s="3" t="e">
        <f t="shared" si="19"/>
        <v>#N/A</v>
      </c>
      <c r="Q223" s="3" t="e">
        <f t="shared" si="20"/>
        <v>#N/A</v>
      </c>
      <c r="R223" s="131">
        <f t="shared" si="21"/>
        <v>46495</v>
      </c>
      <c r="S223" s="3" t="e">
        <f t="shared" si="22"/>
        <v>#N/A</v>
      </c>
      <c r="T223" s="3" t="e">
        <f t="shared" si="23"/>
        <v>#N/A</v>
      </c>
      <c r="U223" s="3">
        <f>Settings!$B$6</f>
        <v>100</v>
      </c>
    </row>
    <row r="224" spans="1:21" ht="18" customHeight="1" x14ac:dyDescent="0.3">
      <c r="A224" s="124">
        <f>A223+1</f>
        <v>46496</v>
      </c>
      <c r="B224" s="137"/>
      <c r="C224" s="126" t="str" cm="1">
        <f t="array" ref="C224">IF(B224="","",B224-IFERROR(LOOKUP(2,1/($B$6:B223&lt;&gt;""),$B$6:B223),Settings!$B$5))</f>
        <v/>
      </c>
      <c r="D224" s="127" t="str">
        <f>IF(B224="","",AVERAGE(B218:B224))</f>
        <v/>
      </c>
      <c r="E224" s="139"/>
      <c r="F224" s="140"/>
      <c r="G224" s="137"/>
      <c r="H224" s="139"/>
      <c r="I224" s="140"/>
      <c r="J224" s="141"/>
      <c r="K224" s="137"/>
      <c r="L224" s="142"/>
      <c r="M224" s="127" t="str">
        <f>IF(B224="","",B224/((Settings!$B$7)/100)^2)</f>
        <v/>
      </c>
      <c r="N224" s="25">
        <f>Settings!$B$6</f>
        <v>100</v>
      </c>
      <c r="O224" s="3" t="e">
        <f t="shared" si="18"/>
        <v>#N/A</v>
      </c>
      <c r="P224" s="3" t="e">
        <f t="shared" si="19"/>
        <v>#N/A</v>
      </c>
      <c r="Q224" s="3" t="e">
        <f t="shared" si="20"/>
        <v>#N/A</v>
      </c>
      <c r="R224" s="131">
        <f t="shared" si="21"/>
        <v>46496</v>
      </c>
      <c r="S224" s="3" t="e">
        <f t="shared" si="22"/>
        <v>#N/A</v>
      </c>
      <c r="T224" s="3" t="e">
        <f t="shared" si="23"/>
        <v>#N/A</v>
      </c>
      <c r="U224" s="3">
        <f>Settings!$B$6</f>
        <v>100</v>
      </c>
    </row>
    <row r="225" spans="1:21" ht="18" customHeight="1" x14ac:dyDescent="0.3">
      <c r="A225" s="132">
        <f>A224+1</f>
        <v>46497</v>
      </c>
      <c r="B225" s="138"/>
      <c r="C225" s="126" t="str" cm="1">
        <f t="array" ref="C225">IF(B225="","",B225-IFERROR(LOOKUP(2,1/($B$6:B224&lt;&gt;""),$B$6:B224),Settings!$B$5))</f>
        <v/>
      </c>
      <c r="D225" s="127" t="str">
        <f>IF(B225="","",AVERAGE(B219:B225))</f>
        <v/>
      </c>
      <c r="E225" s="143"/>
      <c r="F225" s="144"/>
      <c r="G225" s="138"/>
      <c r="H225" s="143"/>
      <c r="I225" s="144"/>
      <c r="J225" s="145"/>
      <c r="K225" s="138"/>
      <c r="L225" s="146"/>
      <c r="M225" s="127" t="str">
        <f>IF(B225="","",B225/((Settings!$B$7)/100)^2)</f>
        <v/>
      </c>
      <c r="N225" s="25">
        <f>Settings!$B$6</f>
        <v>100</v>
      </c>
      <c r="O225" s="3" t="e">
        <f t="shared" si="18"/>
        <v>#N/A</v>
      </c>
      <c r="P225" s="3" t="e">
        <f t="shared" si="19"/>
        <v>#N/A</v>
      </c>
      <c r="Q225" s="3" t="e">
        <f t="shared" si="20"/>
        <v>#N/A</v>
      </c>
      <c r="R225" s="131">
        <f t="shared" si="21"/>
        <v>46497</v>
      </c>
      <c r="S225" s="3" t="e">
        <f t="shared" si="22"/>
        <v>#N/A</v>
      </c>
      <c r="T225" s="3" t="e">
        <f t="shared" si="23"/>
        <v>#N/A</v>
      </c>
      <c r="U225" s="3">
        <f>Settings!$B$6</f>
        <v>100</v>
      </c>
    </row>
    <row r="226" spans="1:21" ht="18" customHeight="1" x14ac:dyDescent="0.3">
      <c r="A226" s="124">
        <f>A225+1</f>
        <v>46498</v>
      </c>
      <c r="B226" s="137"/>
      <c r="C226" s="126" t="str" cm="1">
        <f t="array" ref="C226">IF(B226="","",B226-IFERROR(LOOKUP(2,1/($B$6:B225&lt;&gt;""),$B$6:B225),Settings!$B$5))</f>
        <v/>
      </c>
      <c r="D226" s="127" t="str">
        <f>IF(B226="","",AVERAGE(B220:B226))</f>
        <v/>
      </c>
      <c r="E226" s="139"/>
      <c r="F226" s="140"/>
      <c r="G226" s="137"/>
      <c r="H226" s="139"/>
      <c r="I226" s="140"/>
      <c r="J226" s="141"/>
      <c r="K226" s="137"/>
      <c r="L226" s="142"/>
      <c r="M226" s="127" t="str">
        <f>IF(B226="","",B226/((Settings!$B$7)/100)^2)</f>
        <v/>
      </c>
      <c r="N226" s="25">
        <f>Settings!$B$6</f>
        <v>100</v>
      </c>
      <c r="O226" s="3" t="e">
        <f t="shared" si="18"/>
        <v>#N/A</v>
      </c>
      <c r="P226" s="3" t="e">
        <f t="shared" si="19"/>
        <v>#N/A</v>
      </c>
      <c r="Q226" s="3" t="e">
        <f t="shared" si="20"/>
        <v>#N/A</v>
      </c>
      <c r="R226" s="131">
        <f t="shared" si="21"/>
        <v>46498</v>
      </c>
      <c r="S226" s="3" t="e">
        <f t="shared" si="22"/>
        <v>#N/A</v>
      </c>
      <c r="T226" s="3" t="e">
        <f t="shared" si="23"/>
        <v>#N/A</v>
      </c>
      <c r="U226" s="3">
        <f>Settings!$B$6</f>
        <v>100</v>
      </c>
    </row>
    <row r="227" spans="1:21" ht="18" customHeight="1" x14ac:dyDescent="0.3">
      <c r="A227" s="132">
        <f>A226+1</f>
        <v>46499</v>
      </c>
      <c r="B227" s="138"/>
      <c r="C227" s="126" t="str" cm="1">
        <f t="array" ref="C227">IF(B227="","",B227-IFERROR(LOOKUP(2,1/($B$6:B226&lt;&gt;""),$B$6:B226),Settings!$B$5))</f>
        <v/>
      </c>
      <c r="D227" s="127" t="str">
        <f>IF(B227="","",AVERAGE(B221:B227))</f>
        <v/>
      </c>
      <c r="E227" s="143"/>
      <c r="F227" s="144"/>
      <c r="G227" s="138"/>
      <c r="H227" s="143"/>
      <c r="I227" s="144"/>
      <c r="J227" s="145"/>
      <c r="K227" s="138"/>
      <c r="L227" s="146"/>
      <c r="M227" s="127" t="str">
        <f>IF(B227="","",B227/((Settings!$B$7)/100)^2)</f>
        <v/>
      </c>
      <c r="N227" s="25">
        <f>Settings!$B$6</f>
        <v>100</v>
      </c>
      <c r="O227" s="3" t="e">
        <f t="shared" si="18"/>
        <v>#N/A</v>
      </c>
      <c r="P227" s="3" t="e">
        <f t="shared" si="19"/>
        <v>#N/A</v>
      </c>
      <c r="Q227" s="3" t="e">
        <f t="shared" si="20"/>
        <v>#N/A</v>
      </c>
      <c r="R227" s="131">
        <f t="shared" si="21"/>
        <v>46499</v>
      </c>
      <c r="S227" s="3" t="e">
        <f t="shared" si="22"/>
        <v>#N/A</v>
      </c>
      <c r="T227" s="3" t="e">
        <f t="shared" si="23"/>
        <v>#N/A</v>
      </c>
      <c r="U227" s="3">
        <f>Settings!$B$6</f>
        <v>100</v>
      </c>
    </row>
    <row r="228" spans="1:21" ht="18" customHeight="1" x14ac:dyDescent="0.3">
      <c r="A228" s="124">
        <f>A227+1</f>
        <v>46500</v>
      </c>
      <c r="B228" s="137"/>
      <c r="C228" s="126" t="str" cm="1">
        <f t="array" ref="C228">IF(B228="","",B228-IFERROR(LOOKUP(2,1/($B$6:B227&lt;&gt;""),$B$6:B227),Settings!$B$5))</f>
        <v/>
      </c>
      <c r="D228" s="127" t="str">
        <f>IF(B228="","",AVERAGE(B222:B228))</f>
        <v/>
      </c>
      <c r="E228" s="139"/>
      <c r="F228" s="140"/>
      <c r="G228" s="137"/>
      <c r="H228" s="139"/>
      <c r="I228" s="140"/>
      <c r="J228" s="141"/>
      <c r="K228" s="137"/>
      <c r="L228" s="142"/>
      <c r="M228" s="127" t="str">
        <f>IF(B228="","",B228/((Settings!$B$7)/100)^2)</f>
        <v/>
      </c>
      <c r="N228" s="25">
        <f>Settings!$B$6</f>
        <v>100</v>
      </c>
      <c r="O228" s="3" t="e">
        <f t="shared" si="18"/>
        <v>#N/A</v>
      </c>
      <c r="P228" s="3" t="e">
        <f t="shared" si="19"/>
        <v>#N/A</v>
      </c>
      <c r="Q228" s="3" t="e">
        <f t="shared" si="20"/>
        <v>#N/A</v>
      </c>
      <c r="R228" s="131">
        <f t="shared" si="21"/>
        <v>46500</v>
      </c>
      <c r="S228" s="3" t="e">
        <f t="shared" si="22"/>
        <v>#N/A</v>
      </c>
      <c r="T228" s="3" t="e">
        <f t="shared" si="23"/>
        <v>#N/A</v>
      </c>
      <c r="U228" s="3">
        <f>Settings!$B$6</f>
        <v>100</v>
      </c>
    </row>
    <row r="229" spans="1:21" ht="18" customHeight="1" x14ac:dyDescent="0.3">
      <c r="A229" s="132">
        <f>A228+1</f>
        <v>46501</v>
      </c>
      <c r="B229" s="138"/>
      <c r="C229" s="126" t="str" cm="1">
        <f t="array" ref="C229">IF(B229="","",B229-IFERROR(LOOKUP(2,1/($B$6:B228&lt;&gt;""),$B$6:B228),Settings!$B$5))</f>
        <v/>
      </c>
      <c r="D229" s="127" t="str">
        <f>IF(B229="","",AVERAGE(B223:B229))</f>
        <v/>
      </c>
      <c r="E229" s="143"/>
      <c r="F229" s="144"/>
      <c r="G229" s="138"/>
      <c r="H229" s="143"/>
      <c r="I229" s="144"/>
      <c r="J229" s="145"/>
      <c r="K229" s="138"/>
      <c r="L229" s="146"/>
      <c r="M229" s="127" t="str">
        <f>IF(B229="","",B229/((Settings!$B$7)/100)^2)</f>
        <v/>
      </c>
      <c r="N229" s="25">
        <f>Settings!$B$6</f>
        <v>100</v>
      </c>
      <c r="O229" s="3" t="e">
        <f t="shared" si="18"/>
        <v>#N/A</v>
      </c>
      <c r="P229" s="3" t="e">
        <f t="shared" si="19"/>
        <v>#N/A</v>
      </c>
      <c r="Q229" s="3" t="e">
        <f t="shared" si="20"/>
        <v>#N/A</v>
      </c>
      <c r="R229" s="131">
        <f t="shared" si="21"/>
        <v>46501</v>
      </c>
      <c r="S229" s="3" t="e">
        <f t="shared" si="22"/>
        <v>#N/A</v>
      </c>
      <c r="T229" s="3" t="e">
        <f t="shared" si="23"/>
        <v>#N/A</v>
      </c>
      <c r="U229" s="3">
        <f>Settings!$B$6</f>
        <v>100</v>
      </c>
    </row>
    <row r="230" spans="1:21" ht="18" customHeight="1" x14ac:dyDescent="0.3">
      <c r="A230" s="124">
        <f>A229+1</f>
        <v>46502</v>
      </c>
      <c r="B230" s="137"/>
      <c r="C230" s="126" t="str" cm="1">
        <f t="array" ref="C230">IF(B230="","",B230-IFERROR(LOOKUP(2,1/($B$6:B229&lt;&gt;""),$B$6:B229),Settings!$B$5))</f>
        <v/>
      </c>
      <c r="D230" s="127" t="str">
        <f>IF(B230="","",AVERAGE(B224:B230))</f>
        <v/>
      </c>
      <c r="E230" s="139"/>
      <c r="F230" s="140"/>
      <c r="G230" s="137"/>
      <c r="H230" s="139"/>
      <c r="I230" s="140"/>
      <c r="J230" s="141"/>
      <c r="K230" s="137"/>
      <c r="L230" s="142"/>
      <c r="M230" s="127" t="str">
        <f>IF(B230="","",B230/((Settings!$B$7)/100)^2)</f>
        <v/>
      </c>
      <c r="N230" s="25">
        <f>Settings!$B$6</f>
        <v>100</v>
      </c>
      <c r="O230" s="3" t="e">
        <f t="shared" si="18"/>
        <v>#N/A</v>
      </c>
      <c r="P230" s="3" t="e">
        <f t="shared" si="19"/>
        <v>#N/A</v>
      </c>
      <c r="Q230" s="3" t="e">
        <f t="shared" si="20"/>
        <v>#N/A</v>
      </c>
      <c r="R230" s="131">
        <f t="shared" si="21"/>
        <v>46502</v>
      </c>
      <c r="S230" s="3" t="e">
        <f t="shared" si="22"/>
        <v>#N/A</v>
      </c>
      <c r="T230" s="3" t="e">
        <f t="shared" si="23"/>
        <v>#N/A</v>
      </c>
      <c r="U230" s="3">
        <f>Settings!$B$6</f>
        <v>100</v>
      </c>
    </row>
    <row r="231" spans="1:21" ht="18" customHeight="1" x14ac:dyDescent="0.3">
      <c r="A231" s="132">
        <f>A230+1</f>
        <v>46503</v>
      </c>
      <c r="B231" s="138"/>
      <c r="C231" s="126" t="str" cm="1">
        <f t="array" ref="C231">IF(B231="","",B231-IFERROR(LOOKUP(2,1/($B$6:B230&lt;&gt;""),$B$6:B230),Settings!$B$5))</f>
        <v/>
      </c>
      <c r="D231" s="127" t="str">
        <f>IF(B231="","",AVERAGE(B225:B231))</f>
        <v/>
      </c>
      <c r="E231" s="143"/>
      <c r="F231" s="144"/>
      <c r="G231" s="138"/>
      <c r="H231" s="143"/>
      <c r="I231" s="144"/>
      <c r="J231" s="145"/>
      <c r="K231" s="138"/>
      <c r="L231" s="146"/>
      <c r="M231" s="127" t="str">
        <f>IF(B231="","",B231/((Settings!$B$7)/100)^2)</f>
        <v/>
      </c>
      <c r="N231" s="25">
        <f>Settings!$B$6</f>
        <v>100</v>
      </c>
      <c r="O231" s="3" t="e">
        <f t="shared" si="18"/>
        <v>#N/A</v>
      </c>
      <c r="P231" s="3" t="e">
        <f t="shared" si="19"/>
        <v>#N/A</v>
      </c>
      <c r="Q231" s="3" t="e">
        <f t="shared" si="20"/>
        <v>#N/A</v>
      </c>
      <c r="R231" s="131">
        <f t="shared" si="21"/>
        <v>46503</v>
      </c>
      <c r="S231" s="3" t="e">
        <f t="shared" si="22"/>
        <v>#N/A</v>
      </c>
      <c r="T231" s="3" t="e">
        <f t="shared" si="23"/>
        <v>#N/A</v>
      </c>
      <c r="U231" s="3">
        <f>Settings!$B$6</f>
        <v>100</v>
      </c>
    </row>
    <row r="232" spans="1:21" ht="18" customHeight="1" x14ac:dyDescent="0.3">
      <c r="A232" s="124">
        <f>A231+1</f>
        <v>46504</v>
      </c>
      <c r="B232" s="137"/>
      <c r="C232" s="126" t="str" cm="1">
        <f t="array" ref="C232">IF(B232="","",B232-IFERROR(LOOKUP(2,1/($B$6:B231&lt;&gt;""),$B$6:B231),Settings!$B$5))</f>
        <v/>
      </c>
      <c r="D232" s="127" t="str">
        <f>IF(B232="","",AVERAGE(B226:B232))</f>
        <v/>
      </c>
      <c r="E232" s="139"/>
      <c r="F232" s="140"/>
      <c r="G232" s="137"/>
      <c r="H232" s="139"/>
      <c r="I232" s="140"/>
      <c r="J232" s="141"/>
      <c r="K232" s="137"/>
      <c r="L232" s="142"/>
      <c r="M232" s="127" t="str">
        <f>IF(B232="","",B232/((Settings!$B$7)/100)^2)</f>
        <v/>
      </c>
      <c r="N232" s="25">
        <f>Settings!$B$6</f>
        <v>100</v>
      </c>
      <c r="O232" s="3" t="e">
        <f t="shared" si="18"/>
        <v>#N/A</v>
      </c>
      <c r="P232" s="3" t="e">
        <f t="shared" si="19"/>
        <v>#N/A</v>
      </c>
      <c r="Q232" s="3" t="e">
        <f t="shared" si="20"/>
        <v>#N/A</v>
      </c>
      <c r="R232" s="131">
        <f t="shared" si="21"/>
        <v>46504</v>
      </c>
      <c r="S232" s="3" t="e">
        <f t="shared" si="22"/>
        <v>#N/A</v>
      </c>
      <c r="T232" s="3" t="e">
        <f t="shared" si="23"/>
        <v>#N/A</v>
      </c>
      <c r="U232" s="3">
        <f>Settings!$B$6</f>
        <v>100</v>
      </c>
    </row>
    <row r="233" spans="1:21" ht="18" customHeight="1" x14ac:dyDescent="0.3">
      <c r="A233" s="132">
        <f>A232+1</f>
        <v>46505</v>
      </c>
      <c r="B233" s="138"/>
      <c r="C233" s="126" t="str" cm="1">
        <f t="array" ref="C233">IF(B233="","",B233-IFERROR(LOOKUP(2,1/($B$6:B232&lt;&gt;""),$B$6:B232),Settings!$B$5))</f>
        <v/>
      </c>
      <c r="D233" s="127" t="str">
        <f>IF(B233="","",AVERAGE(B227:B233))</f>
        <v/>
      </c>
      <c r="E233" s="143"/>
      <c r="F233" s="144"/>
      <c r="G233" s="138"/>
      <c r="H233" s="143"/>
      <c r="I233" s="144"/>
      <c r="J233" s="145"/>
      <c r="K233" s="138"/>
      <c r="L233" s="146"/>
      <c r="M233" s="127" t="str">
        <f>IF(B233="","",B233/((Settings!$B$7)/100)^2)</f>
        <v/>
      </c>
      <c r="N233" s="25">
        <f>Settings!$B$6</f>
        <v>100</v>
      </c>
      <c r="O233" s="3" t="e">
        <f t="shared" si="18"/>
        <v>#N/A</v>
      </c>
      <c r="P233" s="3" t="e">
        <f t="shared" si="19"/>
        <v>#N/A</v>
      </c>
      <c r="Q233" s="3" t="e">
        <f t="shared" si="20"/>
        <v>#N/A</v>
      </c>
      <c r="R233" s="131">
        <f t="shared" si="21"/>
        <v>46505</v>
      </c>
      <c r="S233" s="3" t="e">
        <f t="shared" si="22"/>
        <v>#N/A</v>
      </c>
      <c r="T233" s="3" t="e">
        <f t="shared" si="23"/>
        <v>#N/A</v>
      </c>
      <c r="U233" s="3">
        <f>Settings!$B$6</f>
        <v>100</v>
      </c>
    </row>
    <row r="234" spans="1:21" ht="18" customHeight="1" x14ac:dyDescent="0.3">
      <c r="A234" s="124">
        <f>A233+1</f>
        <v>46506</v>
      </c>
      <c r="B234" s="137"/>
      <c r="C234" s="126" t="str" cm="1">
        <f t="array" ref="C234">IF(B234="","",B234-IFERROR(LOOKUP(2,1/($B$6:B233&lt;&gt;""),$B$6:B233),Settings!$B$5))</f>
        <v/>
      </c>
      <c r="D234" s="127" t="str">
        <f>IF(B234="","",AVERAGE(B228:B234))</f>
        <v/>
      </c>
      <c r="E234" s="139"/>
      <c r="F234" s="140"/>
      <c r="G234" s="137"/>
      <c r="H234" s="139"/>
      <c r="I234" s="140"/>
      <c r="J234" s="141"/>
      <c r="K234" s="137"/>
      <c r="L234" s="142"/>
      <c r="M234" s="127" t="str">
        <f>IF(B234="","",B234/((Settings!$B$7)/100)^2)</f>
        <v/>
      </c>
      <c r="N234" s="25">
        <f>Settings!$B$6</f>
        <v>100</v>
      </c>
      <c r="O234" s="3" t="e">
        <f t="shared" si="18"/>
        <v>#N/A</v>
      </c>
      <c r="P234" s="3" t="e">
        <f t="shared" si="19"/>
        <v>#N/A</v>
      </c>
      <c r="Q234" s="3" t="e">
        <f t="shared" si="20"/>
        <v>#N/A</v>
      </c>
      <c r="R234" s="131">
        <f t="shared" si="21"/>
        <v>46506</v>
      </c>
      <c r="S234" s="3" t="e">
        <f t="shared" si="22"/>
        <v>#N/A</v>
      </c>
      <c r="T234" s="3" t="e">
        <f t="shared" si="23"/>
        <v>#N/A</v>
      </c>
      <c r="U234" s="3">
        <f>Settings!$B$6</f>
        <v>100</v>
      </c>
    </row>
    <row r="235" spans="1:21" ht="18" customHeight="1" x14ac:dyDescent="0.3">
      <c r="A235" s="132">
        <f>A234+1</f>
        <v>46507</v>
      </c>
      <c r="B235" s="138"/>
      <c r="C235" s="126" t="str" cm="1">
        <f t="array" ref="C235">IF(B235="","",B235-IFERROR(LOOKUP(2,1/($B$6:B234&lt;&gt;""),$B$6:B234),Settings!$B$5))</f>
        <v/>
      </c>
      <c r="D235" s="127" t="str">
        <f>IF(B235="","",AVERAGE(B229:B235))</f>
        <v/>
      </c>
      <c r="E235" s="143"/>
      <c r="F235" s="144"/>
      <c r="G235" s="138"/>
      <c r="H235" s="143"/>
      <c r="I235" s="144"/>
      <c r="J235" s="145"/>
      <c r="K235" s="138"/>
      <c r="L235" s="146"/>
      <c r="M235" s="127" t="str">
        <f>IF(B235="","",B235/((Settings!$B$7)/100)^2)</f>
        <v/>
      </c>
      <c r="N235" s="25">
        <f>Settings!$B$6</f>
        <v>100</v>
      </c>
      <c r="O235" s="3" t="e">
        <f t="shared" si="18"/>
        <v>#N/A</v>
      </c>
      <c r="P235" s="3" t="e">
        <f t="shared" si="19"/>
        <v>#N/A</v>
      </c>
      <c r="Q235" s="3" t="e">
        <f t="shared" si="20"/>
        <v>#N/A</v>
      </c>
      <c r="R235" s="131">
        <f t="shared" si="21"/>
        <v>46507</v>
      </c>
      <c r="S235" s="3" t="e">
        <f t="shared" si="22"/>
        <v>#N/A</v>
      </c>
      <c r="T235" s="3" t="e">
        <f t="shared" si="23"/>
        <v>#N/A</v>
      </c>
      <c r="U235" s="3">
        <f>Settings!$B$6</f>
        <v>100</v>
      </c>
    </row>
    <row r="236" spans="1:21" ht="18" customHeight="1" x14ac:dyDescent="0.3">
      <c r="A236" s="124">
        <f>A235+1</f>
        <v>46508</v>
      </c>
      <c r="B236" s="137"/>
      <c r="C236" s="126" t="str" cm="1">
        <f t="array" ref="C236">IF(B236="","",B236-IFERROR(LOOKUP(2,1/($B$6:B235&lt;&gt;""),$B$6:B235),Settings!$B$5))</f>
        <v/>
      </c>
      <c r="D236" s="127" t="str">
        <f>IF(B236="","",AVERAGE(B230:B236))</f>
        <v/>
      </c>
      <c r="E236" s="139"/>
      <c r="F236" s="140"/>
      <c r="G236" s="137"/>
      <c r="H236" s="139"/>
      <c r="I236" s="140"/>
      <c r="J236" s="141"/>
      <c r="K236" s="137"/>
      <c r="L236" s="142"/>
      <c r="M236" s="127" t="str">
        <f>IF(B236="","",B236/((Settings!$B$7)/100)^2)</f>
        <v/>
      </c>
      <c r="N236" s="25">
        <f>Settings!$B$6</f>
        <v>100</v>
      </c>
      <c r="O236" s="3" t="e">
        <f t="shared" si="18"/>
        <v>#N/A</v>
      </c>
      <c r="P236" s="3" t="e">
        <f t="shared" si="19"/>
        <v>#N/A</v>
      </c>
      <c r="Q236" s="3" t="e">
        <f t="shared" si="20"/>
        <v>#N/A</v>
      </c>
      <c r="R236" s="131">
        <f t="shared" si="21"/>
        <v>46508</v>
      </c>
      <c r="S236" s="3" t="e">
        <f t="shared" si="22"/>
        <v>#N/A</v>
      </c>
      <c r="T236" s="3" t="e">
        <f t="shared" si="23"/>
        <v>#N/A</v>
      </c>
      <c r="U236" s="3">
        <f>Settings!$B$6</f>
        <v>100</v>
      </c>
    </row>
    <row r="237" spans="1:21" ht="18" customHeight="1" x14ac:dyDescent="0.3">
      <c r="A237" s="132">
        <f>A236+1</f>
        <v>46509</v>
      </c>
      <c r="B237" s="138"/>
      <c r="C237" s="126" t="str" cm="1">
        <f t="array" ref="C237">IF(B237="","",B237-IFERROR(LOOKUP(2,1/($B$6:B236&lt;&gt;""),$B$6:B236),Settings!$B$5))</f>
        <v/>
      </c>
      <c r="D237" s="127" t="str">
        <f>IF(B237="","",AVERAGE(B231:B237))</f>
        <v/>
      </c>
      <c r="E237" s="143"/>
      <c r="F237" s="144"/>
      <c r="G237" s="138"/>
      <c r="H237" s="143"/>
      <c r="I237" s="144"/>
      <c r="J237" s="145"/>
      <c r="K237" s="138"/>
      <c r="L237" s="146"/>
      <c r="M237" s="127" t="str">
        <f>IF(B237="","",B237/((Settings!$B$7)/100)^2)</f>
        <v/>
      </c>
      <c r="N237" s="25">
        <f>Settings!$B$6</f>
        <v>100</v>
      </c>
      <c r="O237" s="3" t="e">
        <f t="shared" si="18"/>
        <v>#N/A</v>
      </c>
      <c r="P237" s="3" t="e">
        <f t="shared" si="19"/>
        <v>#N/A</v>
      </c>
      <c r="Q237" s="3" t="e">
        <f t="shared" si="20"/>
        <v>#N/A</v>
      </c>
      <c r="R237" s="131">
        <f t="shared" si="21"/>
        <v>46509</v>
      </c>
      <c r="S237" s="3" t="e">
        <f t="shared" si="22"/>
        <v>#N/A</v>
      </c>
      <c r="T237" s="3" t="e">
        <f t="shared" si="23"/>
        <v>#N/A</v>
      </c>
      <c r="U237" s="3">
        <f>Settings!$B$6</f>
        <v>100</v>
      </c>
    </row>
    <row r="238" spans="1:21" ht="18" customHeight="1" x14ac:dyDescent="0.3">
      <c r="A238" s="124">
        <f>A237+1</f>
        <v>46510</v>
      </c>
      <c r="B238" s="137"/>
      <c r="C238" s="126" t="str" cm="1">
        <f t="array" ref="C238">IF(B238="","",B238-IFERROR(LOOKUP(2,1/($B$6:B237&lt;&gt;""),$B$6:B237),Settings!$B$5))</f>
        <v/>
      </c>
      <c r="D238" s="127" t="str">
        <f>IF(B238="","",AVERAGE(B232:B238))</f>
        <v/>
      </c>
      <c r="E238" s="139"/>
      <c r="F238" s="140"/>
      <c r="G238" s="137"/>
      <c r="H238" s="139"/>
      <c r="I238" s="140"/>
      <c r="J238" s="141"/>
      <c r="K238" s="137"/>
      <c r="L238" s="142"/>
      <c r="M238" s="127" t="str">
        <f>IF(B238="","",B238/((Settings!$B$7)/100)^2)</f>
        <v/>
      </c>
      <c r="N238" s="25">
        <f>Settings!$B$6</f>
        <v>100</v>
      </c>
      <c r="O238" s="3" t="e">
        <f t="shared" si="18"/>
        <v>#N/A</v>
      </c>
      <c r="P238" s="3" t="e">
        <f t="shared" si="19"/>
        <v>#N/A</v>
      </c>
      <c r="Q238" s="3" t="e">
        <f t="shared" si="20"/>
        <v>#N/A</v>
      </c>
      <c r="R238" s="131">
        <f t="shared" si="21"/>
        <v>46510</v>
      </c>
      <c r="S238" s="3" t="e">
        <f t="shared" si="22"/>
        <v>#N/A</v>
      </c>
      <c r="T238" s="3" t="e">
        <f t="shared" si="23"/>
        <v>#N/A</v>
      </c>
      <c r="U238" s="3">
        <f>Settings!$B$6</f>
        <v>100</v>
      </c>
    </row>
    <row r="239" spans="1:21" ht="18" customHeight="1" x14ac:dyDescent="0.3">
      <c r="A239" s="132">
        <f>A238+1</f>
        <v>46511</v>
      </c>
      <c r="B239" s="138"/>
      <c r="C239" s="126" t="str" cm="1">
        <f t="array" ref="C239">IF(B239="","",B239-IFERROR(LOOKUP(2,1/($B$6:B238&lt;&gt;""),$B$6:B238),Settings!$B$5))</f>
        <v/>
      </c>
      <c r="D239" s="127" t="str">
        <f>IF(B239="","",AVERAGE(B233:B239))</f>
        <v/>
      </c>
      <c r="E239" s="143"/>
      <c r="F239" s="144"/>
      <c r="G239" s="138"/>
      <c r="H239" s="143"/>
      <c r="I239" s="144"/>
      <c r="J239" s="145"/>
      <c r="K239" s="138"/>
      <c r="L239" s="146"/>
      <c r="M239" s="127" t="str">
        <f>IF(B239="","",B239/((Settings!$B$7)/100)^2)</f>
        <v/>
      </c>
      <c r="N239" s="25">
        <f>Settings!$B$6</f>
        <v>100</v>
      </c>
      <c r="O239" s="3" t="e">
        <f t="shared" si="18"/>
        <v>#N/A</v>
      </c>
      <c r="P239" s="3" t="e">
        <f t="shared" si="19"/>
        <v>#N/A</v>
      </c>
      <c r="Q239" s="3" t="e">
        <f t="shared" si="20"/>
        <v>#N/A</v>
      </c>
      <c r="R239" s="131">
        <f t="shared" si="21"/>
        <v>46511</v>
      </c>
      <c r="S239" s="3" t="e">
        <f t="shared" si="22"/>
        <v>#N/A</v>
      </c>
      <c r="T239" s="3" t="e">
        <f t="shared" si="23"/>
        <v>#N/A</v>
      </c>
      <c r="U239" s="3">
        <f>Settings!$B$6</f>
        <v>100</v>
      </c>
    </row>
    <row r="240" spans="1:21" ht="18" customHeight="1" x14ac:dyDescent="0.3">
      <c r="A240" s="124">
        <f>A239+1</f>
        <v>46512</v>
      </c>
      <c r="B240" s="137"/>
      <c r="C240" s="126" t="str" cm="1">
        <f t="array" ref="C240">IF(B240="","",B240-IFERROR(LOOKUP(2,1/($B$6:B239&lt;&gt;""),$B$6:B239),Settings!$B$5))</f>
        <v/>
      </c>
      <c r="D240" s="127" t="str">
        <f>IF(B240="","",AVERAGE(B234:B240))</f>
        <v/>
      </c>
      <c r="E240" s="139"/>
      <c r="F240" s="140"/>
      <c r="G240" s="137"/>
      <c r="H240" s="139"/>
      <c r="I240" s="140"/>
      <c r="J240" s="141"/>
      <c r="K240" s="137"/>
      <c r="L240" s="142"/>
      <c r="M240" s="127" t="str">
        <f>IF(B240="","",B240/((Settings!$B$7)/100)^2)</f>
        <v/>
      </c>
      <c r="N240" s="25">
        <f>Settings!$B$6</f>
        <v>100</v>
      </c>
      <c r="O240" s="3" t="e">
        <f t="shared" si="18"/>
        <v>#N/A</v>
      </c>
      <c r="P240" s="3" t="e">
        <f t="shared" si="19"/>
        <v>#N/A</v>
      </c>
      <c r="Q240" s="3" t="e">
        <f t="shared" si="20"/>
        <v>#N/A</v>
      </c>
      <c r="R240" s="131">
        <f t="shared" si="21"/>
        <v>46512</v>
      </c>
      <c r="S240" s="3" t="e">
        <f t="shared" si="22"/>
        <v>#N/A</v>
      </c>
      <c r="T240" s="3" t="e">
        <f t="shared" si="23"/>
        <v>#N/A</v>
      </c>
      <c r="U240" s="3">
        <f>Settings!$B$6</f>
        <v>100</v>
      </c>
    </row>
    <row r="241" spans="1:21" ht="18" customHeight="1" x14ac:dyDescent="0.3">
      <c r="A241" s="132">
        <f>A240+1</f>
        <v>46513</v>
      </c>
      <c r="B241" s="138"/>
      <c r="C241" s="126" t="str" cm="1">
        <f t="array" ref="C241">IF(B241="","",B241-IFERROR(LOOKUP(2,1/($B$6:B240&lt;&gt;""),$B$6:B240),Settings!$B$5))</f>
        <v/>
      </c>
      <c r="D241" s="127" t="str">
        <f>IF(B241="","",AVERAGE(B235:B241))</f>
        <v/>
      </c>
      <c r="E241" s="143"/>
      <c r="F241" s="144"/>
      <c r="G241" s="138"/>
      <c r="H241" s="143"/>
      <c r="I241" s="144"/>
      <c r="J241" s="145"/>
      <c r="K241" s="138"/>
      <c r="L241" s="146"/>
      <c r="M241" s="127" t="str">
        <f>IF(B241="","",B241/((Settings!$B$7)/100)^2)</f>
        <v/>
      </c>
      <c r="N241" s="25">
        <f>Settings!$B$6</f>
        <v>100</v>
      </c>
      <c r="O241" s="3" t="e">
        <f t="shared" si="18"/>
        <v>#N/A</v>
      </c>
      <c r="P241" s="3" t="e">
        <f t="shared" si="19"/>
        <v>#N/A</v>
      </c>
      <c r="Q241" s="3" t="e">
        <f t="shared" si="20"/>
        <v>#N/A</v>
      </c>
      <c r="R241" s="131">
        <f t="shared" si="21"/>
        <v>46513</v>
      </c>
      <c r="S241" s="3" t="e">
        <f t="shared" si="22"/>
        <v>#N/A</v>
      </c>
      <c r="T241" s="3" t="e">
        <f t="shared" si="23"/>
        <v>#N/A</v>
      </c>
      <c r="U241" s="3">
        <f>Settings!$B$6</f>
        <v>100</v>
      </c>
    </row>
    <row r="242" spans="1:21" ht="18" customHeight="1" x14ac:dyDescent="0.3">
      <c r="A242" s="124">
        <f>A241+1</f>
        <v>46514</v>
      </c>
      <c r="B242" s="137"/>
      <c r="C242" s="126" t="str" cm="1">
        <f t="array" ref="C242">IF(B242="","",B242-IFERROR(LOOKUP(2,1/($B$6:B241&lt;&gt;""),$B$6:B241),Settings!$B$5))</f>
        <v/>
      </c>
      <c r="D242" s="127" t="str">
        <f>IF(B242="","",AVERAGE(B236:B242))</f>
        <v/>
      </c>
      <c r="E242" s="139"/>
      <c r="F242" s="140"/>
      <c r="G242" s="137"/>
      <c r="H242" s="139"/>
      <c r="I242" s="140"/>
      <c r="J242" s="141"/>
      <c r="K242" s="137"/>
      <c r="L242" s="142"/>
      <c r="M242" s="127" t="str">
        <f>IF(B242="","",B242/((Settings!$B$7)/100)^2)</f>
        <v/>
      </c>
      <c r="N242" s="25">
        <f>Settings!$B$6</f>
        <v>100</v>
      </c>
      <c r="O242" s="3" t="e">
        <f t="shared" si="18"/>
        <v>#N/A</v>
      </c>
      <c r="P242" s="3" t="e">
        <f t="shared" si="19"/>
        <v>#N/A</v>
      </c>
      <c r="Q242" s="3" t="e">
        <f t="shared" si="20"/>
        <v>#N/A</v>
      </c>
      <c r="R242" s="131">
        <f t="shared" si="21"/>
        <v>46514</v>
      </c>
      <c r="S242" s="3" t="e">
        <f t="shared" si="22"/>
        <v>#N/A</v>
      </c>
      <c r="T242" s="3" t="e">
        <f t="shared" si="23"/>
        <v>#N/A</v>
      </c>
      <c r="U242" s="3">
        <f>Settings!$B$6</f>
        <v>100</v>
      </c>
    </row>
    <row r="243" spans="1:21" ht="18" customHeight="1" x14ac:dyDescent="0.3">
      <c r="A243" s="132">
        <f>A242+1</f>
        <v>46515</v>
      </c>
      <c r="B243" s="138"/>
      <c r="C243" s="126" t="str" cm="1">
        <f t="array" ref="C243">IF(B243="","",B243-IFERROR(LOOKUP(2,1/($B$6:B242&lt;&gt;""),$B$6:B242),Settings!$B$5))</f>
        <v/>
      </c>
      <c r="D243" s="127" t="str">
        <f>IF(B243="","",AVERAGE(B237:B243))</f>
        <v/>
      </c>
      <c r="E243" s="143"/>
      <c r="F243" s="144"/>
      <c r="G243" s="138"/>
      <c r="H243" s="143"/>
      <c r="I243" s="144"/>
      <c r="J243" s="145"/>
      <c r="K243" s="138"/>
      <c r="L243" s="146"/>
      <c r="M243" s="127" t="str">
        <f>IF(B243="","",B243/((Settings!$B$7)/100)^2)</f>
        <v/>
      </c>
      <c r="N243" s="25">
        <f>Settings!$B$6</f>
        <v>100</v>
      </c>
      <c r="O243" s="3" t="e">
        <f t="shared" si="18"/>
        <v>#N/A</v>
      </c>
      <c r="P243" s="3" t="e">
        <f t="shared" si="19"/>
        <v>#N/A</v>
      </c>
      <c r="Q243" s="3" t="e">
        <f t="shared" si="20"/>
        <v>#N/A</v>
      </c>
      <c r="R243" s="131">
        <f t="shared" si="21"/>
        <v>46515</v>
      </c>
      <c r="S243" s="3" t="e">
        <f t="shared" si="22"/>
        <v>#N/A</v>
      </c>
      <c r="T243" s="3" t="e">
        <f t="shared" si="23"/>
        <v>#N/A</v>
      </c>
      <c r="U243" s="3">
        <f>Settings!$B$6</f>
        <v>100</v>
      </c>
    </row>
    <row r="244" spans="1:21" ht="18" customHeight="1" x14ac:dyDescent="0.3">
      <c r="A244" s="124">
        <f>A243+1</f>
        <v>46516</v>
      </c>
      <c r="B244" s="137"/>
      <c r="C244" s="126" t="str" cm="1">
        <f t="array" ref="C244">IF(B244="","",B244-IFERROR(LOOKUP(2,1/($B$6:B243&lt;&gt;""),$B$6:B243),Settings!$B$5))</f>
        <v/>
      </c>
      <c r="D244" s="127" t="str">
        <f>IF(B244="","",AVERAGE(B238:B244))</f>
        <v/>
      </c>
      <c r="E244" s="139"/>
      <c r="F244" s="140"/>
      <c r="G244" s="137"/>
      <c r="H244" s="139"/>
      <c r="I244" s="140"/>
      <c r="J244" s="141"/>
      <c r="K244" s="137"/>
      <c r="L244" s="142"/>
      <c r="M244" s="127" t="str">
        <f>IF(B244="","",B244/((Settings!$B$7)/100)^2)</f>
        <v/>
      </c>
      <c r="N244" s="25">
        <f>Settings!$B$6</f>
        <v>100</v>
      </c>
      <c r="O244" s="3" t="e">
        <f t="shared" si="18"/>
        <v>#N/A</v>
      </c>
      <c r="P244" s="3" t="e">
        <f t="shared" si="19"/>
        <v>#N/A</v>
      </c>
      <c r="Q244" s="3" t="e">
        <f t="shared" si="20"/>
        <v>#N/A</v>
      </c>
      <c r="R244" s="131">
        <f t="shared" si="21"/>
        <v>46516</v>
      </c>
      <c r="S244" s="3" t="e">
        <f t="shared" si="22"/>
        <v>#N/A</v>
      </c>
      <c r="T244" s="3" t="e">
        <f t="shared" si="23"/>
        <v>#N/A</v>
      </c>
      <c r="U244" s="3">
        <f>Settings!$B$6</f>
        <v>100</v>
      </c>
    </row>
    <row r="245" spans="1:21" ht="18" customHeight="1" x14ac:dyDescent="0.3">
      <c r="A245" s="132">
        <f>A244+1</f>
        <v>46517</v>
      </c>
      <c r="B245" s="138"/>
      <c r="C245" s="126" t="str" cm="1">
        <f t="array" ref="C245">IF(B245="","",B245-IFERROR(LOOKUP(2,1/($B$6:B244&lt;&gt;""),$B$6:B244),Settings!$B$5))</f>
        <v/>
      </c>
      <c r="D245" s="127" t="str">
        <f>IF(B245="","",AVERAGE(B239:B245))</f>
        <v/>
      </c>
      <c r="E245" s="143"/>
      <c r="F245" s="144"/>
      <c r="G245" s="138"/>
      <c r="H245" s="143"/>
      <c r="I245" s="144"/>
      <c r="J245" s="145"/>
      <c r="K245" s="138"/>
      <c r="L245" s="146"/>
      <c r="M245" s="127" t="str">
        <f>IF(B245="","",B245/((Settings!$B$7)/100)^2)</f>
        <v/>
      </c>
      <c r="N245" s="25">
        <f>Settings!$B$6</f>
        <v>100</v>
      </c>
      <c r="O245" s="3" t="e">
        <f t="shared" si="18"/>
        <v>#N/A</v>
      </c>
      <c r="P245" s="3" t="e">
        <f t="shared" si="19"/>
        <v>#N/A</v>
      </c>
      <c r="Q245" s="3" t="e">
        <f t="shared" si="20"/>
        <v>#N/A</v>
      </c>
      <c r="R245" s="131">
        <f t="shared" si="21"/>
        <v>46517</v>
      </c>
      <c r="S245" s="3" t="e">
        <f t="shared" si="22"/>
        <v>#N/A</v>
      </c>
      <c r="T245" s="3" t="e">
        <f t="shared" si="23"/>
        <v>#N/A</v>
      </c>
      <c r="U245" s="3">
        <f>Settings!$B$6</f>
        <v>100</v>
      </c>
    </row>
    <row r="246" spans="1:21" ht="18" customHeight="1" x14ac:dyDescent="0.3">
      <c r="A246" s="124">
        <f>A245+1</f>
        <v>46518</v>
      </c>
      <c r="B246" s="137"/>
      <c r="C246" s="126" t="str" cm="1">
        <f t="array" ref="C246">IF(B246="","",B246-IFERROR(LOOKUP(2,1/($B$6:B245&lt;&gt;""),$B$6:B245),Settings!$B$5))</f>
        <v/>
      </c>
      <c r="D246" s="127" t="str">
        <f>IF(B246="","",AVERAGE(B240:B246))</f>
        <v/>
      </c>
      <c r="E246" s="139"/>
      <c r="F246" s="140"/>
      <c r="G246" s="137"/>
      <c r="H246" s="139"/>
      <c r="I246" s="140"/>
      <c r="J246" s="141"/>
      <c r="K246" s="137"/>
      <c r="L246" s="142"/>
      <c r="M246" s="127" t="str">
        <f>IF(B246="","",B246/((Settings!$B$7)/100)^2)</f>
        <v/>
      </c>
      <c r="N246" s="25">
        <f>Settings!$B$6</f>
        <v>100</v>
      </c>
      <c r="O246" s="3" t="e">
        <f t="shared" si="18"/>
        <v>#N/A</v>
      </c>
      <c r="P246" s="3" t="e">
        <f t="shared" si="19"/>
        <v>#N/A</v>
      </c>
      <c r="Q246" s="3" t="e">
        <f t="shared" si="20"/>
        <v>#N/A</v>
      </c>
      <c r="R246" s="131">
        <f t="shared" si="21"/>
        <v>46518</v>
      </c>
      <c r="S246" s="3" t="e">
        <f t="shared" si="22"/>
        <v>#N/A</v>
      </c>
      <c r="T246" s="3" t="e">
        <f t="shared" si="23"/>
        <v>#N/A</v>
      </c>
      <c r="U246" s="3">
        <f>Settings!$B$6</f>
        <v>100</v>
      </c>
    </row>
    <row r="247" spans="1:21" ht="18" customHeight="1" x14ac:dyDescent="0.3">
      <c r="A247" s="132">
        <f>A246+1</f>
        <v>46519</v>
      </c>
      <c r="B247" s="138"/>
      <c r="C247" s="126" t="str" cm="1">
        <f t="array" ref="C247">IF(B247="","",B247-IFERROR(LOOKUP(2,1/($B$6:B246&lt;&gt;""),$B$6:B246),Settings!$B$5))</f>
        <v/>
      </c>
      <c r="D247" s="127" t="str">
        <f>IF(B247="","",AVERAGE(B241:B247))</f>
        <v/>
      </c>
      <c r="E247" s="143"/>
      <c r="F247" s="144"/>
      <c r="G247" s="138"/>
      <c r="H247" s="143"/>
      <c r="I247" s="144"/>
      <c r="J247" s="145"/>
      <c r="K247" s="138"/>
      <c r="L247" s="146"/>
      <c r="M247" s="127" t="str">
        <f>IF(B247="","",B247/((Settings!$B$7)/100)^2)</f>
        <v/>
      </c>
      <c r="N247" s="25">
        <f>Settings!$B$6</f>
        <v>100</v>
      </c>
      <c r="O247" s="3" t="e">
        <f t="shared" si="18"/>
        <v>#N/A</v>
      </c>
      <c r="P247" s="3" t="e">
        <f t="shared" si="19"/>
        <v>#N/A</v>
      </c>
      <c r="Q247" s="3" t="e">
        <f t="shared" si="20"/>
        <v>#N/A</v>
      </c>
      <c r="R247" s="131">
        <f t="shared" si="21"/>
        <v>46519</v>
      </c>
      <c r="S247" s="3" t="e">
        <f t="shared" si="22"/>
        <v>#N/A</v>
      </c>
      <c r="T247" s="3" t="e">
        <f t="shared" si="23"/>
        <v>#N/A</v>
      </c>
      <c r="U247" s="3">
        <f>Settings!$B$6</f>
        <v>100</v>
      </c>
    </row>
    <row r="248" spans="1:21" ht="18" customHeight="1" x14ac:dyDescent="0.3">
      <c r="A248" s="124">
        <f>A247+1</f>
        <v>46520</v>
      </c>
      <c r="B248" s="137"/>
      <c r="C248" s="126" t="str" cm="1">
        <f t="array" ref="C248">IF(B248="","",B248-IFERROR(LOOKUP(2,1/($B$6:B247&lt;&gt;""),$B$6:B247),Settings!$B$5))</f>
        <v/>
      </c>
      <c r="D248" s="127" t="str">
        <f>IF(B248="","",AVERAGE(B242:B248))</f>
        <v/>
      </c>
      <c r="E248" s="139"/>
      <c r="F248" s="140"/>
      <c r="G248" s="137"/>
      <c r="H248" s="139"/>
      <c r="I248" s="140"/>
      <c r="J248" s="141"/>
      <c r="K248" s="137"/>
      <c r="L248" s="142"/>
      <c r="M248" s="127" t="str">
        <f>IF(B248="","",B248/((Settings!$B$7)/100)^2)</f>
        <v/>
      </c>
      <c r="N248" s="25">
        <f>Settings!$B$6</f>
        <v>100</v>
      </c>
      <c r="O248" s="3" t="e">
        <f t="shared" si="18"/>
        <v>#N/A</v>
      </c>
      <c r="P248" s="3" t="e">
        <f t="shared" si="19"/>
        <v>#N/A</v>
      </c>
      <c r="Q248" s="3" t="e">
        <f t="shared" si="20"/>
        <v>#N/A</v>
      </c>
      <c r="R248" s="131">
        <f t="shared" si="21"/>
        <v>46520</v>
      </c>
      <c r="S248" s="3" t="e">
        <f t="shared" si="22"/>
        <v>#N/A</v>
      </c>
      <c r="T248" s="3" t="e">
        <f t="shared" si="23"/>
        <v>#N/A</v>
      </c>
      <c r="U248" s="3">
        <f>Settings!$B$6</f>
        <v>100</v>
      </c>
    </row>
    <row r="249" spans="1:21" ht="18" customHeight="1" x14ac:dyDescent="0.3">
      <c r="A249" s="132">
        <f>A248+1</f>
        <v>46521</v>
      </c>
      <c r="B249" s="138"/>
      <c r="C249" s="126" t="str" cm="1">
        <f t="array" ref="C249">IF(B249="","",B249-IFERROR(LOOKUP(2,1/($B$6:B248&lt;&gt;""),$B$6:B248),Settings!$B$5))</f>
        <v/>
      </c>
      <c r="D249" s="127" t="str">
        <f>IF(B249="","",AVERAGE(B243:B249))</f>
        <v/>
      </c>
      <c r="E249" s="143"/>
      <c r="F249" s="144"/>
      <c r="G249" s="138"/>
      <c r="H249" s="143"/>
      <c r="I249" s="144"/>
      <c r="J249" s="145"/>
      <c r="K249" s="138"/>
      <c r="L249" s="146"/>
      <c r="M249" s="127" t="str">
        <f>IF(B249="","",B249/((Settings!$B$7)/100)^2)</f>
        <v/>
      </c>
      <c r="N249" s="25">
        <f>Settings!$B$6</f>
        <v>100</v>
      </c>
      <c r="O249" s="3" t="e">
        <f t="shared" si="18"/>
        <v>#N/A</v>
      </c>
      <c r="P249" s="3" t="e">
        <f t="shared" si="19"/>
        <v>#N/A</v>
      </c>
      <c r="Q249" s="3" t="e">
        <f t="shared" si="20"/>
        <v>#N/A</v>
      </c>
      <c r="R249" s="131">
        <f t="shared" si="21"/>
        <v>46521</v>
      </c>
      <c r="S249" s="3" t="e">
        <f t="shared" si="22"/>
        <v>#N/A</v>
      </c>
      <c r="T249" s="3" t="e">
        <f t="shared" si="23"/>
        <v>#N/A</v>
      </c>
      <c r="U249" s="3">
        <f>Settings!$B$6</f>
        <v>100</v>
      </c>
    </row>
    <row r="250" spans="1:21" ht="18" customHeight="1" x14ac:dyDescent="0.3">
      <c r="A250" s="124">
        <f>A249+1</f>
        <v>46522</v>
      </c>
      <c r="B250" s="137"/>
      <c r="C250" s="126" t="str" cm="1">
        <f t="array" ref="C250">IF(B250="","",B250-IFERROR(LOOKUP(2,1/($B$6:B249&lt;&gt;""),$B$6:B249),Settings!$B$5))</f>
        <v/>
      </c>
      <c r="D250" s="127" t="str">
        <f>IF(B250="","",AVERAGE(B244:B250))</f>
        <v/>
      </c>
      <c r="E250" s="139"/>
      <c r="F250" s="140"/>
      <c r="G250" s="137"/>
      <c r="H250" s="139"/>
      <c r="I250" s="140"/>
      <c r="J250" s="141"/>
      <c r="K250" s="137"/>
      <c r="L250" s="142"/>
      <c r="M250" s="127" t="str">
        <f>IF(B250="","",B250/((Settings!$B$7)/100)^2)</f>
        <v/>
      </c>
      <c r="N250" s="25">
        <f>Settings!$B$6</f>
        <v>100</v>
      </c>
      <c r="O250" s="3" t="e">
        <f t="shared" si="18"/>
        <v>#N/A</v>
      </c>
      <c r="P250" s="3" t="e">
        <f t="shared" si="19"/>
        <v>#N/A</v>
      </c>
      <c r="Q250" s="3" t="e">
        <f t="shared" si="20"/>
        <v>#N/A</v>
      </c>
      <c r="R250" s="131">
        <f t="shared" si="21"/>
        <v>46522</v>
      </c>
      <c r="S250" s="3" t="e">
        <f t="shared" si="22"/>
        <v>#N/A</v>
      </c>
      <c r="T250" s="3" t="e">
        <f t="shared" si="23"/>
        <v>#N/A</v>
      </c>
      <c r="U250" s="3">
        <f>Settings!$B$6</f>
        <v>100</v>
      </c>
    </row>
    <row r="251" spans="1:21" ht="18" customHeight="1" x14ac:dyDescent="0.3">
      <c r="A251" s="132">
        <f>A250+1</f>
        <v>46523</v>
      </c>
      <c r="B251" s="138"/>
      <c r="C251" s="126" t="str" cm="1">
        <f t="array" ref="C251">IF(B251="","",B251-IFERROR(LOOKUP(2,1/($B$6:B250&lt;&gt;""),$B$6:B250),Settings!$B$5))</f>
        <v/>
      </c>
      <c r="D251" s="127" t="str">
        <f>IF(B251="","",AVERAGE(B245:B251))</f>
        <v/>
      </c>
      <c r="E251" s="143"/>
      <c r="F251" s="144"/>
      <c r="G251" s="138"/>
      <c r="H251" s="143"/>
      <c r="I251" s="144"/>
      <c r="J251" s="145"/>
      <c r="K251" s="138"/>
      <c r="L251" s="146"/>
      <c r="M251" s="127" t="str">
        <f>IF(B251="","",B251/((Settings!$B$7)/100)^2)</f>
        <v/>
      </c>
      <c r="N251" s="25">
        <f>Settings!$B$6</f>
        <v>100</v>
      </c>
      <c r="O251" s="3" t="e">
        <f t="shared" si="18"/>
        <v>#N/A</v>
      </c>
      <c r="P251" s="3" t="e">
        <f t="shared" si="19"/>
        <v>#N/A</v>
      </c>
      <c r="Q251" s="3" t="e">
        <f t="shared" si="20"/>
        <v>#N/A</v>
      </c>
      <c r="R251" s="131">
        <f t="shared" si="21"/>
        <v>46523</v>
      </c>
      <c r="S251" s="3" t="e">
        <f t="shared" si="22"/>
        <v>#N/A</v>
      </c>
      <c r="T251" s="3" t="e">
        <f t="shared" si="23"/>
        <v>#N/A</v>
      </c>
      <c r="U251" s="3">
        <f>Settings!$B$6</f>
        <v>100</v>
      </c>
    </row>
    <row r="252" spans="1:21" ht="18" customHeight="1" x14ac:dyDescent="0.3">
      <c r="A252" s="124">
        <f>A251+1</f>
        <v>46524</v>
      </c>
      <c r="B252" s="137"/>
      <c r="C252" s="126" t="str" cm="1">
        <f t="array" ref="C252">IF(B252="","",B252-IFERROR(LOOKUP(2,1/($B$6:B251&lt;&gt;""),$B$6:B251),Settings!$B$5))</f>
        <v/>
      </c>
      <c r="D252" s="127" t="str">
        <f>IF(B252="","",AVERAGE(B246:B252))</f>
        <v/>
      </c>
      <c r="E252" s="139"/>
      <c r="F252" s="140"/>
      <c r="G252" s="137"/>
      <c r="H252" s="139"/>
      <c r="I252" s="140"/>
      <c r="J252" s="141"/>
      <c r="K252" s="137"/>
      <c r="L252" s="142"/>
      <c r="M252" s="127" t="str">
        <f>IF(B252="","",B252/((Settings!$B$7)/100)^2)</f>
        <v/>
      </c>
      <c r="N252" s="25">
        <f>Settings!$B$6</f>
        <v>100</v>
      </c>
      <c r="O252" s="3" t="e">
        <f t="shared" si="18"/>
        <v>#N/A</v>
      </c>
      <c r="P252" s="3" t="e">
        <f t="shared" si="19"/>
        <v>#N/A</v>
      </c>
      <c r="Q252" s="3" t="e">
        <f t="shared" si="20"/>
        <v>#N/A</v>
      </c>
      <c r="R252" s="131">
        <f t="shared" si="21"/>
        <v>46524</v>
      </c>
      <c r="S252" s="3" t="e">
        <f t="shared" si="22"/>
        <v>#N/A</v>
      </c>
      <c r="T252" s="3" t="e">
        <f t="shared" si="23"/>
        <v>#N/A</v>
      </c>
      <c r="U252" s="3">
        <f>Settings!$B$6</f>
        <v>100</v>
      </c>
    </row>
    <row r="253" spans="1:21" ht="18" customHeight="1" x14ac:dyDescent="0.3">
      <c r="A253" s="132">
        <f>A252+1</f>
        <v>46525</v>
      </c>
      <c r="B253" s="138"/>
      <c r="C253" s="126" t="str" cm="1">
        <f t="array" ref="C253">IF(B253="","",B253-IFERROR(LOOKUP(2,1/($B$6:B252&lt;&gt;""),$B$6:B252),Settings!$B$5))</f>
        <v/>
      </c>
      <c r="D253" s="127" t="str">
        <f>IF(B253="","",AVERAGE(B247:B253))</f>
        <v/>
      </c>
      <c r="E253" s="143"/>
      <c r="F253" s="144"/>
      <c r="G253" s="138"/>
      <c r="H253" s="143"/>
      <c r="I253" s="144"/>
      <c r="J253" s="145"/>
      <c r="K253" s="138"/>
      <c r="L253" s="146"/>
      <c r="M253" s="127" t="str">
        <f>IF(B253="","",B253/((Settings!$B$7)/100)^2)</f>
        <v/>
      </c>
      <c r="N253" s="25">
        <f>Settings!$B$6</f>
        <v>100</v>
      </c>
      <c r="O253" s="3" t="e">
        <f t="shared" si="18"/>
        <v>#N/A</v>
      </c>
      <c r="P253" s="3" t="e">
        <f t="shared" si="19"/>
        <v>#N/A</v>
      </c>
      <c r="Q253" s="3" t="e">
        <f t="shared" si="20"/>
        <v>#N/A</v>
      </c>
      <c r="R253" s="131">
        <f t="shared" si="21"/>
        <v>46525</v>
      </c>
      <c r="S253" s="3" t="e">
        <f t="shared" si="22"/>
        <v>#N/A</v>
      </c>
      <c r="T253" s="3" t="e">
        <f t="shared" si="23"/>
        <v>#N/A</v>
      </c>
      <c r="U253" s="3">
        <f>Settings!$B$6</f>
        <v>100</v>
      </c>
    </row>
    <row r="254" spans="1:21" ht="18" customHeight="1" x14ac:dyDescent="0.3">
      <c r="A254" s="124">
        <f>A253+1</f>
        <v>46526</v>
      </c>
      <c r="B254" s="137"/>
      <c r="C254" s="126" t="str" cm="1">
        <f t="array" ref="C254">IF(B254="","",B254-IFERROR(LOOKUP(2,1/($B$6:B253&lt;&gt;""),$B$6:B253),Settings!$B$5))</f>
        <v/>
      </c>
      <c r="D254" s="127" t="str">
        <f>IF(B254="","",AVERAGE(B248:B254))</f>
        <v/>
      </c>
      <c r="E254" s="139"/>
      <c r="F254" s="140"/>
      <c r="G254" s="137"/>
      <c r="H254" s="139"/>
      <c r="I254" s="140"/>
      <c r="J254" s="141"/>
      <c r="K254" s="137"/>
      <c r="L254" s="142"/>
      <c r="M254" s="127" t="str">
        <f>IF(B254="","",B254/((Settings!$B$7)/100)^2)</f>
        <v/>
      </c>
      <c r="N254" s="25">
        <f>Settings!$B$6</f>
        <v>100</v>
      </c>
      <c r="O254" s="3" t="e">
        <f t="shared" si="18"/>
        <v>#N/A</v>
      </c>
      <c r="P254" s="3" t="e">
        <f t="shared" si="19"/>
        <v>#N/A</v>
      </c>
      <c r="Q254" s="3" t="e">
        <f t="shared" si="20"/>
        <v>#N/A</v>
      </c>
      <c r="R254" s="131">
        <f t="shared" si="21"/>
        <v>46526</v>
      </c>
      <c r="S254" s="3" t="e">
        <f t="shared" si="22"/>
        <v>#N/A</v>
      </c>
      <c r="T254" s="3" t="e">
        <f t="shared" si="23"/>
        <v>#N/A</v>
      </c>
      <c r="U254" s="3">
        <f>Settings!$B$6</f>
        <v>100</v>
      </c>
    </row>
    <row r="255" spans="1:21" ht="18" customHeight="1" x14ac:dyDescent="0.3">
      <c r="A255" s="132">
        <f>A254+1</f>
        <v>46527</v>
      </c>
      <c r="B255" s="138"/>
      <c r="C255" s="126" t="str" cm="1">
        <f t="array" ref="C255">IF(B255="","",B255-IFERROR(LOOKUP(2,1/($B$6:B254&lt;&gt;""),$B$6:B254),Settings!$B$5))</f>
        <v/>
      </c>
      <c r="D255" s="127" t="str">
        <f>IF(B255="","",AVERAGE(B249:B255))</f>
        <v/>
      </c>
      <c r="E255" s="143"/>
      <c r="F255" s="144"/>
      <c r="G255" s="138"/>
      <c r="H255" s="143"/>
      <c r="I255" s="144"/>
      <c r="J255" s="145"/>
      <c r="K255" s="138"/>
      <c r="L255" s="146"/>
      <c r="M255" s="127" t="str">
        <f>IF(B255="","",B255/((Settings!$B$7)/100)^2)</f>
        <v/>
      </c>
      <c r="N255" s="25">
        <f>Settings!$B$6</f>
        <v>100</v>
      </c>
      <c r="O255" s="3" t="e">
        <f t="shared" si="18"/>
        <v>#N/A</v>
      </c>
      <c r="P255" s="3" t="e">
        <f t="shared" si="19"/>
        <v>#N/A</v>
      </c>
      <c r="Q255" s="3" t="e">
        <f t="shared" si="20"/>
        <v>#N/A</v>
      </c>
      <c r="R255" s="131">
        <f t="shared" si="21"/>
        <v>46527</v>
      </c>
      <c r="S255" s="3" t="e">
        <f t="shared" si="22"/>
        <v>#N/A</v>
      </c>
      <c r="T255" s="3" t="e">
        <f t="shared" si="23"/>
        <v>#N/A</v>
      </c>
      <c r="U255" s="3">
        <f>Settings!$B$6</f>
        <v>100</v>
      </c>
    </row>
    <row r="256" spans="1:21" ht="18" customHeight="1" x14ac:dyDescent="0.3">
      <c r="A256" s="124">
        <f>A255+1</f>
        <v>46528</v>
      </c>
      <c r="B256" s="137"/>
      <c r="C256" s="126" t="str" cm="1">
        <f t="array" ref="C256">IF(B256="","",B256-IFERROR(LOOKUP(2,1/($B$6:B255&lt;&gt;""),$B$6:B255),Settings!$B$5))</f>
        <v/>
      </c>
      <c r="D256" s="127" t="str">
        <f>IF(B256="","",AVERAGE(B250:B256))</f>
        <v/>
      </c>
      <c r="E256" s="139"/>
      <c r="F256" s="140"/>
      <c r="G256" s="137"/>
      <c r="H256" s="139"/>
      <c r="I256" s="140"/>
      <c r="J256" s="141"/>
      <c r="K256" s="137"/>
      <c r="L256" s="142"/>
      <c r="M256" s="127" t="str">
        <f>IF(B256="","",B256/((Settings!$B$7)/100)^2)</f>
        <v/>
      </c>
      <c r="N256" s="25">
        <f>Settings!$B$6</f>
        <v>100</v>
      </c>
      <c r="O256" s="3" t="e">
        <f t="shared" si="18"/>
        <v>#N/A</v>
      </c>
      <c r="P256" s="3" t="e">
        <f t="shared" si="19"/>
        <v>#N/A</v>
      </c>
      <c r="Q256" s="3" t="e">
        <f t="shared" si="20"/>
        <v>#N/A</v>
      </c>
      <c r="R256" s="131">
        <f t="shared" si="21"/>
        <v>46528</v>
      </c>
      <c r="S256" s="3" t="e">
        <f t="shared" si="22"/>
        <v>#N/A</v>
      </c>
      <c r="T256" s="3" t="e">
        <f t="shared" si="23"/>
        <v>#N/A</v>
      </c>
      <c r="U256" s="3">
        <f>Settings!$B$6</f>
        <v>100</v>
      </c>
    </row>
    <row r="257" spans="1:21" ht="18" customHeight="1" x14ac:dyDescent="0.3">
      <c r="A257" s="132">
        <f>A256+1</f>
        <v>46529</v>
      </c>
      <c r="B257" s="138"/>
      <c r="C257" s="126" t="str" cm="1">
        <f t="array" ref="C257">IF(B257="","",B257-IFERROR(LOOKUP(2,1/($B$6:B256&lt;&gt;""),$B$6:B256),Settings!$B$5))</f>
        <v/>
      </c>
      <c r="D257" s="127" t="str">
        <f>IF(B257="","",AVERAGE(B251:B257))</f>
        <v/>
      </c>
      <c r="E257" s="143"/>
      <c r="F257" s="144"/>
      <c r="G257" s="138"/>
      <c r="H257" s="143"/>
      <c r="I257" s="144"/>
      <c r="J257" s="145"/>
      <c r="K257" s="138"/>
      <c r="L257" s="146"/>
      <c r="M257" s="127" t="str">
        <f>IF(B257="","",B257/((Settings!$B$7)/100)^2)</f>
        <v/>
      </c>
      <c r="N257" s="25">
        <f>Settings!$B$6</f>
        <v>100</v>
      </c>
      <c r="O257" s="3" t="e">
        <f t="shared" si="18"/>
        <v>#N/A</v>
      </c>
      <c r="P257" s="3" t="e">
        <f t="shared" si="19"/>
        <v>#N/A</v>
      </c>
      <c r="Q257" s="3" t="e">
        <f t="shared" si="20"/>
        <v>#N/A</v>
      </c>
      <c r="R257" s="131">
        <f t="shared" si="21"/>
        <v>46529</v>
      </c>
      <c r="S257" s="3" t="e">
        <f t="shared" si="22"/>
        <v>#N/A</v>
      </c>
      <c r="T257" s="3" t="e">
        <f t="shared" si="23"/>
        <v>#N/A</v>
      </c>
      <c r="U257" s="3">
        <f>Settings!$B$6</f>
        <v>100</v>
      </c>
    </row>
    <row r="258" spans="1:21" ht="18" customHeight="1" x14ac:dyDescent="0.3">
      <c r="A258" s="124">
        <f>A257+1</f>
        <v>46530</v>
      </c>
      <c r="B258" s="137"/>
      <c r="C258" s="126" t="str" cm="1">
        <f t="array" ref="C258">IF(B258="","",B258-IFERROR(LOOKUP(2,1/($B$6:B257&lt;&gt;""),$B$6:B257),Settings!$B$5))</f>
        <v/>
      </c>
      <c r="D258" s="127" t="str">
        <f>IF(B258="","",AVERAGE(B252:B258))</f>
        <v/>
      </c>
      <c r="E258" s="139"/>
      <c r="F258" s="140"/>
      <c r="G258" s="137"/>
      <c r="H258" s="139"/>
      <c r="I258" s="140"/>
      <c r="J258" s="141"/>
      <c r="K258" s="137"/>
      <c r="L258" s="142"/>
      <c r="M258" s="127" t="str">
        <f>IF(B258="","",B258/((Settings!$B$7)/100)^2)</f>
        <v/>
      </c>
      <c r="N258" s="25">
        <f>Settings!$B$6</f>
        <v>100</v>
      </c>
      <c r="O258" s="3" t="e">
        <f t="shared" si="18"/>
        <v>#N/A</v>
      </c>
      <c r="P258" s="3" t="e">
        <f t="shared" si="19"/>
        <v>#N/A</v>
      </c>
      <c r="Q258" s="3" t="e">
        <f t="shared" si="20"/>
        <v>#N/A</v>
      </c>
      <c r="R258" s="131">
        <f t="shared" si="21"/>
        <v>46530</v>
      </c>
      <c r="S258" s="3" t="e">
        <f t="shared" si="22"/>
        <v>#N/A</v>
      </c>
      <c r="T258" s="3" t="e">
        <f t="shared" si="23"/>
        <v>#N/A</v>
      </c>
      <c r="U258" s="3">
        <f>Settings!$B$6</f>
        <v>100</v>
      </c>
    </row>
    <row r="259" spans="1:21" ht="18" customHeight="1" x14ac:dyDescent="0.3">
      <c r="A259" s="132">
        <f>A258+1</f>
        <v>46531</v>
      </c>
      <c r="B259" s="138"/>
      <c r="C259" s="126" t="str" cm="1">
        <f t="array" ref="C259">IF(B259="","",B259-IFERROR(LOOKUP(2,1/($B$6:B258&lt;&gt;""),$B$6:B258),Settings!$B$5))</f>
        <v/>
      </c>
      <c r="D259" s="127" t="str">
        <f>IF(B259="","",AVERAGE(B253:B259))</f>
        <v/>
      </c>
      <c r="E259" s="143"/>
      <c r="F259" s="144"/>
      <c r="G259" s="138"/>
      <c r="H259" s="143"/>
      <c r="I259" s="144"/>
      <c r="J259" s="145"/>
      <c r="K259" s="138"/>
      <c r="L259" s="146"/>
      <c r="M259" s="127" t="str">
        <f>IF(B259="","",B259/((Settings!$B$7)/100)^2)</f>
        <v/>
      </c>
      <c r="N259" s="25">
        <f>Settings!$B$6</f>
        <v>100</v>
      </c>
      <c r="O259" s="3" t="e">
        <f t="shared" si="18"/>
        <v>#N/A</v>
      </c>
      <c r="P259" s="3" t="e">
        <f t="shared" si="19"/>
        <v>#N/A</v>
      </c>
      <c r="Q259" s="3" t="e">
        <f t="shared" si="20"/>
        <v>#N/A</v>
      </c>
      <c r="R259" s="131">
        <f t="shared" si="21"/>
        <v>46531</v>
      </c>
      <c r="S259" s="3" t="e">
        <f t="shared" si="22"/>
        <v>#N/A</v>
      </c>
      <c r="T259" s="3" t="e">
        <f t="shared" si="23"/>
        <v>#N/A</v>
      </c>
      <c r="U259" s="3">
        <f>Settings!$B$6</f>
        <v>100</v>
      </c>
    </row>
    <row r="260" spans="1:21" ht="18" customHeight="1" x14ac:dyDescent="0.3">
      <c r="A260" s="124">
        <f>A259+1</f>
        <v>46532</v>
      </c>
      <c r="B260" s="137"/>
      <c r="C260" s="126" t="str" cm="1">
        <f t="array" ref="C260">IF(B260="","",B260-IFERROR(LOOKUP(2,1/($B$6:B259&lt;&gt;""),$B$6:B259),Settings!$B$5))</f>
        <v/>
      </c>
      <c r="D260" s="127" t="str">
        <f>IF(B260="","",AVERAGE(B254:B260))</f>
        <v/>
      </c>
      <c r="E260" s="139"/>
      <c r="F260" s="140"/>
      <c r="G260" s="137"/>
      <c r="H260" s="139"/>
      <c r="I260" s="140"/>
      <c r="J260" s="141"/>
      <c r="K260" s="137"/>
      <c r="L260" s="142"/>
      <c r="M260" s="127" t="str">
        <f>IF(B260="","",B260/((Settings!$B$7)/100)^2)</f>
        <v/>
      </c>
      <c r="N260" s="25">
        <f>Settings!$B$6</f>
        <v>100</v>
      </c>
      <c r="O260" s="3" t="e">
        <f t="shared" si="18"/>
        <v>#N/A</v>
      </c>
      <c r="P260" s="3" t="e">
        <f t="shared" si="19"/>
        <v>#N/A</v>
      </c>
      <c r="Q260" s="3" t="e">
        <f t="shared" si="20"/>
        <v>#N/A</v>
      </c>
      <c r="R260" s="131">
        <f t="shared" si="21"/>
        <v>46532</v>
      </c>
      <c r="S260" s="3" t="e">
        <f t="shared" si="22"/>
        <v>#N/A</v>
      </c>
      <c r="T260" s="3" t="e">
        <f t="shared" si="23"/>
        <v>#N/A</v>
      </c>
      <c r="U260" s="3">
        <f>Settings!$B$6</f>
        <v>100</v>
      </c>
    </row>
    <row r="261" spans="1:21" ht="18" customHeight="1" x14ac:dyDescent="0.3">
      <c r="A261" s="132">
        <f>A260+1</f>
        <v>46533</v>
      </c>
      <c r="B261" s="138"/>
      <c r="C261" s="126" t="str" cm="1">
        <f t="array" ref="C261">IF(B261="","",B261-IFERROR(LOOKUP(2,1/($B$6:B260&lt;&gt;""),$B$6:B260),Settings!$B$5))</f>
        <v/>
      </c>
      <c r="D261" s="127" t="str">
        <f>IF(B261="","",AVERAGE(B255:B261))</f>
        <v/>
      </c>
      <c r="E261" s="143"/>
      <c r="F261" s="144"/>
      <c r="G261" s="138"/>
      <c r="H261" s="143"/>
      <c r="I261" s="144"/>
      <c r="J261" s="145"/>
      <c r="K261" s="138"/>
      <c r="L261" s="146"/>
      <c r="M261" s="127" t="str">
        <f>IF(B261="","",B261/((Settings!$B$7)/100)^2)</f>
        <v/>
      </c>
      <c r="N261" s="25">
        <f>Settings!$B$6</f>
        <v>100</v>
      </c>
      <c r="O261" s="3" t="e">
        <f t="shared" si="18"/>
        <v>#N/A</v>
      </c>
      <c r="P261" s="3" t="e">
        <f t="shared" si="19"/>
        <v>#N/A</v>
      </c>
      <c r="Q261" s="3" t="e">
        <f t="shared" si="20"/>
        <v>#N/A</v>
      </c>
      <c r="R261" s="131">
        <f t="shared" si="21"/>
        <v>46533</v>
      </c>
      <c r="S261" s="3" t="e">
        <f t="shared" si="22"/>
        <v>#N/A</v>
      </c>
      <c r="T261" s="3" t="e">
        <f t="shared" si="23"/>
        <v>#N/A</v>
      </c>
      <c r="U261" s="3">
        <f>Settings!$B$6</f>
        <v>100</v>
      </c>
    </row>
    <row r="262" spans="1:21" ht="18" customHeight="1" x14ac:dyDescent="0.3">
      <c r="A262" s="124">
        <f>A261+1</f>
        <v>46534</v>
      </c>
      <c r="B262" s="137"/>
      <c r="C262" s="126" t="str" cm="1">
        <f t="array" ref="C262">IF(B262="","",B262-IFERROR(LOOKUP(2,1/($B$6:B261&lt;&gt;""),$B$6:B261),Settings!$B$5))</f>
        <v/>
      </c>
      <c r="D262" s="127" t="str">
        <f>IF(B262="","",AVERAGE(B256:B262))</f>
        <v/>
      </c>
      <c r="E262" s="139"/>
      <c r="F262" s="140"/>
      <c r="G262" s="137"/>
      <c r="H262" s="139"/>
      <c r="I262" s="140"/>
      <c r="J262" s="141"/>
      <c r="K262" s="137"/>
      <c r="L262" s="142"/>
      <c r="M262" s="127" t="str">
        <f>IF(B262="","",B262/((Settings!$B$7)/100)^2)</f>
        <v/>
      </c>
      <c r="N262" s="25">
        <f>Settings!$B$6</f>
        <v>100</v>
      </c>
      <c r="O262" s="3" t="e">
        <f t="shared" si="18"/>
        <v>#N/A</v>
      </c>
      <c r="P262" s="3" t="e">
        <f t="shared" si="19"/>
        <v>#N/A</v>
      </c>
      <c r="Q262" s="3" t="e">
        <f t="shared" si="20"/>
        <v>#N/A</v>
      </c>
      <c r="R262" s="131">
        <f t="shared" si="21"/>
        <v>46534</v>
      </c>
      <c r="S262" s="3" t="e">
        <f t="shared" si="22"/>
        <v>#N/A</v>
      </c>
      <c r="T262" s="3" t="e">
        <f t="shared" si="23"/>
        <v>#N/A</v>
      </c>
      <c r="U262" s="3">
        <f>Settings!$B$6</f>
        <v>100</v>
      </c>
    </row>
    <row r="263" spans="1:21" ht="18" customHeight="1" x14ac:dyDescent="0.3">
      <c r="A263" s="132">
        <f>A262+1</f>
        <v>46535</v>
      </c>
      <c r="B263" s="138"/>
      <c r="C263" s="126" t="str" cm="1">
        <f t="array" ref="C263">IF(B263="","",B263-IFERROR(LOOKUP(2,1/($B$6:B262&lt;&gt;""),$B$6:B262),Settings!$B$5))</f>
        <v/>
      </c>
      <c r="D263" s="127" t="str">
        <f>IF(B263="","",AVERAGE(B257:B263))</f>
        <v/>
      </c>
      <c r="E263" s="143"/>
      <c r="F263" s="144"/>
      <c r="G263" s="138"/>
      <c r="H263" s="143"/>
      <c r="I263" s="144"/>
      <c r="J263" s="145"/>
      <c r="K263" s="138"/>
      <c r="L263" s="146"/>
      <c r="M263" s="127" t="str">
        <f>IF(B263="","",B263/((Settings!$B$7)/100)^2)</f>
        <v/>
      </c>
      <c r="N263" s="25">
        <f>Settings!$B$6</f>
        <v>100</v>
      </c>
      <c r="O263" s="3" t="e">
        <f t="shared" ref="O263:O326" si="24">IF($B263="",NA(),$B263)</f>
        <v>#N/A</v>
      </c>
      <c r="P263" s="3" t="e">
        <f t="shared" ref="P263:P326" si="25">IF($D263="",NA(),$D263)</f>
        <v>#N/A</v>
      </c>
      <c r="Q263" s="3" t="e">
        <f t="shared" ref="Q263:Q326" si="26">IF($M263="",NA(),$M263)</f>
        <v>#N/A</v>
      </c>
      <c r="R263" s="131">
        <f t="shared" ref="R263:R326" si="27">A263</f>
        <v>46535</v>
      </c>
      <c r="S263" s="3" t="e">
        <f t="shared" ref="S263:S326" si="28">IF($B263="",NA(),$B263)</f>
        <v>#N/A</v>
      </c>
      <c r="T263" s="3" t="e">
        <f t="shared" ref="T263:T326" si="29">IF($D263="",NA(),$D263)</f>
        <v>#N/A</v>
      </c>
      <c r="U263" s="3">
        <f>Settings!$B$6</f>
        <v>100</v>
      </c>
    </row>
    <row r="264" spans="1:21" ht="18" customHeight="1" x14ac:dyDescent="0.3">
      <c r="A264" s="124">
        <f>A263+1</f>
        <v>46536</v>
      </c>
      <c r="B264" s="137"/>
      <c r="C264" s="126" t="str" cm="1">
        <f t="array" ref="C264">IF(B264="","",B264-IFERROR(LOOKUP(2,1/($B$6:B263&lt;&gt;""),$B$6:B263),Settings!$B$5))</f>
        <v/>
      </c>
      <c r="D264" s="127" t="str">
        <f>IF(B264="","",AVERAGE(B258:B264))</f>
        <v/>
      </c>
      <c r="E264" s="139"/>
      <c r="F264" s="140"/>
      <c r="G264" s="137"/>
      <c r="H264" s="139"/>
      <c r="I264" s="140"/>
      <c r="J264" s="141"/>
      <c r="K264" s="137"/>
      <c r="L264" s="142"/>
      <c r="M264" s="127" t="str">
        <f>IF(B264="","",B264/((Settings!$B$7)/100)^2)</f>
        <v/>
      </c>
      <c r="N264" s="25">
        <f>Settings!$B$6</f>
        <v>100</v>
      </c>
      <c r="O264" s="3" t="e">
        <f t="shared" si="24"/>
        <v>#N/A</v>
      </c>
      <c r="P264" s="3" t="e">
        <f t="shared" si="25"/>
        <v>#N/A</v>
      </c>
      <c r="Q264" s="3" t="e">
        <f t="shared" si="26"/>
        <v>#N/A</v>
      </c>
      <c r="R264" s="131">
        <f t="shared" si="27"/>
        <v>46536</v>
      </c>
      <c r="S264" s="3" t="e">
        <f t="shared" si="28"/>
        <v>#N/A</v>
      </c>
      <c r="T264" s="3" t="e">
        <f t="shared" si="29"/>
        <v>#N/A</v>
      </c>
      <c r="U264" s="3">
        <f>Settings!$B$6</f>
        <v>100</v>
      </c>
    </row>
    <row r="265" spans="1:21" ht="18" customHeight="1" x14ac:dyDescent="0.3">
      <c r="A265" s="132">
        <f>A264+1</f>
        <v>46537</v>
      </c>
      <c r="B265" s="138"/>
      <c r="C265" s="126" t="str" cm="1">
        <f t="array" ref="C265">IF(B265="","",B265-IFERROR(LOOKUP(2,1/($B$6:B264&lt;&gt;""),$B$6:B264),Settings!$B$5))</f>
        <v/>
      </c>
      <c r="D265" s="127" t="str">
        <f>IF(B265="","",AVERAGE(B259:B265))</f>
        <v/>
      </c>
      <c r="E265" s="143"/>
      <c r="F265" s="144"/>
      <c r="G265" s="138"/>
      <c r="H265" s="143"/>
      <c r="I265" s="144"/>
      <c r="J265" s="145"/>
      <c r="K265" s="138"/>
      <c r="L265" s="146"/>
      <c r="M265" s="127" t="str">
        <f>IF(B265="","",B265/((Settings!$B$7)/100)^2)</f>
        <v/>
      </c>
      <c r="N265" s="25">
        <f>Settings!$B$6</f>
        <v>100</v>
      </c>
      <c r="O265" s="3" t="e">
        <f t="shared" si="24"/>
        <v>#N/A</v>
      </c>
      <c r="P265" s="3" t="e">
        <f t="shared" si="25"/>
        <v>#N/A</v>
      </c>
      <c r="Q265" s="3" t="e">
        <f t="shared" si="26"/>
        <v>#N/A</v>
      </c>
      <c r="R265" s="131">
        <f t="shared" si="27"/>
        <v>46537</v>
      </c>
      <c r="S265" s="3" t="e">
        <f t="shared" si="28"/>
        <v>#N/A</v>
      </c>
      <c r="T265" s="3" t="e">
        <f t="shared" si="29"/>
        <v>#N/A</v>
      </c>
      <c r="U265" s="3">
        <f>Settings!$B$6</f>
        <v>100</v>
      </c>
    </row>
    <row r="266" spans="1:21" ht="18" customHeight="1" x14ac:dyDescent="0.3">
      <c r="A266" s="124">
        <f>A265+1</f>
        <v>46538</v>
      </c>
      <c r="B266" s="137"/>
      <c r="C266" s="126" t="str" cm="1">
        <f t="array" ref="C266">IF(B266="","",B266-IFERROR(LOOKUP(2,1/($B$6:B265&lt;&gt;""),$B$6:B265),Settings!$B$5))</f>
        <v/>
      </c>
      <c r="D266" s="127" t="str">
        <f>IF(B266="","",AVERAGE(B260:B266))</f>
        <v/>
      </c>
      <c r="E266" s="139"/>
      <c r="F266" s="140"/>
      <c r="G266" s="137"/>
      <c r="H266" s="139"/>
      <c r="I266" s="140"/>
      <c r="J266" s="141"/>
      <c r="K266" s="137"/>
      <c r="L266" s="142"/>
      <c r="M266" s="127" t="str">
        <f>IF(B266="","",B266/((Settings!$B$7)/100)^2)</f>
        <v/>
      </c>
      <c r="N266" s="25">
        <f>Settings!$B$6</f>
        <v>100</v>
      </c>
      <c r="O266" s="3" t="e">
        <f t="shared" si="24"/>
        <v>#N/A</v>
      </c>
      <c r="P266" s="3" t="e">
        <f t="shared" si="25"/>
        <v>#N/A</v>
      </c>
      <c r="Q266" s="3" t="e">
        <f t="shared" si="26"/>
        <v>#N/A</v>
      </c>
      <c r="R266" s="131">
        <f t="shared" si="27"/>
        <v>46538</v>
      </c>
      <c r="S266" s="3" t="e">
        <f t="shared" si="28"/>
        <v>#N/A</v>
      </c>
      <c r="T266" s="3" t="e">
        <f t="shared" si="29"/>
        <v>#N/A</v>
      </c>
      <c r="U266" s="3">
        <f>Settings!$B$6</f>
        <v>100</v>
      </c>
    </row>
    <row r="267" spans="1:21" ht="18" customHeight="1" x14ac:dyDescent="0.3">
      <c r="A267" s="132">
        <f>A266+1</f>
        <v>46539</v>
      </c>
      <c r="B267" s="138"/>
      <c r="C267" s="126" t="str" cm="1">
        <f t="array" ref="C267">IF(B267="","",B267-IFERROR(LOOKUP(2,1/($B$6:B266&lt;&gt;""),$B$6:B266),Settings!$B$5))</f>
        <v/>
      </c>
      <c r="D267" s="127" t="str">
        <f>IF(B267="","",AVERAGE(B261:B267))</f>
        <v/>
      </c>
      <c r="E267" s="143"/>
      <c r="F267" s="144"/>
      <c r="G267" s="138"/>
      <c r="H267" s="143"/>
      <c r="I267" s="144"/>
      <c r="J267" s="145"/>
      <c r="K267" s="138"/>
      <c r="L267" s="146"/>
      <c r="M267" s="127" t="str">
        <f>IF(B267="","",B267/((Settings!$B$7)/100)^2)</f>
        <v/>
      </c>
      <c r="N267" s="25">
        <f>Settings!$B$6</f>
        <v>100</v>
      </c>
      <c r="O267" s="3" t="e">
        <f t="shared" si="24"/>
        <v>#N/A</v>
      </c>
      <c r="P267" s="3" t="e">
        <f t="shared" si="25"/>
        <v>#N/A</v>
      </c>
      <c r="Q267" s="3" t="e">
        <f t="shared" si="26"/>
        <v>#N/A</v>
      </c>
      <c r="R267" s="131">
        <f t="shared" si="27"/>
        <v>46539</v>
      </c>
      <c r="S267" s="3" t="e">
        <f t="shared" si="28"/>
        <v>#N/A</v>
      </c>
      <c r="T267" s="3" t="e">
        <f t="shared" si="29"/>
        <v>#N/A</v>
      </c>
      <c r="U267" s="3">
        <f>Settings!$B$6</f>
        <v>100</v>
      </c>
    </row>
    <row r="268" spans="1:21" ht="18" customHeight="1" x14ac:dyDescent="0.3">
      <c r="A268" s="124">
        <f>A267+1</f>
        <v>46540</v>
      </c>
      <c r="B268" s="137"/>
      <c r="C268" s="126" t="str" cm="1">
        <f t="array" ref="C268">IF(B268="","",B268-IFERROR(LOOKUP(2,1/($B$6:B267&lt;&gt;""),$B$6:B267),Settings!$B$5))</f>
        <v/>
      </c>
      <c r="D268" s="127" t="str">
        <f>IF(B268="","",AVERAGE(B262:B268))</f>
        <v/>
      </c>
      <c r="E268" s="139"/>
      <c r="F268" s="140"/>
      <c r="G268" s="137"/>
      <c r="H268" s="139"/>
      <c r="I268" s="140"/>
      <c r="J268" s="141"/>
      <c r="K268" s="137"/>
      <c r="L268" s="142"/>
      <c r="M268" s="127" t="str">
        <f>IF(B268="","",B268/((Settings!$B$7)/100)^2)</f>
        <v/>
      </c>
      <c r="N268" s="25">
        <f>Settings!$B$6</f>
        <v>100</v>
      </c>
      <c r="O268" s="3" t="e">
        <f t="shared" si="24"/>
        <v>#N/A</v>
      </c>
      <c r="P268" s="3" t="e">
        <f t="shared" si="25"/>
        <v>#N/A</v>
      </c>
      <c r="Q268" s="3" t="e">
        <f t="shared" si="26"/>
        <v>#N/A</v>
      </c>
      <c r="R268" s="131">
        <f t="shared" si="27"/>
        <v>46540</v>
      </c>
      <c r="S268" s="3" t="e">
        <f t="shared" si="28"/>
        <v>#N/A</v>
      </c>
      <c r="T268" s="3" t="e">
        <f t="shared" si="29"/>
        <v>#N/A</v>
      </c>
      <c r="U268" s="3">
        <f>Settings!$B$6</f>
        <v>100</v>
      </c>
    </row>
    <row r="269" spans="1:21" ht="18" customHeight="1" x14ac:dyDescent="0.3">
      <c r="A269" s="132">
        <f>A268+1</f>
        <v>46541</v>
      </c>
      <c r="B269" s="138"/>
      <c r="C269" s="126" t="str" cm="1">
        <f t="array" ref="C269">IF(B269="","",B269-IFERROR(LOOKUP(2,1/($B$6:B268&lt;&gt;""),$B$6:B268),Settings!$B$5))</f>
        <v/>
      </c>
      <c r="D269" s="127" t="str">
        <f>IF(B269="","",AVERAGE(B263:B269))</f>
        <v/>
      </c>
      <c r="E269" s="143"/>
      <c r="F269" s="144"/>
      <c r="G269" s="138"/>
      <c r="H269" s="143"/>
      <c r="I269" s="144"/>
      <c r="J269" s="145"/>
      <c r="K269" s="138"/>
      <c r="L269" s="146"/>
      <c r="M269" s="127" t="str">
        <f>IF(B269="","",B269/((Settings!$B$7)/100)^2)</f>
        <v/>
      </c>
      <c r="N269" s="25">
        <f>Settings!$B$6</f>
        <v>100</v>
      </c>
      <c r="O269" s="3" t="e">
        <f t="shared" si="24"/>
        <v>#N/A</v>
      </c>
      <c r="P269" s="3" t="e">
        <f t="shared" si="25"/>
        <v>#N/A</v>
      </c>
      <c r="Q269" s="3" t="e">
        <f t="shared" si="26"/>
        <v>#N/A</v>
      </c>
      <c r="R269" s="131">
        <f t="shared" si="27"/>
        <v>46541</v>
      </c>
      <c r="S269" s="3" t="e">
        <f t="shared" si="28"/>
        <v>#N/A</v>
      </c>
      <c r="T269" s="3" t="e">
        <f t="shared" si="29"/>
        <v>#N/A</v>
      </c>
      <c r="U269" s="3">
        <f>Settings!$B$6</f>
        <v>100</v>
      </c>
    </row>
    <row r="270" spans="1:21" ht="18" customHeight="1" x14ac:dyDescent="0.3">
      <c r="A270" s="124">
        <f>A269+1</f>
        <v>46542</v>
      </c>
      <c r="B270" s="137"/>
      <c r="C270" s="126" t="str" cm="1">
        <f t="array" ref="C270">IF(B270="","",B270-IFERROR(LOOKUP(2,1/($B$6:B269&lt;&gt;""),$B$6:B269),Settings!$B$5))</f>
        <v/>
      </c>
      <c r="D270" s="127" t="str">
        <f>IF(B270="","",AVERAGE(B264:B270))</f>
        <v/>
      </c>
      <c r="E270" s="139"/>
      <c r="F270" s="140"/>
      <c r="G270" s="137"/>
      <c r="H270" s="139"/>
      <c r="I270" s="140"/>
      <c r="J270" s="141"/>
      <c r="K270" s="137"/>
      <c r="L270" s="142"/>
      <c r="M270" s="127" t="str">
        <f>IF(B270="","",B270/((Settings!$B$7)/100)^2)</f>
        <v/>
      </c>
      <c r="N270" s="25">
        <f>Settings!$B$6</f>
        <v>100</v>
      </c>
      <c r="O270" s="3" t="e">
        <f t="shared" si="24"/>
        <v>#N/A</v>
      </c>
      <c r="P270" s="3" t="e">
        <f t="shared" si="25"/>
        <v>#N/A</v>
      </c>
      <c r="Q270" s="3" t="e">
        <f t="shared" si="26"/>
        <v>#N/A</v>
      </c>
      <c r="R270" s="131">
        <f t="shared" si="27"/>
        <v>46542</v>
      </c>
      <c r="S270" s="3" t="e">
        <f t="shared" si="28"/>
        <v>#N/A</v>
      </c>
      <c r="T270" s="3" t="e">
        <f t="shared" si="29"/>
        <v>#N/A</v>
      </c>
      <c r="U270" s="3">
        <f>Settings!$B$6</f>
        <v>100</v>
      </c>
    </row>
    <row r="271" spans="1:21" ht="18" customHeight="1" x14ac:dyDescent="0.3">
      <c r="A271" s="132">
        <f>A270+1</f>
        <v>46543</v>
      </c>
      <c r="B271" s="138"/>
      <c r="C271" s="126" t="str" cm="1">
        <f t="array" ref="C271">IF(B271="","",B271-IFERROR(LOOKUP(2,1/($B$6:B270&lt;&gt;""),$B$6:B270),Settings!$B$5))</f>
        <v/>
      </c>
      <c r="D271" s="127" t="str">
        <f>IF(B271="","",AVERAGE(B265:B271))</f>
        <v/>
      </c>
      <c r="E271" s="143"/>
      <c r="F271" s="144"/>
      <c r="G271" s="138"/>
      <c r="H271" s="143"/>
      <c r="I271" s="144"/>
      <c r="J271" s="145"/>
      <c r="K271" s="138"/>
      <c r="L271" s="146"/>
      <c r="M271" s="127" t="str">
        <f>IF(B271="","",B271/((Settings!$B$7)/100)^2)</f>
        <v/>
      </c>
      <c r="N271" s="25">
        <f>Settings!$B$6</f>
        <v>100</v>
      </c>
      <c r="O271" s="3" t="e">
        <f t="shared" si="24"/>
        <v>#N/A</v>
      </c>
      <c r="P271" s="3" t="e">
        <f t="shared" si="25"/>
        <v>#N/A</v>
      </c>
      <c r="Q271" s="3" t="e">
        <f t="shared" si="26"/>
        <v>#N/A</v>
      </c>
      <c r="R271" s="131">
        <f t="shared" si="27"/>
        <v>46543</v>
      </c>
      <c r="S271" s="3" t="e">
        <f t="shared" si="28"/>
        <v>#N/A</v>
      </c>
      <c r="T271" s="3" t="e">
        <f t="shared" si="29"/>
        <v>#N/A</v>
      </c>
      <c r="U271" s="3">
        <f>Settings!$B$6</f>
        <v>100</v>
      </c>
    </row>
    <row r="272" spans="1:21" ht="18" customHeight="1" x14ac:dyDescent="0.3">
      <c r="A272" s="124">
        <f>A271+1</f>
        <v>46544</v>
      </c>
      <c r="B272" s="137"/>
      <c r="C272" s="126" t="str" cm="1">
        <f t="array" ref="C272">IF(B272="","",B272-IFERROR(LOOKUP(2,1/($B$6:B271&lt;&gt;""),$B$6:B271),Settings!$B$5))</f>
        <v/>
      </c>
      <c r="D272" s="127" t="str">
        <f>IF(B272="","",AVERAGE(B266:B272))</f>
        <v/>
      </c>
      <c r="E272" s="139"/>
      <c r="F272" s="140"/>
      <c r="G272" s="137"/>
      <c r="H272" s="139"/>
      <c r="I272" s="140"/>
      <c r="J272" s="141"/>
      <c r="K272" s="137"/>
      <c r="L272" s="142"/>
      <c r="M272" s="127" t="str">
        <f>IF(B272="","",B272/((Settings!$B$7)/100)^2)</f>
        <v/>
      </c>
      <c r="N272" s="25">
        <f>Settings!$B$6</f>
        <v>100</v>
      </c>
      <c r="O272" s="3" t="e">
        <f t="shared" si="24"/>
        <v>#N/A</v>
      </c>
      <c r="P272" s="3" t="e">
        <f t="shared" si="25"/>
        <v>#N/A</v>
      </c>
      <c r="Q272" s="3" t="e">
        <f t="shared" si="26"/>
        <v>#N/A</v>
      </c>
      <c r="R272" s="131">
        <f t="shared" si="27"/>
        <v>46544</v>
      </c>
      <c r="S272" s="3" t="e">
        <f t="shared" si="28"/>
        <v>#N/A</v>
      </c>
      <c r="T272" s="3" t="e">
        <f t="shared" si="29"/>
        <v>#N/A</v>
      </c>
      <c r="U272" s="3">
        <f>Settings!$B$6</f>
        <v>100</v>
      </c>
    </row>
    <row r="273" spans="1:21" ht="18" customHeight="1" x14ac:dyDescent="0.3">
      <c r="A273" s="132">
        <f>A272+1</f>
        <v>46545</v>
      </c>
      <c r="B273" s="138"/>
      <c r="C273" s="126" t="str" cm="1">
        <f t="array" ref="C273">IF(B273="","",B273-IFERROR(LOOKUP(2,1/($B$6:B272&lt;&gt;""),$B$6:B272),Settings!$B$5))</f>
        <v/>
      </c>
      <c r="D273" s="127" t="str">
        <f>IF(B273="","",AVERAGE(B267:B273))</f>
        <v/>
      </c>
      <c r="E273" s="143"/>
      <c r="F273" s="144"/>
      <c r="G273" s="138"/>
      <c r="H273" s="143"/>
      <c r="I273" s="144"/>
      <c r="J273" s="145"/>
      <c r="K273" s="138"/>
      <c r="L273" s="146"/>
      <c r="M273" s="127" t="str">
        <f>IF(B273="","",B273/((Settings!$B$7)/100)^2)</f>
        <v/>
      </c>
      <c r="N273" s="25">
        <f>Settings!$B$6</f>
        <v>100</v>
      </c>
      <c r="O273" s="3" t="e">
        <f t="shared" si="24"/>
        <v>#N/A</v>
      </c>
      <c r="P273" s="3" t="e">
        <f t="shared" si="25"/>
        <v>#N/A</v>
      </c>
      <c r="Q273" s="3" t="e">
        <f t="shared" si="26"/>
        <v>#N/A</v>
      </c>
      <c r="R273" s="131">
        <f t="shared" si="27"/>
        <v>46545</v>
      </c>
      <c r="S273" s="3" t="e">
        <f t="shared" si="28"/>
        <v>#N/A</v>
      </c>
      <c r="T273" s="3" t="e">
        <f t="shared" si="29"/>
        <v>#N/A</v>
      </c>
      <c r="U273" s="3">
        <f>Settings!$B$6</f>
        <v>100</v>
      </c>
    </row>
    <row r="274" spans="1:21" ht="18" customHeight="1" x14ac:dyDescent="0.3">
      <c r="A274" s="124">
        <f>A273+1</f>
        <v>46546</v>
      </c>
      <c r="B274" s="137"/>
      <c r="C274" s="126" t="str" cm="1">
        <f t="array" ref="C274">IF(B274="","",B274-IFERROR(LOOKUP(2,1/($B$6:B273&lt;&gt;""),$B$6:B273),Settings!$B$5))</f>
        <v/>
      </c>
      <c r="D274" s="127" t="str">
        <f>IF(B274="","",AVERAGE(B268:B274))</f>
        <v/>
      </c>
      <c r="E274" s="139"/>
      <c r="F274" s="140"/>
      <c r="G274" s="137"/>
      <c r="H274" s="139"/>
      <c r="I274" s="140"/>
      <c r="J274" s="141"/>
      <c r="K274" s="137"/>
      <c r="L274" s="142"/>
      <c r="M274" s="127" t="str">
        <f>IF(B274="","",B274/((Settings!$B$7)/100)^2)</f>
        <v/>
      </c>
      <c r="N274" s="25">
        <f>Settings!$B$6</f>
        <v>100</v>
      </c>
      <c r="O274" s="3" t="e">
        <f t="shared" si="24"/>
        <v>#N/A</v>
      </c>
      <c r="P274" s="3" t="e">
        <f t="shared" si="25"/>
        <v>#N/A</v>
      </c>
      <c r="Q274" s="3" t="e">
        <f t="shared" si="26"/>
        <v>#N/A</v>
      </c>
      <c r="R274" s="131">
        <f t="shared" si="27"/>
        <v>46546</v>
      </c>
      <c r="S274" s="3" t="e">
        <f t="shared" si="28"/>
        <v>#N/A</v>
      </c>
      <c r="T274" s="3" t="e">
        <f t="shared" si="29"/>
        <v>#N/A</v>
      </c>
      <c r="U274" s="3">
        <f>Settings!$B$6</f>
        <v>100</v>
      </c>
    </row>
    <row r="275" spans="1:21" ht="18" customHeight="1" x14ac:dyDescent="0.3">
      <c r="A275" s="132">
        <f>A274+1</f>
        <v>46547</v>
      </c>
      <c r="B275" s="138"/>
      <c r="C275" s="126" t="str" cm="1">
        <f t="array" ref="C275">IF(B275="","",B275-IFERROR(LOOKUP(2,1/($B$6:B274&lt;&gt;""),$B$6:B274),Settings!$B$5))</f>
        <v/>
      </c>
      <c r="D275" s="127" t="str">
        <f>IF(B275="","",AVERAGE(B269:B275))</f>
        <v/>
      </c>
      <c r="E275" s="143"/>
      <c r="F275" s="144"/>
      <c r="G275" s="138"/>
      <c r="H275" s="143"/>
      <c r="I275" s="144"/>
      <c r="J275" s="145"/>
      <c r="K275" s="138"/>
      <c r="L275" s="146"/>
      <c r="M275" s="127" t="str">
        <f>IF(B275="","",B275/((Settings!$B$7)/100)^2)</f>
        <v/>
      </c>
      <c r="N275" s="25">
        <f>Settings!$B$6</f>
        <v>100</v>
      </c>
      <c r="O275" s="3" t="e">
        <f t="shared" si="24"/>
        <v>#N/A</v>
      </c>
      <c r="P275" s="3" t="e">
        <f t="shared" si="25"/>
        <v>#N/A</v>
      </c>
      <c r="Q275" s="3" t="e">
        <f t="shared" si="26"/>
        <v>#N/A</v>
      </c>
      <c r="R275" s="131">
        <f t="shared" si="27"/>
        <v>46547</v>
      </c>
      <c r="S275" s="3" t="e">
        <f t="shared" si="28"/>
        <v>#N/A</v>
      </c>
      <c r="T275" s="3" t="e">
        <f t="shared" si="29"/>
        <v>#N/A</v>
      </c>
      <c r="U275" s="3">
        <f>Settings!$B$6</f>
        <v>100</v>
      </c>
    </row>
    <row r="276" spans="1:21" ht="18" customHeight="1" x14ac:dyDescent="0.3">
      <c r="A276" s="124">
        <f>A275+1</f>
        <v>46548</v>
      </c>
      <c r="B276" s="137"/>
      <c r="C276" s="126" t="str" cm="1">
        <f t="array" ref="C276">IF(B276="","",B276-IFERROR(LOOKUP(2,1/($B$6:B275&lt;&gt;""),$B$6:B275),Settings!$B$5))</f>
        <v/>
      </c>
      <c r="D276" s="127" t="str">
        <f>IF(B276="","",AVERAGE(B270:B276))</f>
        <v/>
      </c>
      <c r="E276" s="139"/>
      <c r="F276" s="140"/>
      <c r="G276" s="137"/>
      <c r="H276" s="139"/>
      <c r="I276" s="140"/>
      <c r="J276" s="141"/>
      <c r="K276" s="137"/>
      <c r="L276" s="142"/>
      <c r="M276" s="127" t="str">
        <f>IF(B276="","",B276/((Settings!$B$7)/100)^2)</f>
        <v/>
      </c>
      <c r="N276" s="25">
        <f>Settings!$B$6</f>
        <v>100</v>
      </c>
      <c r="O276" s="3" t="e">
        <f t="shared" si="24"/>
        <v>#N/A</v>
      </c>
      <c r="P276" s="3" t="e">
        <f t="shared" si="25"/>
        <v>#N/A</v>
      </c>
      <c r="Q276" s="3" t="e">
        <f t="shared" si="26"/>
        <v>#N/A</v>
      </c>
      <c r="R276" s="131">
        <f t="shared" si="27"/>
        <v>46548</v>
      </c>
      <c r="S276" s="3" t="e">
        <f t="shared" si="28"/>
        <v>#N/A</v>
      </c>
      <c r="T276" s="3" t="e">
        <f t="shared" si="29"/>
        <v>#N/A</v>
      </c>
      <c r="U276" s="3">
        <f>Settings!$B$6</f>
        <v>100</v>
      </c>
    </row>
    <row r="277" spans="1:21" ht="18" customHeight="1" x14ac:dyDescent="0.3">
      <c r="A277" s="132">
        <f>A276+1</f>
        <v>46549</v>
      </c>
      <c r="B277" s="138"/>
      <c r="C277" s="126" t="str" cm="1">
        <f t="array" ref="C277">IF(B277="","",B277-IFERROR(LOOKUP(2,1/($B$6:B276&lt;&gt;""),$B$6:B276),Settings!$B$5))</f>
        <v/>
      </c>
      <c r="D277" s="127" t="str">
        <f>IF(B277="","",AVERAGE(B271:B277))</f>
        <v/>
      </c>
      <c r="E277" s="143"/>
      <c r="F277" s="144"/>
      <c r="G277" s="138"/>
      <c r="H277" s="143"/>
      <c r="I277" s="144"/>
      <c r="J277" s="145"/>
      <c r="K277" s="138"/>
      <c r="L277" s="146"/>
      <c r="M277" s="127" t="str">
        <f>IF(B277="","",B277/((Settings!$B$7)/100)^2)</f>
        <v/>
      </c>
      <c r="N277" s="25">
        <f>Settings!$B$6</f>
        <v>100</v>
      </c>
      <c r="O277" s="3" t="e">
        <f t="shared" si="24"/>
        <v>#N/A</v>
      </c>
      <c r="P277" s="3" t="e">
        <f t="shared" si="25"/>
        <v>#N/A</v>
      </c>
      <c r="Q277" s="3" t="e">
        <f t="shared" si="26"/>
        <v>#N/A</v>
      </c>
      <c r="R277" s="131">
        <f t="shared" si="27"/>
        <v>46549</v>
      </c>
      <c r="S277" s="3" t="e">
        <f t="shared" si="28"/>
        <v>#N/A</v>
      </c>
      <c r="T277" s="3" t="e">
        <f t="shared" si="29"/>
        <v>#N/A</v>
      </c>
      <c r="U277" s="3">
        <f>Settings!$B$6</f>
        <v>100</v>
      </c>
    </row>
    <row r="278" spans="1:21" ht="18" customHeight="1" x14ac:dyDescent="0.3">
      <c r="A278" s="124">
        <f>A277+1</f>
        <v>46550</v>
      </c>
      <c r="B278" s="137"/>
      <c r="C278" s="126" t="str" cm="1">
        <f t="array" ref="C278">IF(B278="","",B278-IFERROR(LOOKUP(2,1/($B$6:B277&lt;&gt;""),$B$6:B277),Settings!$B$5))</f>
        <v/>
      </c>
      <c r="D278" s="127" t="str">
        <f>IF(B278="","",AVERAGE(B272:B278))</f>
        <v/>
      </c>
      <c r="E278" s="139"/>
      <c r="F278" s="140"/>
      <c r="G278" s="137"/>
      <c r="H278" s="139"/>
      <c r="I278" s="140"/>
      <c r="J278" s="141"/>
      <c r="K278" s="137"/>
      <c r="L278" s="142"/>
      <c r="M278" s="127" t="str">
        <f>IF(B278="","",B278/((Settings!$B$7)/100)^2)</f>
        <v/>
      </c>
      <c r="N278" s="25">
        <f>Settings!$B$6</f>
        <v>100</v>
      </c>
      <c r="O278" s="3" t="e">
        <f t="shared" si="24"/>
        <v>#N/A</v>
      </c>
      <c r="P278" s="3" t="e">
        <f t="shared" si="25"/>
        <v>#N/A</v>
      </c>
      <c r="Q278" s="3" t="e">
        <f t="shared" si="26"/>
        <v>#N/A</v>
      </c>
      <c r="R278" s="131">
        <f t="shared" si="27"/>
        <v>46550</v>
      </c>
      <c r="S278" s="3" t="e">
        <f t="shared" si="28"/>
        <v>#N/A</v>
      </c>
      <c r="T278" s="3" t="e">
        <f t="shared" si="29"/>
        <v>#N/A</v>
      </c>
      <c r="U278" s="3">
        <f>Settings!$B$6</f>
        <v>100</v>
      </c>
    </row>
    <row r="279" spans="1:21" ht="18" customHeight="1" x14ac:dyDescent="0.3">
      <c r="A279" s="132">
        <f>A278+1</f>
        <v>46551</v>
      </c>
      <c r="B279" s="138"/>
      <c r="C279" s="126" t="str" cm="1">
        <f t="array" ref="C279">IF(B279="","",B279-IFERROR(LOOKUP(2,1/($B$6:B278&lt;&gt;""),$B$6:B278),Settings!$B$5))</f>
        <v/>
      </c>
      <c r="D279" s="127" t="str">
        <f>IF(B279="","",AVERAGE(B273:B279))</f>
        <v/>
      </c>
      <c r="E279" s="143"/>
      <c r="F279" s="144"/>
      <c r="G279" s="138"/>
      <c r="H279" s="143"/>
      <c r="I279" s="144"/>
      <c r="J279" s="145"/>
      <c r="K279" s="138"/>
      <c r="L279" s="146"/>
      <c r="M279" s="127" t="str">
        <f>IF(B279="","",B279/((Settings!$B$7)/100)^2)</f>
        <v/>
      </c>
      <c r="N279" s="25">
        <f>Settings!$B$6</f>
        <v>100</v>
      </c>
      <c r="O279" s="3" t="e">
        <f t="shared" si="24"/>
        <v>#N/A</v>
      </c>
      <c r="P279" s="3" t="e">
        <f t="shared" si="25"/>
        <v>#N/A</v>
      </c>
      <c r="Q279" s="3" t="e">
        <f t="shared" si="26"/>
        <v>#N/A</v>
      </c>
      <c r="R279" s="131">
        <f t="shared" si="27"/>
        <v>46551</v>
      </c>
      <c r="S279" s="3" t="e">
        <f t="shared" si="28"/>
        <v>#N/A</v>
      </c>
      <c r="T279" s="3" t="e">
        <f t="shared" si="29"/>
        <v>#N/A</v>
      </c>
      <c r="U279" s="3">
        <f>Settings!$B$6</f>
        <v>100</v>
      </c>
    </row>
    <row r="280" spans="1:21" ht="18" customHeight="1" x14ac:dyDescent="0.3">
      <c r="A280" s="124">
        <f>A279+1</f>
        <v>46552</v>
      </c>
      <c r="B280" s="137"/>
      <c r="C280" s="126" t="str" cm="1">
        <f t="array" ref="C280">IF(B280="","",B280-IFERROR(LOOKUP(2,1/($B$6:B279&lt;&gt;""),$B$6:B279),Settings!$B$5))</f>
        <v/>
      </c>
      <c r="D280" s="127" t="str">
        <f>IF(B280="","",AVERAGE(B274:B280))</f>
        <v/>
      </c>
      <c r="E280" s="139"/>
      <c r="F280" s="140"/>
      <c r="G280" s="137"/>
      <c r="H280" s="139"/>
      <c r="I280" s="140"/>
      <c r="J280" s="141"/>
      <c r="K280" s="137"/>
      <c r="L280" s="142"/>
      <c r="M280" s="127" t="str">
        <f>IF(B280="","",B280/((Settings!$B$7)/100)^2)</f>
        <v/>
      </c>
      <c r="N280" s="25">
        <f>Settings!$B$6</f>
        <v>100</v>
      </c>
      <c r="O280" s="3" t="e">
        <f t="shared" si="24"/>
        <v>#N/A</v>
      </c>
      <c r="P280" s="3" t="e">
        <f t="shared" si="25"/>
        <v>#N/A</v>
      </c>
      <c r="Q280" s="3" t="e">
        <f t="shared" si="26"/>
        <v>#N/A</v>
      </c>
      <c r="R280" s="131">
        <f t="shared" si="27"/>
        <v>46552</v>
      </c>
      <c r="S280" s="3" t="e">
        <f t="shared" si="28"/>
        <v>#N/A</v>
      </c>
      <c r="T280" s="3" t="e">
        <f t="shared" si="29"/>
        <v>#N/A</v>
      </c>
      <c r="U280" s="3">
        <f>Settings!$B$6</f>
        <v>100</v>
      </c>
    </row>
    <row r="281" spans="1:21" ht="18" customHeight="1" x14ac:dyDescent="0.3">
      <c r="A281" s="132">
        <f>A280+1</f>
        <v>46553</v>
      </c>
      <c r="B281" s="138"/>
      <c r="C281" s="126" t="str" cm="1">
        <f t="array" ref="C281">IF(B281="","",B281-IFERROR(LOOKUP(2,1/($B$6:B280&lt;&gt;""),$B$6:B280),Settings!$B$5))</f>
        <v/>
      </c>
      <c r="D281" s="127" t="str">
        <f>IF(B281="","",AVERAGE(B275:B281))</f>
        <v/>
      </c>
      <c r="E281" s="143"/>
      <c r="F281" s="144"/>
      <c r="G281" s="138"/>
      <c r="H281" s="143"/>
      <c r="I281" s="144"/>
      <c r="J281" s="145"/>
      <c r="K281" s="138"/>
      <c r="L281" s="146"/>
      <c r="M281" s="127" t="str">
        <f>IF(B281="","",B281/((Settings!$B$7)/100)^2)</f>
        <v/>
      </c>
      <c r="N281" s="25">
        <f>Settings!$B$6</f>
        <v>100</v>
      </c>
      <c r="O281" s="3" t="e">
        <f t="shared" si="24"/>
        <v>#N/A</v>
      </c>
      <c r="P281" s="3" t="e">
        <f t="shared" si="25"/>
        <v>#N/A</v>
      </c>
      <c r="Q281" s="3" t="e">
        <f t="shared" si="26"/>
        <v>#N/A</v>
      </c>
      <c r="R281" s="131">
        <f t="shared" si="27"/>
        <v>46553</v>
      </c>
      <c r="S281" s="3" t="e">
        <f t="shared" si="28"/>
        <v>#N/A</v>
      </c>
      <c r="T281" s="3" t="e">
        <f t="shared" si="29"/>
        <v>#N/A</v>
      </c>
      <c r="U281" s="3">
        <f>Settings!$B$6</f>
        <v>100</v>
      </c>
    </row>
    <row r="282" spans="1:21" ht="18" customHeight="1" x14ac:dyDescent="0.3">
      <c r="A282" s="124">
        <f>A281+1</f>
        <v>46554</v>
      </c>
      <c r="B282" s="137"/>
      <c r="C282" s="126" t="str" cm="1">
        <f t="array" ref="C282">IF(B282="","",B282-IFERROR(LOOKUP(2,1/($B$6:B281&lt;&gt;""),$B$6:B281),Settings!$B$5))</f>
        <v/>
      </c>
      <c r="D282" s="127" t="str">
        <f>IF(B282="","",AVERAGE(B276:B282))</f>
        <v/>
      </c>
      <c r="E282" s="139"/>
      <c r="F282" s="140"/>
      <c r="G282" s="137"/>
      <c r="H282" s="139"/>
      <c r="I282" s="140"/>
      <c r="J282" s="141"/>
      <c r="K282" s="137"/>
      <c r="L282" s="142"/>
      <c r="M282" s="127" t="str">
        <f>IF(B282="","",B282/((Settings!$B$7)/100)^2)</f>
        <v/>
      </c>
      <c r="N282" s="25">
        <f>Settings!$B$6</f>
        <v>100</v>
      </c>
      <c r="O282" s="3" t="e">
        <f t="shared" si="24"/>
        <v>#N/A</v>
      </c>
      <c r="P282" s="3" t="e">
        <f t="shared" si="25"/>
        <v>#N/A</v>
      </c>
      <c r="Q282" s="3" t="e">
        <f t="shared" si="26"/>
        <v>#N/A</v>
      </c>
      <c r="R282" s="131">
        <f t="shared" si="27"/>
        <v>46554</v>
      </c>
      <c r="S282" s="3" t="e">
        <f t="shared" si="28"/>
        <v>#N/A</v>
      </c>
      <c r="T282" s="3" t="e">
        <f t="shared" si="29"/>
        <v>#N/A</v>
      </c>
      <c r="U282" s="3">
        <f>Settings!$B$6</f>
        <v>100</v>
      </c>
    </row>
    <row r="283" spans="1:21" ht="18" customHeight="1" x14ac:dyDescent="0.3">
      <c r="A283" s="132">
        <f>A282+1</f>
        <v>46555</v>
      </c>
      <c r="B283" s="138"/>
      <c r="C283" s="126" t="str" cm="1">
        <f t="array" ref="C283">IF(B283="","",B283-IFERROR(LOOKUP(2,1/($B$6:B282&lt;&gt;""),$B$6:B282),Settings!$B$5))</f>
        <v/>
      </c>
      <c r="D283" s="127" t="str">
        <f>IF(B283="","",AVERAGE(B277:B283))</f>
        <v/>
      </c>
      <c r="E283" s="143"/>
      <c r="F283" s="144"/>
      <c r="G283" s="138"/>
      <c r="H283" s="143"/>
      <c r="I283" s="144"/>
      <c r="J283" s="145"/>
      <c r="K283" s="138"/>
      <c r="L283" s="146"/>
      <c r="M283" s="127" t="str">
        <f>IF(B283="","",B283/((Settings!$B$7)/100)^2)</f>
        <v/>
      </c>
      <c r="N283" s="25">
        <f>Settings!$B$6</f>
        <v>100</v>
      </c>
      <c r="O283" s="3" t="e">
        <f t="shared" si="24"/>
        <v>#N/A</v>
      </c>
      <c r="P283" s="3" t="e">
        <f t="shared" si="25"/>
        <v>#N/A</v>
      </c>
      <c r="Q283" s="3" t="e">
        <f t="shared" si="26"/>
        <v>#N/A</v>
      </c>
      <c r="R283" s="131">
        <f t="shared" si="27"/>
        <v>46555</v>
      </c>
      <c r="S283" s="3" t="e">
        <f t="shared" si="28"/>
        <v>#N/A</v>
      </c>
      <c r="T283" s="3" t="e">
        <f t="shared" si="29"/>
        <v>#N/A</v>
      </c>
      <c r="U283" s="3">
        <f>Settings!$B$6</f>
        <v>100</v>
      </c>
    </row>
    <row r="284" spans="1:21" ht="18" customHeight="1" x14ac:dyDescent="0.3">
      <c r="A284" s="124">
        <f>A283+1</f>
        <v>46556</v>
      </c>
      <c r="B284" s="137"/>
      <c r="C284" s="126" t="str" cm="1">
        <f t="array" ref="C284">IF(B284="","",B284-IFERROR(LOOKUP(2,1/($B$6:B283&lt;&gt;""),$B$6:B283),Settings!$B$5))</f>
        <v/>
      </c>
      <c r="D284" s="127" t="str">
        <f>IF(B284="","",AVERAGE(B278:B284))</f>
        <v/>
      </c>
      <c r="E284" s="139"/>
      <c r="F284" s="140"/>
      <c r="G284" s="137"/>
      <c r="H284" s="139"/>
      <c r="I284" s="140"/>
      <c r="J284" s="141"/>
      <c r="K284" s="137"/>
      <c r="L284" s="142"/>
      <c r="M284" s="127" t="str">
        <f>IF(B284="","",B284/((Settings!$B$7)/100)^2)</f>
        <v/>
      </c>
      <c r="N284" s="25">
        <f>Settings!$B$6</f>
        <v>100</v>
      </c>
      <c r="O284" s="3" t="e">
        <f t="shared" si="24"/>
        <v>#N/A</v>
      </c>
      <c r="P284" s="3" t="e">
        <f t="shared" si="25"/>
        <v>#N/A</v>
      </c>
      <c r="Q284" s="3" t="e">
        <f t="shared" si="26"/>
        <v>#N/A</v>
      </c>
      <c r="R284" s="131">
        <f t="shared" si="27"/>
        <v>46556</v>
      </c>
      <c r="S284" s="3" t="e">
        <f t="shared" si="28"/>
        <v>#N/A</v>
      </c>
      <c r="T284" s="3" t="e">
        <f t="shared" si="29"/>
        <v>#N/A</v>
      </c>
      <c r="U284" s="3">
        <f>Settings!$B$6</f>
        <v>100</v>
      </c>
    </row>
    <row r="285" spans="1:21" ht="18" customHeight="1" x14ac:dyDescent="0.3">
      <c r="A285" s="132">
        <f>A284+1</f>
        <v>46557</v>
      </c>
      <c r="B285" s="138"/>
      <c r="C285" s="126" t="str" cm="1">
        <f t="array" ref="C285">IF(B285="","",B285-IFERROR(LOOKUP(2,1/($B$6:B284&lt;&gt;""),$B$6:B284),Settings!$B$5))</f>
        <v/>
      </c>
      <c r="D285" s="127" t="str">
        <f>IF(B285="","",AVERAGE(B279:B285))</f>
        <v/>
      </c>
      <c r="E285" s="143"/>
      <c r="F285" s="144"/>
      <c r="G285" s="138"/>
      <c r="H285" s="143"/>
      <c r="I285" s="144"/>
      <c r="J285" s="145"/>
      <c r="K285" s="138"/>
      <c r="L285" s="146"/>
      <c r="M285" s="127" t="str">
        <f>IF(B285="","",B285/((Settings!$B$7)/100)^2)</f>
        <v/>
      </c>
      <c r="N285" s="25">
        <f>Settings!$B$6</f>
        <v>100</v>
      </c>
      <c r="O285" s="3" t="e">
        <f t="shared" si="24"/>
        <v>#N/A</v>
      </c>
      <c r="P285" s="3" t="e">
        <f t="shared" si="25"/>
        <v>#N/A</v>
      </c>
      <c r="Q285" s="3" t="e">
        <f t="shared" si="26"/>
        <v>#N/A</v>
      </c>
      <c r="R285" s="131">
        <f t="shared" si="27"/>
        <v>46557</v>
      </c>
      <c r="S285" s="3" t="e">
        <f t="shared" si="28"/>
        <v>#N/A</v>
      </c>
      <c r="T285" s="3" t="e">
        <f t="shared" si="29"/>
        <v>#N/A</v>
      </c>
      <c r="U285" s="3">
        <f>Settings!$B$6</f>
        <v>100</v>
      </c>
    </row>
    <row r="286" spans="1:21" ht="18" customHeight="1" x14ac:dyDescent="0.3">
      <c r="A286" s="124">
        <f>A285+1</f>
        <v>46558</v>
      </c>
      <c r="B286" s="137"/>
      <c r="C286" s="126" t="str" cm="1">
        <f t="array" ref="C286">IF(B286="","",B286-IFERROR(LOOKUP(2,1/($B$6:B285&lt;&gt;""),$B$6:B285),Settings!$B$5))</f>
        <v/>
      </c>
      <c r="D286" s="127" t="str">
        <f>IF(B286="","",AVERAGE(B280:B286))</f>
        <v/>
      </c>
      <c r="E286" s="139"/>
      <c r="F286" s="140"/>
      <c r="G286" s="137"/>
      <c r="H286" s="139"/>
      <c r="I286" s="140"/>
      <c r="J286" s="141"/>
      <c r="K286" s="137"/>
      <c r="L286" s="142"/>
      <c r="M286" s="127" t="str">
        <f>IF(B286="","",B286/((Settings!$B$7)/100)^2)</f>
        <v/>
      </c>
      <c r="N286" s="25">
        <f>Settings!$B$6</f>
        <v>100</v>
      </c>
      <c r="O286" s="3" t="e">
        <f t="shared" si="24"/>
        <v>#N/A</v>
      </c>
      <c r="P286" s="3" t="e">
        <f t="shared" si="25"/>
        <v>#N/A</v>
      </c>
      <c r="Q286" s="3" t="e">
        <f t="shared" si="26"/>
        <v>#N/A</v>
      </c>
      <c r="R286" s="131">
        <f t="shared" si="27"/>
        <v>46558</v>
      </c>
      <c r="S286" s="3" t="e">
        <f t="shared" si="28"/>
        <v>#N/A</v>
      </c>
      <c r="T286" s="3" t="e">
        <f t="shared" si="29"/>
        <v>#N/A</v>
      </c>
      <c r="U286" s="3">
        <f>Settings!$B$6</f>
        <v>100</v>
      </c>
    </row>
    <row r="287" spans="1:21" ht="18" customHeight="1" x14ac:dyDescent="0.3">
      <c r="A287" s="132">
        <f>A286+1</f>
        <v>46559</v>
      </c>
      <c r="B287" s="138"/>
      <c r="C287" s="126" t="str" cm="1">
        <f t="array" ref="C287">IF(B287="","",B287-IFERROR(LOOKUP(2,1/($B$6:B286&lt;&gt;""),$B$6:B286),Settings!$B$5))</f>
        <v/>
      </c>
      <c r="D287" s="127" t="str">
        <f>IF(B287="","",AVERAGE(B281:B287))</f>
        <v/>
      </c>
      <c r="E287" s="143"/>
      <c r="F287" s="144"/>
      <c r="G287" s="138"/>
      <c r="H287" s="143"/>
      <c r="I287" s="144"/>
      <c r="J287" s="145"/>
      <c r="K287" s="138"/>
      <c r="L287" s="146"/>
      <c r="M287" s="127" t="str">
        <f>IF(B287="","",B287/((Settings!$B$7)/100)^2)</f>
        <v/>
      </c>
      <c r="N287" s="25">
        <f>Settings!$B$6</f>
        <v>100</v>
      </c>
      <c r="O287" s="3" t="e">
        <f t="shared" si="24"/>
        <v>#N/A</v>
      </c>
      <c r="P287" s="3" t="e">
        <f t="shared" si="25"/>
        <v>#N/A</v>
      </c>
      <c r="Q287" s="3" t="e">
        <f t="shared" si="26"/>
        <v>#N/A</v>
      </c>
      <c r="R287" s="131">
        <f t="shared" si="27"/>
        <v>46559</v>
      </c>
      <c r="S287" s="3" t="e">
        <f t="shared" si="28"/>
        <v>#N/A</v>
      </c>
      <c r="T287" s="3" t="e">
        <f t="shared" si="29"/>
        <v>#N/A</v>
      </c>
      <c r="U287" s="3">
        <f>Settings!$B$6</f>
        <v>100</v>
      </c>
    </row>
    <row r="288" spans="1:21" ht="18" customHeight="1" x14ac:dyDescent="0.3">
      <c r="A288" s="124">
        <f>A287+1</f>
        <v>46560</v>
      </c>
      <c r="B288" s="137"/>
      <c r="C288" s="126" t="str" cm="1">
        <f t="array" ref="C288">IF(B288="","",B288-IFERROR(LOOKUP(2,1/($B$6:B287&lt;&gt;""),$B$6:B287),Settings!$B$5))</f>
        <v/>
      </c>
      <c r="D288" s="127" t="str">
        <f>IF(B288="","",AVERAGE(B282:B288))</f>
        <v/>
      </c>
      <c r="E288" s="139"/>
      <c r="F288" s="140"/>
      <c r="G288" s="137"/>
      <c r="H288" s="139"/>
      <c r="I288" s="140"/>
      <c r="J288" s="141"/>
      <c r="K288" s="137"/>
      <c r="L288" s="142"/>
      <c r="M288" s="127" t="str">
        <f>IF(B288="","",B288/((Settings!$B$7)/100)^2)</f>
        <v/>
      </c>
      <c r="N288" s="25">
        <f>Settings!$B$6</f>
        <v>100</v>
      </c>
      <c r="O288" s="3" t="e">
        <f t="shared" si="24"/>
        <v>#N/A</v>
      </c>
      <c r="P288" s="3" t="e">
        <f t="shared" si="25"/>
        <v>#N/A</v>
      </c>
      <c r="Q288" s="3" t="e">
        <f t="shared" si="26"/>
        <v>#N/A</v>
      </c>
      <c r="R288" s="131">
        <f t="shared" si="27"/>
        <v>46560</v>
      </c>
      <c r="S288" s="3" t="e">
        <f t="shared" si="28"/>
        <v>#N/A</v>
      </c>
      <c r="T288" s="3" t="e">
        <f t="shared" si="29"/>
        <v>#N/A</v>
      </c>
      <c r="U288" s="3">
        <f>Settings!$B$6</f>
        <v>100</v>
      </c>
    </row>
    <row r="289" spans="1:21" ht="18" customHeight="1" x14ac:dyDescent="0.3">
      <c r="A289" s="132">
        <f>A288+1</f>
        <v>46561</v>
      </c>
      <c r="B289" s="138"/>
      <c r="C289" s="126" t="str" cm="1">
        <f t="array" ref="C289">IF(B289="","",B289-IFERROR(LOOKUP(2,1/($B$6:B288&lt;&gt;""),$B$6:B288),Settings!$B$5))</f>
        <v/>
      </c>
      <c r="D289" s="127" t="str">
        <f>IF(B289="","",AVERAGE(B283:B289))</f>
        <v/>
      </c>
      <c r="E289" s="143"/>
      <c r="F289" s="144"/>
      <c r="G289" s="138"/>
      <c r="H289" s="143"/>
      <c r="I289" s="144"/>
      <c r="J289" s="145"/>
      <c r="K289" s="138"/>
      <c r="L289" s="146"/>
      <c r="M289" s="127" t="str">
        <f>IF(B289="","",B289/((Settings!$B$7)/100)^2)</f>
        <v/>
      </c>
      <c r="N289" s="25">
        <f>Settings!$B$6</f>
        <v>100</v>
      </c>
      <c r="O289" s="3" t="e">
        <f t="shared" si="24"/>
        <v>#N/A</v>
      </c>
      <c r="P289" s="3" t="e">
        <f t="shared" si="25"/>
        <v>#N/A</v>
      </c>
      <c r="Q289" s="3" t="e">
        <f t="shared" si="26"/>
        <v>#N/A</v>
      </c>
      <c r="R289" s="131">
        <f t="shared" si="27"/>
        <v>46561</v>
      </c>
      <c r="S289" s="3" t="e">
        <f t="shared" si="28"/>
        <v>#N/A</v>
      </c>
      <c r="T289" s="3" t="e">
        <f t="shared" si="29"/>
        <v>#N/A</v>
      </c>
      <c r="U289" s="3">
        <f>Settings!$B$6</f>
        <v>100</v>
      </c>
    </row>
    <row r="290" spans="1:21" ht="18" customHeight="1" x14ac:dyDescent="0.3">
      <c r="A290" s="124">
        <f>A289+1</f>
        <v>46562</v>
      </c>
      <c r="B290" s="137"/>
      <c r="C290" s="126" t="str" cm="1">
        <f t="array" ref="C290">IF(B290="","",B290-IFERROR(LOOKUP(2,1/($B$6:B289&lt;&gt;""),$B$6:B289),Settings!$B$5))</f>
        <v/>
      </c>
      <c r="D290" s="127" t="str">
        <f>IF(B290="","",AVERAGE(B284:B290))</f>
        <v/>
      </c>
      <c r="E290" s="139"/>
      <c r="F290" s="140"/>
      <c r="G290" s="137"/>
      <c r="H290" s="139"/>
      <c r="I290" s="140"/>
      <c r="J290" s="141"/>
      <c r="K290" s="137"/>
      <c r="L290" s="142"/>
      <c r="M290" s="127" t="str">
        <f>IF(B290="","",B290/((Settings!$B$7)/100)^2)</f>
        <v/>
      </c>
      <c r="N290" s="25">
        <f>Settings!$B$6</f>
        <v>100</v>
      </c>
      <c r="O290" s="3" t="e">
        <f t="shared" si="24"/>
        <v>#N/A</v>
      </c>
      <c r="P290" s="3" t="e">
        <f t="shared" si="25"/>
        <v>#N/A</v>
      </c>
      <c r="Q290" s="3" t="e">
        <f t="shared" si="26"/>
        <v>#N/A</v>
      </c>
      <c r="R290" s="131">
        <f t="shared" si="27"/>
        <v>46562</v>
      </c>
      <c r="S290" s="3" t="e">
        <f t="shared" si="28"/>
        <v>#N/A</v>
      </c>
      <c r="T290" s="3" t="e">
        <f t="shared" si="29"/>
        <v>#N/A</v>
      </c>
      <c r="U290" s="3">
        <f>Settings!$B$6</f>
        <v>100</v>
      </c>
    </row>
    <row r="291" spans="1:21" ht="18" customHeight="1" x14ac:dyDescent="0.3">
      <c r="A291" s="132">
        <f>A290+1</f>
        <v>46563</v>
      </c>
      <c r="B291" s="138"/>
      <c r="C291" s="126" t="str" cm="1">
        <f t="array" ref="C291">IF(B291="","",B291-IFERROR(LOOKUP(2,1/($B$6:B290&lt;&gt;""),$B$6:B290),Settings!$B$5))</f>
        <v/>
      </c>
      <c r="D291" s="127" t="str">
        <f>IF(B291="","",AVERAGE(B285:B291))</f>
        <v/>
      </c>
      <c r="E291" s="143"/>
      <c r="F291" s="144"/>
      <c r="G291" s="138"/>
      <c r="H291" s="143"/>
      <c r="I291" s="144"/>
      <c r="J291" s="145"/>
      <c r="K291" s="138"/>
      <c r="L291" s="146"/>
      <c r="M291" s="127" t="str">
        <f>IF(B291="","",B291/((Settings!$B$7)/100)^2)</f>
        <v/>
      </c>
      <c r="N291" s="25">
        <f>Settings!$B$6</f>
        <v>100</v>
      </c>
      <c r="O291" s="3" t="e">
        <f t="shared" si="24"/>
        <v>#N/A</v>
      </c>
      <c r="P291" s="3" t="e">
        <f t="shared" si="25"/>
        <v>#N/A</v>
      </c>
      <c r="Q291" s="3" t="e">
        <f t="shared" si="26"/>
        <v>#N/A</v>
      </c>
      <c r="R291" s="131">
        <f t="shared" si="27"/>
        <v>46563</v>
      </c>
      <c r="S291" s="3" t="e">
        <f t="shared" si="28"/>
        <v>#N/A</v>
      </c>
      <c r="T291" s="3" t="e">
        <f t="shared" si="29"/>
        <v>#N/A</v>
      </c>
      <c r="U291" s="3">
        <f>Settings!$B$6</f>
        <v>100</v>
      </c>
    </row>
    <row r="292" spans="1:21" ht="18" customHeight="1" x14ac:dyDescent="0.3">
      <c r="A292" s="124">
        <f>A291+1</f>
        <v>46564</v>
      </c>
      <c r="B292" s="137"/>
      <c r="C292" s="126" t="str" cm="1">
        <f t="array" ref="C292">IF(B292="","",B292-IFERROR(LOOKUP(2,1/($B$6:B291&lt;&gt;""),$B$6:B291),Settings!$B$5))</f>
        <v/>
      </c>
      <c r="D292" s="127" t="str">
        <f>IF(B292="","",AVERAGE(B286:B292))</f>
        <v/>
      </c>
      <c r="E292" s="139"/>
      <c r="F292" s="140"/>
      <c r="G292" s="137"/>
      <c r="H292" s="139"/>
      <c r="I292" s="140"/>
      <c r="J292" s="141"/>
      <c r="K292" s="137"/>
      <c r="L292" s="142"/>
      <c r="M292" s="127" t="str">
        <f>IF(B292="","",B292/((Settings!$B$7)/100)^2)</f>
        <v/>
      </c>
      <c r="N292" s="25">
        <f>Settings!$B$6</f>
        <v>100</v>
      </c>
      <c r="O292" s="3" t="e">
        <f t="shared" si="24"/>
        <v>#N/A</v>
      </c>
      <c r="P292" s="3" t="e">
        <f t="shared" si="25"/>
        <v>#N/A</v>
      </c>
      <c r="Q292" s="3" t="e">
        <f t="shared" si="26"/>
        <v>#N/A</v>
      </c>
      <c r="R292" s="131">
        <f t="shared" si="27"/>
        <v>46564</v>
      </c>
      <c r="S292" s="3" t="e">
        <f t="shared" si="28"/>
        <v>#N/A</v>
      </c>
      <c r="T292" s="3" t="e">
        <f t="shared" si="29"/>
        <v>#N/A</v>
      </c>
      <c r="U292" s="3">
        <f>Settings!$B$6</f>
        <v>100</v>
      </c>
    </row>
    <row r="293" spans="1:21" ht="18" customHeight="1" x14ac:dyDescent="0.3">
      <c r="A293" s="132">
        <f>A292+1</f>
        <v>46565</v>
      </c>
      <c r="B293" s="138"/>
      <c r="C293" s="126" t="str" cm="1">
        <f t="array" ref="C293">IF(B293="","",B293-IFERROR(LOOKUP(2,1/($B$6:B292&lt;&gt;""),$B$6:B292),Settings!$B$5))</f>
        <v/>
      </c>
      <c r="D293" s="127" t="str">
        <f>IF(B293="","",AVERAGE(B287:B293))</f>
        <v/>
      </c>
      <c r="E293" s="143"/>
      <c r="F293" s="144"/>
      <c r="G293" s="138"/>
      <c r="H293" s="143"/>
      <c r="I293" s="144"/>
      <c r="J293" s="145"/>
      <c r="K293" s="138"/>
      <c r="L293" s="146"/>
      <c r="M293" s="127" t="str">
        <f>IF(B293="","",B293/((Settings!$B$7)/100)^2)</f>
        <v/>
      </c>
      <c r="N293" s="25">
        <f>Settings!$B$6</f>
        <v>100</v>
      </c>
      <c r="O293" s="3" t="e">
        <f t="shared" si="24"/>
        <v>#N/A</v>
      </c>
      <c r="P293" s="3" t="e">
        <f t="shared" si="25"/>
        <v>#N/A</v>
      </c>
      <c r="Q293" s="3" t="e">
        <f t="shared" si="26"/>
        <v>#N/A</v>
      </c>
      <c r="R293" s="131">
        <f t="shared" si="27"/>
        <v>46565</v>
      </c>
      <c r="S293" s="3" t="e">
        <f t="shared" si="28"/>
        <v>#N/A</v>
      </c>
      <c r="T293" s="3" t="e">
        <f t="shared" si="29"/>
        <v>#N/A</v>
      </c>
      <c r="U293" s="3">
        <f>Settings!$B$6</f>
        <v>100</v>
      </c>
    </row>
    <row r="294" spans="1:21" ht="18" customHeight="1" x14ac:dyDescent="0.3">
      <c r="A294" s="124">
        <f>A293+1</f>
        <v>46566</v>
      </c>
      <c r="B294" s="137"/>
      <c r="C294" s="126" t="str" cm="1">
        <f t="array" ref="C294">IF(B294="","",B294-IFERROR(LOOKUP(2,1/($B$6:B293&lt;&gt;""),$B$6:B293),Settings!$B$5))</f>
        <v/>
      </c>
      <c r="D294" s="127" t="str">
        <f>IF(B294="","",AVERAGE(B288:B294))</f>
        <v/>
      </c>
      <c r="E294" s="139"/>
      <c r="F294" s="140"/>
      <c r="G294" s="137"/>
      <c r="H294" s="139"/>
      <c r="I294" s="140"/>
      <c r="J294" s="141"/>
      <c r="K294" s="137"/>
      <c r="L294" s="142"/>
      <c r="M294" s="127" t="str">
        <f>IF(B294="","",B294/((Settings!$B$7)/100)^2)</f>
        <v/>
      </c>
      <c r="N294" s="25">
        <f>Settings!$B$6</f>
        <v>100</v>
      </c>
      <c r="O294" s="3" t="e">
        <f t="shared" si="24"/>
        <v>#N/A</v>
      </c>
      <c r="P294" s="3" t="e">
        <f t="shared" si="25"/>
        <v>#N/A</v>
      </c>
      <c r="Q294" s="3" t="e">
        <f t="shared" si="26"/>
        <v>#N/A</v>
      </c>
      <c r="R294" s="131">
        <f t="shared" si="27"/>
        <v>46566</v>
      </c>
      <c r="S294" s="3" t="e">
        <f t="shared" si="28"/>
        <v>#N/A</v>
      </c>
      <c r="T294" s="3" t="e">
        <f t="shared" si="29"/>
        <v>#N/A</v>
      </c>
      <c r="U294" s="3">
        <f>Settings!$B$6</f>
        <v>100</v>
      </c>
    </row>
    <row r="295" spans="1:21" ht="18" customHeight="1" x14ac:dyDescent="0.3">
      <c r="A295" s="132">
        <f>A294+1</f>
        <v>46567</v>
      </c>
      <c r="B295" s="138"/>
      <c r="C295" s="126" t="str" cm="1">
        <f t="array" ref="C295">IF(B295="","",B295-IFERROR(LOOKUP(2,1/($B$6:B294&lt;&gt;""),$B$6:B294),Settings!$B$5))</f>
        <v/>
      </c>
      <c r="D295" s="127" t="str">
        <f>IF(B295="","",AVERAGE(B289:B295))</f>
        <v/>
      </c>
      <c r="E295" s="143"/>
      <c r="F295" s="144"/>
      <c r="G295" s="138"/>
      <c r="H295" s="143"/>
      <c r="I295" s="144"/>
      <c r="J295" s="145"/>
      <c r="K295" s="138"/>
      <c r="L295" s="146"/>
      <c r="M295" s="127" t="str">
        <f>IF(B295="","",B295/((Settings!$B$7)/100)^2)</f>
        <v/>
      </c>
      <c r="N295" s="25">
        <f>Settings!$B$6</f>
        <v>100</v>
      </c>
      <c r="O295" s="3" t="e">
        <f t="shared" si="24"/>
        <v>#N/A</v>
      </c>
      <c r="P295" s="3" t="e">
        <f t="shared" si="25"/>
        <v>#N/A</v>
      </c>
      <c r="Q295" s="3" t="e">
        <f t="shared" si="26"/>
        <v>#N/A</v>
      </c>
      <c r="R295" s="131">
        <f t="shared" si="27"/>
        <v>46567</v>
      </c>
      <c r="S295" s="3" t="e">
        <f t="shared" si="28"/>
        <v>#N/A</v>
      </c>
      <c r="T295" s="3" t="e">
        <f t="shared" si="29"/>
        <v>#N/A</v>
      </c>
      <c r="U295" s="3">
        <f>Settings!$B$6</f>
        <v>100</v>
      </c>
    </row>
    <row r="296" spans="1:21" ht="18" customHeight="1" x14ac:dyDescent="0.3">
      <c r="A296" s="124">
        <f>A295+1</f>
        <v>46568</v>
      </c>
      <c r="B296" s="137"/>
      <c r="C296" s="126" t="str" cm="1">
        <f t="array" ref="C296">IF(B296="","",B296-IFERROR(LOOKUP(2,1/($B$6:B295&lt;&gt;""),$B$6:B295),Settings!$B$5))</f>
        <v/>
      </c>
      <c r="D296" s="127" t="str">
        <f>IF(B296="","",AVERAGE(B290:B296))</f>
        <v/>
      </c>
      <c r="E296" s="139"/>
      <c r="F296" s="140"/>
      <c r="G296" s="137"/>
      <c r="H296" s="139"/>
      <c r="I296" s="140"/>
      <c r="J296" s="141"/>
      <c r="K296" s="137"/>
      <c r="L296" s="142"/>
      <c r="M296" s="127" t="str">
        <f>IF(B296="","",B296/((Settings!$B$7)/100)^2)</f>
        <v/>
      </c>
      <c r="N296" s="25">
        <f>Settings!$B$6</f>
        <v>100</v>
      </c>
      <c r="O296" s="3" t="e">
        <f t="shared" si="24"/>
        <v>#N/A</v>
      </c>
      <c r="P296" s="3" t="e">
        <f t="shared" si="25"/>
        <v>#N/A</v>
      </c>
      <c r="Q296" s="3" t="e">
        <f t="shared" si="26"/>
        <v>#N/A</v>
      </c>
      <c r="R296" s="131">
        <f t="shared" si="27"/>
        <v>46568</v>
      </c>
      <c r="S296" s="3" t="e">
        <f t="shared" si="28"/>
        <v>#N/A</v>
      </c>
      <c r="T296" s="3" t="e">
        <f t="shared" si="29"/>
        <v>#N/A</v>
      </c>
      <c r="U296" s="3">
        <f>Settings!$B$6</f>
        <v>100</v>
      </c>
    </row>
    <row r="297" spans="1:21" ht="18" customHeight="1" x14ac:dyDescent="0.3">
      <c r="A297" s="132">
        <f>A296+1</f>
        <v>46569</v>
      </c>
      <c r="B297" s="138"/>
      <c r="C297" s="126" t="str" cm="1">
        <f t="array" ref="C297">IF(B297="","",B297-IFERROR(LOOKUP(2,1/($B$6:B296&lt;&gt;""),$B$6:B296),Settings!$B$5))</f>
        <v/>
      </c>
      <c r="D297" s="127" t="str">
        <f>IF(B297="","",AVERAGE(B291:B297))</f>
        <v/>
      </c>
      <c r="E297" s="143"/>
      <c r="F297" s="144"/>
      <c r="G297" s="138"/>
      <c r="H297" s="143"/>
      <c r="I297" s="144"/>
      <c r="J297" s="145"/>
      <c r="K297" s="138"/>
      <c r="L297" s="146"/>
      <c r="M297" s="127" t="str">
        <f>IF(B297="","",B297/((Settings!$B$7)/100)^2)</f>
        <v/>
      </c>
      <c r="N297" s="25">
        <f>Settings!$B$6</f>
        <v>100</v>
      </c>
      <c r="O297" s="3" t="e">
        <f t="shared" si="24"/>
        <v>#N/A</v>
      </c>
      <c r="P297" s="3" t="e">
        <f t="shared" si="25"/>
        <v>#N/A</v>
      </c>
      <c r="Q297" s="3" t="e">
        <f t="shared" si="26"/>
        <v>#N/A</v>
      </c>
      <c r="R297" s="131">
        <f t="shared" si="27"/>
        <v>46569</v>
      </c>
      <c r="S297" s="3" t="e">
        <f t="shared" si="28"/>
        <v>#N/A</v>
      </c>
      <c r="T297" s="3" t="e">
        <f t="shared" si="29"/>
        <v>#N/A</v>
      </c>
      <c r="U297" s="3">
        <f>Settings!$B$6</f>
        <v>100</v>
      </c>
    </row>
    <row r="298" spans="1:21" ht="18" customHeight="1" x14ac:dyDescent="0.3">
      <c r="A298" s="124">
        <f>A297+1</f>
        <v>46570</v>
      </c>
      <c r="B298" s="137"/>
      <c r="C298" s="126" t="str" cm="1">
        <f t="array" ref="C298">IF(B298="","",B298-IFERROR(LOOKUP(2,1/($B$6:B297&lt;&gt;""),$B$6:B297),Settings!$B$5))</f>
        <v/>
      </c>
      <c r="D298" s="127" t="str">
        <f>IF(B298="","",AVERAGE(B292:B298))</f>
        <v/>
      </c>
      <c r="E298" s="139"/>
      <c r="F298" s="140"/>
      <c r="G298" s="137"/>
      <c r="H298" s="139"/>
      <c r="I298" s="140"/>
      <c r="J298" s="141"/>
      <c r="K298" s="137"/>
      <c r="L298" s="142"/>
      <c r="M298" s="127" t="str">
        <f>IF(B298="","",B298/((Settings!$B$7)/100)^2)</f>
        <v/>
      </c>
      <c r="N298" s="25">
        <f>Settings!$B$6</f>
        <v>100</v>
      </c>
      <c r="O298" s="3" t="e">
        <f t="shared" si="24"/>
        <v>#N/A</v>
      </c>
      <c r="P298" s="3" t="e">
        <f t="shared" si="25"/>
        <v>#N/A</v>
      </c>
      <c r="Q298" s="3" t="e">
        <f t="shared" si="26"/>
        <v>#N/A</v>
      </c>
      <c r="R298" s="131">
        <f t="shared" si="27"/>
        <v>46570</v>
      </c>
      <c r="S298" s="3" t="e">
        <f t="shared" si="28"/>
        <v>#N/A</v>
      </c>
      <c r="T298" s="3" t="e">
        <f t="shared" si="29"/>
        <v>#N/A</v>
      </c>
      <c r="U298" s="3">
        <f>Settings!$B$6</f>
        <v>100</v>
      </c>
    </row>
    <row r="299" spans="1:21" ht="18" customHeight="1" x14ac:dyDescent="0.3">
      <c r="A299" s="132">
        <f>A298+1</f>
        <v>46571</v>
      </c>
      <c r="B299" s="138"/>
      <c r="C299" s="126" t="str" cm="1">
        <f t="array" ref="C299">IF(B299="","",B299-IFERROR(LOOKUP(2,1/($B$6:B298&lt;&gt;""),$B$6:B298),Settings!$B$5))</f>
        <v/>
      </c>
      <c r="D299" s="127" t="str">
        <f>IF(B299="","",AVERAGE(B293:B299))</f>
        <v/>
      </c>
      <c r="E299" s="143"/>
      <c r="F299" s="144"/>
      <c r="G299" s="138"/>
      <c r="H299" s="143"/>
      <c r="I299" s="144"/>
      <c r="J299" s="145"/>
      <c r="K299" s="138"/>
      <c r="L299" s="146"/>
      <c r="M299" s="127" t="str">
        <f>IF(B299="","",B299/((Settings!$B$7)/100)^2)</f>
        <v/>
      </c>
      <c r="N299" s="25">
        <f>Settings!$B$6</f>
        <v>100</v>
      </c>
      <c r="O299" s="3" t="e">
        <f t="shared" si="24"/>
        <v>#N/A</v>
      </c>
      <c r="P299" s="3" t="e">
        <f t="shared" si="25"/>
        <v>#N/A</v>
      </c>
      <c r="Q299" s="3" t="e">
        <f t="shared" si="26"/>
        <v>#N/A</v>
      </c>
      <c r="R299" s="131">
        <f t="shared" si="27"/>
        <v>46571</v>
      </c>
      <c r="S299" s="3" t="e">
        <f t="shared" si="28"/>
        <v>#N/A</v>
      </c>
      <c r="T299" s="3" t="e">
        <f t="shared" si="29"/>
        <v>#N/A</v>
      </c>
      <c r="U299" s="3">
        <f>Settings!$B$6</f>
        <v>100</v>
      </c>
    </row>
    <row r="300" spans="1:21" ht="18" customHeight="1" x14ac:dyDescent="0.3">
      <c r="A300" s="124">
        <f>A299+1</f>
        <v>46572</v>
      </c>
      <c r="B300" s="137"/>
      <c r="C300" s="126" t="str" cm="1">
        <f t="array" ref="C300">IF(B300="","",B300-IFERROR(LOOKUP(2,1/($B$6:B299&lt;&gt;""),$B$6:B299),Settings!$B$5))</f>
        <v/>
      </c>
      <c r="D300" s="127" t="str">
        <f>IF(B300="","",AVERAGE(B294:B300))</f>
        <v/>
      </c>
      <c r="E300" s="139"/>
      <c r="F300" s="140"/>
      <c r="G300" s="137"/>
      <c r="H300" s="139"/>
      <c r="I300" s="140"/>
      <c r="J300" s="141"/>
      <c r="K300" s="137"/>
      <c r="L300" s="142"/>
      <c r="M300" s="127" t="str">
        <f>IF(B300="","",B300/((Settings!$B$7)/100)^2)</f>
        <v/>
      </c>
      <c r="N300" s="25">
        <f>Settings!$B$6</f>
        <v>100</v>
      </c>
      <c r="O300" s="3" t="e">
        <f t="shared" si="24"/>
        <v>#N/A</v>
      </c>
      <c r="P300" s="3" t="e">
        <f t="shared" si="25"/>
        <v>#N/A</v>
      </c>
      <c r="Q300" s="3" t="e">
        <f t="shared" si="26"/>
        <v>#N/A</v>
      </c>
      <c r="R300" s="131">
        <f t="shared" si="27"/>
        <v>46572</v>
      </c>
      <c r="S300" s="3" t="e">
        <f t="shared" si="28"/>
        <v>#N/A</v>
      </c>
      <c r="T300" s="3" t="e">
        <f t="shared" si="29"/>
        <v>#N/A</v>
      </c>
      <c r="U300" s="3">
        <f>Settings!$B$6</f>
        <v>100</v>
      </c>
    </row>
    <row r="301" spans="1:21" ht="18" customHeight="1" x14ac:dyDescent="0.3">
      <c r="A301" s="132">
        <f>A300+1</f>
        <v>46573</v>
      </c>
      <c r="B301" s="138"/>
      <c r="C301" s="126" t="str" cm="1">
        <f t="array" ref="C301">IF(B301="","",B301-IFERROR(LOOKUP(2,1/($B$6:B300&lt;&gt;""),$B$6:B300),Settings!$B$5))</f>
        <v/>
      </c>
      <c r="D301" s="127" t="str">
        <f>IF(B301="","",AVERAGE(B295:B301))</f>
        <v/>
      </c>
      <c r="E301" s="143"/>
      <c r="F301" s="144"/>
      <c r="G301" s="138"/>
      <c r="H301" s="143"/>
      <c r="I301" s="144"/>
      <c r="J301" s="145"/>
      <c r="K301" s="138"/>
      <c r="L301" s="146"/>
      <c r="M301" s="127" t="str">
        <f>IF(B301="","",B301/((Settings!$B$7)/100)^2)</f>
        <v/>
      </c>
      <c r="N301" s="25">
        <f>Settings!$B$6</f>
        <v>100</v>
      </c>
      <c r="O301" s="3" t="e">
        <f t="shared" si="24"/>
        <v>#N/A</v>
      </c>
      <c r="P301" s="3" t="e">
        <f t="shared" si="25"/>
        <v>#N/A</v>
      </c>
      <c r="Q301" s="3" t="e">
        <f t="shared" si="26"/>
        <v>#N/A</v>
      </c>
      <c r="R301" s="131">
        <f t="shared" si="27"/>
        <v>46573</v>
      </c>
      <c r="S301" s="3" t="e">
        <f t="shared" si="28"/>
        <v>#N/A</v>
      </c>
      <c r="T301" s="3" t="e">
        <f t="shared" si="29"/>
        <v>#N/A</v>
      </c>
      <c r="U301" s="3">
        <f>Settings!$B$6</f>
        <v>100</v>
      </c>
    </row>
    <row r="302" spans="1:21" ht="18" customHeight="1" x14ac:dyDescent="0.3">
      <c r="A302" s="124">
        <f>A301+1</f>
        <v>46574</v>
      </c>
      <c r="B302" s="137"/>
      <c r="C302" s="126" t="str" cm="1">
        <f t="array" ref="C302">IF(B302="","",B302-IFERROR(LOOKUP(2,1/($B$6:B301&lt;&gt;""),$B$6:B301),Settings!$B$5))</f>
        <v/>
      </c>
      <c r="D302" s="127" t="str">
        <f>IF(B302="","",AVERAGE(B296:B302))</f>
        <v/>
      </c>
      <c r="E302" s="139"/>
      <c r="F302" s="140"/>
      <c r="G302" s="137"/>
      <c r="H302" s="139"/>
      <c r="I302" s="140"/>
      <c r="J302" s="141"/>
      <c r="K302" s="137"/>
      <c r="L302" s="142"/>
      <c r="M302" s="127" t="str">
        <f>IF(B302="","",B302/((Settings!$B$7)/100)^2)</f>
        <v/>
      </c>
      <c r="N302" s="25">
        <f>Settings!$B$6</f>
        <v>100</v>
      </c>
      <c r="O302" s="3" t="e">
        <f t="shared" si="24"/>
        <v>#N/A</v>
      </c>
      <c r="P302" s="3" t="e">
        <f t="shared" si="25"/>
        <v>#N/A</v>
      </c>
      <c r="Q302" s="3" t="e">
        <f t="shared" si="26"/>
        <v>#N/A</v>
      </c>
      <c r="R302" s="131">
        <f t="shared" si="27"/>
        <v>46574</v>
      </c>
      <c r="S302" s="3" t="e">
        <f t="shared" si="28"/>
        <v>#N/A</v>
      </c>
      <c r="T302" s="3" t="e">
        <f t="shared" si="29"/>
        <v>#N/A</v>
      </c>
      <c r="U302" s="3">
        <f>Settings!$B$6</f>
        <v>100</v>
      </c>
    </row>
    <row r="303" spans="1:21" ht="18" customHeight="1" x14ac:dyDescent="0.3">
      <c r="A303" s="132">
        <f>A302+1</f>
        <v>46575</v>
      </c>
      <c r="B303" s="138"/>
      <c r="C303" s="126" t="str" cm="1">
        <f t="array" ref="C303">IF(B303="","",B303-IFERROR(LOOKUP(2,1/($B$6:B302&lt;&gt;""),$B$6:B302),Settings!$B$5))</f>
        <v/>
      </c>
      <c r="D303" s="127" t="str">
        <f>IF(B303="","",AVERAGE(B297:B303))</f>
        <v/>
      </c>
      <c r="E303" s="143"/>
      <c r="F303" s="144"/>
      <c r="G303" s="138"/>
      <c r="H303" s="143"/>
      <c r="I303" s="144"/>
      <c r="J303" s="145"/>
      <c r="K303" s="138"/>
      <c r="L303" s="146"/>
      <c r="M303" s="127" t="str">
        <f>IF(B303="","",B303/((Settings!$B$7)/100)^2)</f>
        <v/>
      </c>
      <c r="N303" s="25">
        <f>Settings!$B$6</f>
        <v>100</v>
      </c>
      <c r="O303" s="3" t="e">
        <f t="shared" si="24"/>
        <v>#N/A</v>
      </c>
      <c r="P303" s="3" t="e">
        <f t="shared" si="25"/>
        <v>#N/A</v>
      </c>
      <c r="Q303" s="3" t="e">
        <f t="shared" si="26"/>
        <v>#N/A</v>
      </c>
      <c r="R303" s="131">
        <f t="shared" si="27"/>
        <v>46575</v>
      </c>
      <c r="S303" s="3" t="e">
        <f t="shared" si="28"/>
        <v>#N/A</v>
      </c>
      <c r="T303" s="3" t="e">
        <f t="shared" si="29"/>
        <v>#N/A</v>
      </c>
      <c r="U303" s="3">
        <f>Settings!$B$6</f>
        <v>100</v>
      </c>
    </row>
    <row r="304" spans="1:21" ht="18" customHeight="1" x14ac:dyDescent="0.3">
      <c r="A304" s="124">
        <f>A303+1</f>
        <v>46576</v>
      </c>
      <c r="B304" s="137"/>
      <c r="C304" s="126" t="str" cm="1">
        <f t="array" ref="C304">IF(B304="","",B304-IFERROR(LOOKUP(2,1/($B$6:B303&lt;&gt;""),$B$6:B303),Settings!$B$5))</f>
        <v/>
      </c>
      <c r="D304" s="127" t="str">
        <f>IF(B304="","",AVERAGE(B298:B304))</f>
        <v/>
      </c>
      <c r="E304" s="139"/>
      <c r="F304" s="140"/>
      <c r="G304" s="137"/>
      <c r="H304" s="139"/>
      <c r="I304" s="140"/>
      <c r="J304" s="141"/>
      <c r="K304" s="137"/>
      <c r="L304" s="142"/>
      <c r="M304" s="127" t="str">
        <f>IF(B304="","",B304/((Settings!$B$7)/100)^2)</f>
        <v/>
      </c>
      <c r="N304" s="25">
        <f>Settings!$B$6</f>
        <v>100</v>
      </c>
      <c r="O304" s="3" t="e">
        <f t="shared" si="24"/>
        <v>#N/A</v>
      </c>
      <c r="P304" s="3" t="e">
        <f t="shared" si="25"/>
        <v>#N/A</v>
      </c>
      <c r="Q304" s="3" t="e">
        <f t="shared" si="26"/>
        <v>#N/A</v>
      </c>
      <c r="R304" s="131">
        <f t="shared" si="27"/>
        <v>46576</v>
      </c>
      <c r="S304" s="3" t="e">
        <f t="shared" si="28"/>
        <v>#N/A</v>
      </c>
      <c r="T304" s="3" t="e">
        <f t="shared" si="29"/>
        <v>#N/A</v>
      </c>
      <c r="U304" s="3">
        <f>Settings!$B$6</f>
        <v>100</v>
      </c>
    </row>
    <row r="305" spans="1:21" ht="18" customHeight="1" x14ac:dyDescent="0.3">
      <c r="A305" s="132">
        <f>A304+1</f>
        <v>46577</v>
      </c>
      <c r="B305" s="138"/>
      <c r="C305" s="126" t="str" cm="1">
        <f t="array" ref="C305">IF(B305="","",B305-IFERROR(LOOKUP(2,1/($B$6:B304&lt;&gt;""),$B$6:B304),Settings!$B$5))</f>
        <v/>
      </c>
      <c r="D305" s="127" t="str">
        <f>IF(B305="","",AVERAGE(B299:B305))</f>
        <v/>
      </c>
      <c r="E305" s="143"/>
      <c r="F305" s="144"/>
      <c r="G305" s="138"/>
      <c r="H305" s="143"/>
      <c r="I305" s="144"/>
      <c r="J305" s="145"/>
      <c r="K305" s="138"/>
      <c r="L305" s="146"/>
      <c r="M305" s="127" t="str">
        <f>IF(B305="","",B305/((Settings!$B$7)/100)^2)</f>
        <v/>
      </c>
      <c r="N305" s="25">
        <f>Settings!$B$6</f>
        <v>100</v>
      </c>
      <c r="O305" s="3" t="e">
        <f t="shared" si="24"/>
        <v>#N/A</v>
      </c>
      <c r="P305" s="3" t="e">
        <f t="shared" si="25"/>
        <v>#N/A</v>
      </c>
      <c r="Q305" s="3" t="e">
        <f t="shared" si="26"/>
        <v>#N/A</v>
      </c>
      <c r="R305" s="131">
        <f t="shared" si="27"/>
        <v>46577</v>
      </c>
      <c r="S305" s="3" t="e">
        <f t="shared" si="28"/>
        <v>#N/A</v>
      </c>
      <c r="T305" s="3" t="e">
        <f t="shared" si="29"/>
        <v>#N/A</v>
      </c>
      <c r="U305" s="3">
        <f>Settings!$B$6</f>
        <v>100</v>
      </c>
    </row>
    <row r="306" spans="1:21" ht="18" customHeight="1" x14ac:dyDescent="0.3">
      <c r="A306" s="124">
        <f>A305+1</f>
        <v>46578</v>
      </c>
      <c r="B306" s="137"/>
      <c r="C306" s="126" t="str" cm="1">
        <f t="array" ref="C306">IF(B306="","",B306-IFERROR(LOOKUP(2,1/($B$6:B305&lt;&gt;""),$B$6:B305),Settings!$B$5))</f>
        <v/>
      </c>
      <c r="D306" s="127" t="str">
        <f>IF(B306="","",AVERAGE(B300:B306))</f>
        <v/>
      </c>
      <c r="E306" s="139"/>
      <c r="F306" s="140"/>
      <c r="G306" s="137"/>
      <c r="H306" s="139"/>
      <c r="I306" s="140"/>
      <c r="J306" s="141"/>
      <c r="K306" s="137"/>
      <c r="L306" s="142"/>
      <c r="M306" s="127" t="str">
        <f>IF(B306="","",B306/((Settings!$B$7)/100)^2)</f>
        <v/>
      </c>
      <c r="N306" s="25">
        <f>Settings!$B$6</f>
        <v>100</v>
      </c>
      <c r="O306" s="3" t="e">
        <f t="shared" si="24"/>
        <v>#N/A</v>
      </c>
      <c r="P306" s="3" t="e">
        <f t="shared" si="25"/>
        <v>#N/A</v>
      </c>
      <c r="Q306" s="3" t="e">
        <f t="shared" si="26"/>
        <v>#N/A</v>
      </c>
      <c r="R306" s="131">
        <f t="shared" si="27"/>
        <v>46578</v>
      </c>
      <c r="S306" s="3" t="e">
        <f t="shared" si="28"/>
        <v>#N/A</v>
      </c>
      <c r="T306" s="3" t="e">
        <f t="shared" si="29"/>
        <v>#N/A</v>
      </c>
      <c r="U306" s="3">
        <f>Settings!$B$6</f>
        <v>100</v>
      </c>
    </row>
    <row r="307" spans="1:21" ht="18" customHeight="1" x14ac:dyDescent="0.3">
      <c r="A307" s="132">
        <f>A306+1</f>
        <v>46579</v>
      </c>
      <c r="B307" s="138"/>
      <c r="C307" s="126" t="str" cm="1">
        <f t="array" ref="C307">IF(B307="","",B307-IFERROR(LOOKUP(2,1/($B$6:B306&lt;&gt;""),$B$6:B306),Settings!$B$5))</f>
        <v/>
      </c>
      <c r="D307" s="127" t="str">
        <f>IF(B307="","",AVERAGE(B301:B307))</f>
        <v/>
      </c>
      <c r="E307" s="143"/>
      <c r="F307" s="144"/>
      <c r="G307" s="138"/>
      <c r="H307" s="143"/>
      <c r="I307" s="144"/>
      <c r="J307" s="145"/>
      <c r="K307" s="138"/>
      <c r="L307" s="146"/>
      <c r="M307" s="127" t="str">
        <f>IF(B307="","",B307/((Settings!$B$7)/100)^2)</f>
        <v/>
      </c>
      <c r="N307" s="25">
        <f>Settings!$B$6</f>
        <v>100</v>
      </c>
      <c r="O307" s="3" t="e">
        <f t="shared" si="24"/>
        <v>#N/A</v>
      </c>
      <c r="P307" s="3" t="e">
        <f t="shared" si="25"/>
        <v>#N/A</v>
      </c>
      <c r="Q307" s="3" t="e">
        <f t="shared" si="26"/>
        <v>#N/A</v>
      </c>
      <c r="R307" s="131">
        <f t="shared" si="27"/>
        <v>46579</v>
      </c>
      <c r="S307" s="3" t="e">
        <f t="shared" si="28"/>
        <v>#N/A</v>
      </c>
      <c r="T307" s="3" t="e">
        <f t="shared" si="29"/>
        <v>#N/A</v>
      </c>
      <c r="U307" s="3">
        <f>Settings!$B$6</f>
        <v>100</v>
      </c>
    </row>
    <row r="308" spans="1:21" ht="18" customHeight="1" x14ac:dyDescent="0.3">
      <c r="A308" s="124">
        <f>A307+1</f>
        <v>46580</v>
      </c>
      <c r="B308" s="137"/>
      <c r="C308" s="126" t="str" cm="1">
        <f t="array" ref="C308">IF(B308="","",B308-IFERROR(LOOKUP(2,1/($B$6:B307&lt;&gt;""),$B$6:B307),Settings!$B$5))</f>
        <v/>
      </c>
      <c r="D308" s="127" t="str">
        <f>IF(B308="","",AVERAGE(B302:B308))</f>
        <v/>
      </c>
      <c r="E308" s="139"/>
      <c r="F308" s="140"/>
      <c r="G308" s="137"/>
      <c r="H308" s="139"/>
      <c r="I308" s="140"/>
      <c r="J308" s="141"/>
      <c r="K308" s="137"/>
      <c r="L308" s="142"/>
      <c r="M308" s="127" t="str">
        <f>IF(B308="","",B308/((Settings!$B$7)/100)^2)</f>
        <v/>
      </c>
      <c r="N308" s="25">
        <f>Settings!$B$6</f>
        <v>100</v>
      </c>
      <c r="O308" s="3" t="e">
        <f t="shared" si="24"/>
        <v>#N/A</v>
      </c>
      <c r="P308" s="3" t="e">
        <f t="shared" si="25"/>
        <v>#N/A</v>
      </c>
      <c r="Q308" s="3" t="e">
        <f t="shared" si="26"/>
        <v>#N/A</v>
      </c>
      <c r="R308" s="131">
        <f t="shared" si="27"/>
        <v>46580</v>
      </c>
      <c r="S308" s="3" t="e">
        <f t="shared" si="28"/>
        <v>#N/A</v>
      </c>
      <c r="T308" s="3" t="e">
        <f t="shared" si="29"/>
        <v>#N/A</v>
      </c>
      <c r="U308" s="3">
        <f>Settings!$B$6</f>
        <v>100</v>
      </c>
    </row>
    <row r="309" spans="1:21" ht="18" customHeight="1" x14ac:dyDescent="0.3">
      <c r="A309" s="132">
        <f>A308+1</f>
        <v>46581</v>
      </c>
      <c r="B309" s="138"/>
      <c r="C309" s="126" t="str" cm="1">
        <f t="array" ref="C309">IF(B309="","",B309-IFERROR(LOOKUP(2,1/($B$6:B308&lt;&gt;""),$B$6:B308),Settings!$B$5))</f>
        <v/>
      </c>
      <c r="D309" s="127" t="str">
        <f>IF(B309="","",AVERAGE(B303:B309))</f>
        <v/>
      </c>
      <c r="E309" s="143"/>
      <c r="F309" s="144"/>
      <c r="G309" s="138"/>
      <c r="H309" s="143"/>
      <c r="I309" s="144"/>
      <c r="J309" s="145"/>
      <c r="K309" s="138"/>
      <c r="L309" s="146"/>
      <c r="M309" s="127" t="str">
        <f>IF(B309="","",B309/((Settings!$B$7)/100)^2)</f>
        <v/>
      </c>
      <c r="N309" s="25">
        <f>Settings!$B$6</f>
        <v>100</v>
      </c>
      <c r="O309" s="3" t="e">
        <f t="shared" si="24"/>
        <v>#N/A</v>
      </c>
      <c r="P309" s="3" t="e">
        <f t="shared" si="25"/>
        <v>#N/A</v>
      </c>
      <c r="Q309" s="3" t="e">
        <f t="shared" si="26"/>
        <v>#N/A</v>
      </c>
      <c r="R309" s="131">
        <f t="shared" si="27"/>
        <v>46581</v>
      </c>
      <c r="S309" s="3" t="e">
        <f t="shared" si="28"/>
        <v>#N/A</v>
      </c>
      <c r="T309" s="3" t="e">
        <f t="shared" si="29"/>
        <v>#N/A</v>
      </c>
      <c r="U309" s="3">
        <f>Settings!$B$6</f>
        <v>100</v>
      </c>
    </row>
    <row r="310" spans="1:21" ht="18" customHeight="1" x14ac:dyDescent="0.3">
      <c r="A310" s="124">
        <f>A309+1</f>
        <v>46582</v>
      </c>
      <c r="B310" s="137"/>
      <c r="C310" s="126" t="str" cm="1">
        <f t="array" ref="C310">IF(B310="","",B310-IFERROR(LOOKUP(2,1/($B$6:B309&lt;&gt;""),$B$6:B309),Settings!$B$5))</f>
        <v/>
      </c>
      <c r="D310" s="127" t="str">
        <f>IF(B310="","",AVERAGE(B304:B310))</f>
        <v/>
      </c>
      <c r="E310" s="139"/>
      <c r="F310" s="140"/>
      <c r="G310" s="137"/>
      <c r="H310" s="139"/>
      <c r="I310" s="140"/>
      <c r="J310" s="141"/>
      <c r="K310" s="137"/>
      <c r="L310" s="142"/>
      <c r="M310" s="127" t="str">
        <f>IF(B310="","",B310/((Settings!$B$7)/100)^2)</f>
        <v/>
      </c>
      <c r="N310" s="25">
        <f>Settings!$B$6</f>
        <v>100</v>
      </c>
      <c r="O310" s="3" t="e">
        <f t="shared" si="24"/>
        <v>#N/A</v>
      </c>
      <c r="P310" s="3" t="e">
        <f t="shared" si="25"/>
        <v>#N/A</v>
      </c>
      <c r="Q310" s="3" t="e">
        <f t="shared" si="26"/>
        <v>#N/A</v>
      </c>
      <c r="R310" s="131">
        <f t="shared" si="27"/>
        <v>46582</v>
      </c>
      <c r="S310" s="3" t="e">
        <f t="shared" si="28"/>
        <v>#N/A</v>
      </c>
      <c r="T310" s="3" t="e">
        <f t="shared" si="29"/>
        <v>#N/A</v>
      </c>
      <c r="U310" s="3">
        <f>Settings!$B$6</f>
        <v>100</v>
      </c>
    </row>
    <row r="311" spans="1:21" ht="18" customHeight="1" x14ac:dyDescent="0.3">
      <c r="A311" s="132">
        <f>A310+1</f>
        <v>46583</v>
      </c>
      <c r="B311" s="138"/>
      <c r="C311" s="126" t="str" cm="1">
        <f t="array" ref="C311">IF(B311="","",B311-IFERROR(LOOKUP(2,1/($B$6:B310&lt;&gt;""),$B$6:B310),Settings!$B$5))</f>
        <v/>
      </c>
      <c r="D311" s="127" t="str">
        <f>IF(B311="","",AVERAGE(B305:B311))</f>
        <v/>
      </c>
      <c r="E311" s="143"/>
      <c r="F311" s="144"/>
      <c r="G311" s="138"/>
      <c r="H311" s="143"/>
      <c r="I311" s="144"/>
      <c r="J311" s="145"/>
      <c r="K311" s="138"/>
      <c r="L311" s="146"/>
      <c r="M311" s="127" t="str">
        <f>IF(B311="","",B311/((Settings!$B$7)/100)^2)</f>
        <v/>
      </c>
      <c r="N311" s="25">
        <f>Settings!$B$6</f>
        <v>100</v>
      </c>
      <c r="O311" s="3" t="e">
        <f t="shared" si="24"/>
        <v>#N/A</v>
      </c>
      <c r="P311" s="3" t="e">
        <f t="shared" si="25"/>
        <v>#N/A</v>
      </c>
      <c r="Q311" s="3" t="e">
        <f t="shared" si="26"/>
        <v>#N/A</v>
      </c>
      <c r="R311" s="131">
        <f t="shared" si="27"/>
        <v>46583</v>
      </c>
      <c r="S311" s="3" t="e">
        <f t="shared" si="28"/>
        <v>#N/A</v>
      </c>
      <c r="T311" s="3" t="e">
        <f t="shared" si="29"/>
        <v>#N/A</v>
      </c>
      <c r="U311" s="3">
        <f>Settings!$B$6</f>
        <v>100</v>
      </c>
    </row>
    <row r="312" spans="1:21" ht="18" customHeight="1" x14ac:dyDescent="0.3">
      <c r="A312" s="124">
        <f>A311+1</f>
        <v>46584</v>
      </c>
      <c r="B312" s="137"/>
      <c r="C312" s="126" t="str" cm="1">
        <f t="array" ref="C312">IF(B312="","",B312-IFERROR(LOOKUP(2,1/($B$6:B311&lt;&gt;""),$B$6:B311),Settings!$B$5))</f>
        <v/>
      </c>
      <c r="D312" s="127" t="str">
        <f>IF(B312="","",AVERAGE(B306:B312))</f>
        <v/>
      </c>
      <c r="E312" s="139"/>
      <c r="F312" s="140"/>
      <c r="G312" s="137"/>
      <c r="H312" s="139"/>
      <c r="I312" s="140"/>
      <c r="J312" s="141"/>
      <c r="K312" s="137"/>
      <c r="L312" s="142"/>
      <c r="M312" s="127" t="str">
        <f>IF(B312="","",B312/((Settings!$B$7)/100)^2)</f>
        <v/>
      </c>
      <c r="N312" s="25">
        <f>Settings!$B$6</f>
        <v>100</v>
      </c>
      <c r="O312" s="3" t="e">
        <f t="shared" si="24"/>
        <v>#N/A</v>
      </c>
      <c r="P312" s="3" t="e">
        <f t="shared" si="25"/>
        <v>#N/A</v>
      </c>
      <c r="Q312" s="3" t="e">
        <f t="shared" si="26"/>
        <v>#N/A</v>
      </c>
      <c r="R312" s="131">
        <f t="shared" si="27"/>
        <v>46584</v>
      </c>
      <c r="S312" s="3" t="e">
        <f t="shared" si="28"/>
        <v>#N/A</v>
      </c>
      <c r="T312" s="3" t="e">
        <f t="shared" si="29"/>
        <v>#N/A</v>
      </c>
      <c r="U312" s="3">
        <f>Settings!$B$6</f>
        <v>100</v>
      </c>
    </row>
    <row r="313" spans="1:21" ht="18" customHeight="1" x14ac:dyDescent="0.3">
      <c r="A313" s="132">
        <f>A312+1</f>
        <v>46585</v>
      </c>
      <c r="B313" s="138"/>
      <c r="C313" s="126" t="str" cm="1">
        <f t="array" ref="C313">IF(B313="","",B313-IFERROR(LOOKUP(2,1/($B$6:B312&lt;&gt;""),$B$6:B312),Settings!$B$5))</f>
        <v/>
      </c>
      <c r="D313" s="127" t="str">
        <f>IF(B313="","",AVERAGE(B307:B313))</f>
        <v/>
      </c>
      <c r="E313" s="143"/>
      <c r="F313" s="144"/>
      <c r="G313" s="138"/>
      <c r="H313" s="143"/>
      <c r="I313" s="144"/>
      <c r="J313" s="145"/>
      <c r="K313" s="138"/>
      <c r="L313" s="146"/>
      <c r="M313" s="127" t="str">
        <f>IF(B313="","",B313/((Settings!$B$7)/100)^2)</f>
        <v/>
      </c>
      <c r="N313" s="25">
        <f>Settings!$B$6</f>
        <v>100</v>
      </c>
      <c r="O313" s="3" t="e">
        <f t="shared" si="24"/>
        <v>#N/A</v>
      </c>
      <c r="P313" s="3" t="e">
        <f t="shared" si="25"/>
        <v>#N/A</v>
      </c>
      <c r="Q313" s="3" t="e">
        <f t="shared" si="26"/>
        <v>#N/A</v>
      </c>
      <c r="R313" s="131">
        <f t="shared" si="27"/>
        <v>46585</v>
      </c>
      <c r="S313" s="3" t="e">
        <f t="shared" si="28"/>
        <v>#N/A</v>
      </c>
      <c r="T313" s="3" t="e">
        <f t="shared" si="29"/>
        <v>#N/A</v>
      </c>
      <c r="U313" s="3">
        <f>Settings!$B$6</f>
        <v>100</v>
      </c>
    </row>
    <row r="314" spans="1:21" ht="18" customHeight="1" x14ac:dyDescent="0.3">
      <c r="A314" s="124">
        <f>A313+1</f>
        <v>46586</v>
      </c>
      <c r="B314" s="137"/>
      <c r="C314" s="126" t="str" cm="1">
        <f t="array" ref="C314">IF(B314="","",B314-IFERROR(LOOKUP(2,1/($B$6:B313&lt;&gt;""),$B$6:B313),Settings!$B$5))</f>
        <v/>
      </c>
      <c r="D314" s="127" t="str">
        <f>IF(B314="","",AVERAGE(B308:B314))</f>
        <v/>
      </c>
      <c r="E314" s="139"/>
      <c r="F314" s="140"/>
      <c r="G314" s="137"/>
      <c r="H314" s="139"/>
      <c r="I314" s="140"/>
      <c r="J314" s="141"/>
      <c r="K314" s="137"/>
      <c r="L314" s="142"/>
      <c r="M314" s="127" t="str">
        <f>IF(B314="","",B314/((Settings!$B$7)/100)^2)</f>
        <v/>
      </c>
      <c r="N314" s="25">
        <f>Settings!$B$6</f>
        <v>100</v>
      </c>
      <c r="O314" s="3" t="e">
        <f t="shared" si="24"/>
        <v>#N/A</v>
      </c>
      <c r="P314" s="3" t="e">
        <f t="shared" si="25"/>
        <v>#N/A</v>
      </c>
      <c r="Q314" s="3" t="e">
        <f t="shared" si="26"/>
        <v>#N/A</v>
      </c>
      <c r="R314" s="131">
        <f t="shared" si="27"/>
        <v>46586</v>
      </c>
      <c r="S314" s="3" t="e">
        <f t="shared" si="28"/>
        <v>#N/A</v>
      </c>
      <c r="T314" s="3" t="e">
        <f t="shared" si="29"/>
        <v>#N/A</v>
      </c>
      <c r="U314" s="3">
        <f>Settings!$B$6</f>
        <v>100</v>
      </c>
    </row>
    <row r="315" spans="1:21" ht="18" customHeight="1" x14ac:dyDescent="0.3">
      <c r="A315" s="132">
        <f>A314+1</f>
        <v>46587</v>
      </c>
      <c r="B315" s="138"/>
      <c r="C315" s="126" t="str" cm="1">
        <f t="array" ref="C315">IF(B315="","",B315-IFERROR(LOOKUP(2,1/($B$6:B314&lt;&gt;""),$B$6:B314),Settings!$B$5))</f>
        <v/>
      </c>
      <c r="D315" s="127" t="str">
        <f>IF(B315="","",AVERAGE(B309:B315))</f>
        <v/>
      </c>
      <c r="E315" s="143"/>
      <c r="F315" s="144"/>
      <c r="G315" s="138"/>
      <c r="H315" s="143"/>
      <c r="I315" s="144"/>
      <c r="J315" s="145"/>
      <c r="K315" s="138"/>
      <c r="L315" s="146"/>
      <c r="M315" s="127" t="str">
        <f>IF(B315="","",B315/((Settings!$B$7)/100)^2)</f>
        <v/>
      </c>
      <c r="N315" s="25">
        <f>Settings!$B$6</f>
        <v>100</v>
      </c>
      <c r="O315" s="3" t="e">
        <f t="shared" si="24"/>
        <v>#N/A</v>
      </c>
      <c r="P315" s="3" t="e">
        <f t="shared" si="25"/>
        <v>#N/A</v>
      </c>
      <c r="Q315" s="3" t="e">
        <f t="shared" si="26"/>
        <v>#N/A</v>
      </c>
      <c r="R315" s="131">
        <f t="shared" si="27"/>
        <v>46587</v>
      </c>
      <c r="S315" s="3" t="e">
        <f t="shared" si="28"/>
        <v>#N/A</v>
      </c>
      <c r="T315" s="3" t="e">
        <f t="shared" si="29"/>
        <v>#N/A</v>
      </c>
      <c r="U315" s="3">
        <f>Settings!$B$6</f>
        <v>100</v>
      </c>
    </row>
    <row r="316" spans="1:21" ht="18" customHeight="1" x14ac:dyDescent="0.3">
      <c r="A316" s="124">
        <f>A315+1</f>
        <v>46588</v>
      </c>
      <c r="B316" s="137"/>
      <c r="C316" s="126" t="str" cm="1">
        <f t="array" ref="C316">IF(B316="","",B316-IFERROR(LOOKUP(2,1/($B$6:B315&lt;&gt;""),$B$6:B315),Settings!$B$5))</f>
        <v/>
      </c>
      <c r="D316" s="127" t="str">
        <f>IF(B316="","",AVERAGE(B310:B316))</f>
        <v/>
      </c>
      <c r="E316" s="139"/>
      <c r="F316" s="140"/>
      <c r="G316" s="137"/>
      <c r="H316" s="139"/>
      <c r="I316" s="140"/>
      <c r="J316" s="141"/>
      <c r="K316" s="137"/>
      <c r="L316" s="142"/>
      <c r="M316" s="127" t="str">
        <f>IF(B316="","",B316/((Settings!$B$7)/100)^2)</f>
        <v/>
      </c>
      <c r="N316" s="25">
        <f>Settings!$B$6</f>
        <v>100</v>
      </c>
      <c r="O316" s="3" t="e">
        <f t="shared" si="24"/>
        <v>#N/A</v>
      </c>
      <c r="P316" s="3" t="e">
        <f t="shared" si="25"/>
        <v>#N/A</v>
      </c>
      <c r="Q316" s="3" t="e">
        <f t="shared" si="26"/>
        <v>#N/A</v>
      </c>
      <c r="R316" s="131">
        <f t="shared" si="27"/>
        <v>46588</v>
      </c>
      <c r="S316" s="3" t="e">
        <f t="shared" si="28"/>
        <v>#N/A</v>
      </c>
      <c r="T316" s="3" t="e">
        <f t="shared" si="29"/>
        <v>#N/A</v>
      </c>
      <c r="U316" s="3">
        <f>Settings!$B$6</f>
        <v>100</v>
      </c>
    </row>
    <row r="317" spans="1:21" ht="18" customHeight="1" x14ac:dyDescent="0.3">
      <c r="A317" s="132">
        <f>A316+1</f>
        <v>46589</v>
      </c>
      <c r="B317" s="138"/>
      <c r="C317" s="126" t="str" cm="1">
        <f t="array" ref="C317">IF(B317="","",B317-IFERROR(LOOKUP(2,1/($B$6:B316&lt;&gt;""),$B$6:B316),Settings!$B$5))</f>
        <v/>
      </c>
      <c r="D317" s="127" t="str">
        <f>IF(B317="","",AVERAGE(B311:B317))</f>
        <v/>
      </c>
      <c r="E317" s="143"/>
      <c r="F317" s="144"/>
      <c r="G317" s="138"/>
      <c r="H317" s="143"/>
      <c r="I317" s="144"/>
      <c r="J317" s="145"/>
      <c r="K317" s="138"/>
      <c r="L317" s="146"/>
      <c r="M317" s="127" t="str">
        <f>IF(B317="","",B317/((Settings!$B$7)/100)^2)</f>
        <v/>
      </c>
      <c r="N317" s="25">
        <f>Settings!$B$6</f>
        <v>100</v>
      </c>
      <c r="O317" s="3" t="e">
        <f t="shared" si="24"/>
        <v>#N/A</v>
      </c>
      <c r="P317" s="3" t="e">
        <f t="shared" si="25"/>
        <v>#N/A</v>
      </c>
      <c r="Q317" s="3" t="e">
        <f t="shared" si="26"/>
        <v>#N/A</v>
      </c>
      <c r="R317" s="131">
        <f t="shared" si="27"/>
        <v>46589</v>
      </c>
      <c r="S317" s="3" t="e">
        <f t="shared" si="28"/>
        <v>#N/A</v>
      </c>
      <c r="T317" s="3" t="e">
        <f t="shared" si="29"/>
        <v>#N/A</v>
      </c>
      <c r="U317" s="3">
        <f>Settings!$B$6</f>
        <v>100</v>
      </c>
    </row>
    <row r="318" spans="1:21" ht="18" customHeight="1" x14ac:dyDescent="0.3">
      <c r="A318" s="124">
        <f>A317+1</f>
        <v>46590</v>
      </c>
      <c r="B318" s="137"/>
      <c r="C318" s="126" t="str" cm="1">
        <f t="array" ref="C318">IF(B318="","",B318-IFERROR(LOOKUP(2,1/($B$6:B317&lt;&gt;""),$B$6:B317),Settings!$B$5))</f>
        <v/>
      </c>
      <c r="D318" s="127" t="str">
        <f>IF(B318="","",AVERAGE(B312:B318))</f>
        <v/>
      </c>
      <c r="E318" s="139"/>
      <c r="F318" s="140"/>
      <c r="G318" s="137"/>
      <c r="H318" s="139"/>
      <c r="I318" s="140"/>
      <c r="J318" s="141"/>
      <c r="K318" s="137"/>
      <c r="L318" s="142"/>
      <c r="M318" s="127" t="str">
        <f>IF(B318="","",B318/((Settings!$B$7)/100)^2)</f>
        <v/>
      </c>
      <c r="N318" s="25">
        <f>Settings!$B$6</f>
        <v>100</v>
      </c>
      <c r="O318" s="3" t="e">
        <f t="shared" si="24"/>
        <v>#N/A</v>
      </c>
      <c r="P318" s="3" t="e">
        <f t="shared" si="25"/>
        <v>#N/A</v>
      </c>
      <c r="Q318" s="3" t="e">
        <f t="shared" si="26"/>
        <v>#N/A</v>
      </c>
      <c r="R318" s="131">
        <f t="shared" si="27"/>
        <v>46590</v>
      </c>
      <c r="S318" s="3" t="e">
        <f t="shared" si="28"/>
        <v>#N/A</v>
      </c>
      <c r="T318" s="3" t="e">
        <f t="shared" si="29"/>
        <v>#N/A</v>
      </c>
      <c r="U318" s="3">
        <f>Settings!$B$6</f>
        <v>100</v>
      </c>
    </row>
    <row r="319" spans="1:21" ht="18" customHeight="1" x14ac:dyDescent="0.3">
      <c r="A319" s="132">
        <f>A318+1</f>
        <v>46591</v>
      </c>
      <c r="B319" s="138"/>
      <c r="C319" s="126" t="str" cm="1">
        <f t="array" ref="C319">IF(B319="","",B319-IFERROR(LOOKUP(2,1/($B$6:B318&lt;&gt;""),$B$6:B318),Settings!$B$5))</f>
        <v/>
      </c>
      <c r="D319" s="127" t="str">
        <f>IF(B319="","",AVERAGE(B313:B319))</f>
        <v/>
      </c>
      <c r="E319" s="143"/>
      <c r="F319" s="144"/>
      <c r="G319" s="138"/>
      <c r="H319" s="143"/>
      <c r="I319" s="144"/>
      <c r="J319" s="145"/>
      <c r="K319" s="138"/>
      <c r="L319" s="146"/>
      <c r="M319" s="127" t="str">
        <f>IF(B319="","",B319/((Settings!$B$7)/100)^2)</f>
        <v/>
      </c>
      <c r="N319" s="25">
        <f>Settings!$B$6</f>
        <v>100</v>
      </c>
      <c r="O319" s="3" t="e">
        <f t="shared" si="24"/>
        <v>#N/A</v>
      </c>
      <c r="P319" s="3" t="e">
        <f t="shared" si="25"/>
        <v>#N/A</v>
      </c>
      <c r="Q319" s="3" t="e">
        <f t="shared" si="26"/>
        <v>#N/A</v>
      </c>
      <c r="R319" s="131">
        <f t="shared" si="27"/>
        <v>46591</v>
      </c>
      <c r="S319" s="3" t="e">
        <f t="shared" si="28"/>
        <v>#N/A</v>
      </c>
      <c r="T319" s="3" t="e">
        <f t="shared" si="29"/>
        <v>#N/A</v>
      </c>
      <c r="U319" s="3">
        <f>Settings!$B$6</f>
        <v>100</v>
      </c>
    </row>
    <row r="320" spans="1:21" ht="18" customHeight="1" x14ac:dyDescent="0.3">
      <c r="A320" s="124">
        <f>A319+1</f>
        <v>46592</v>
      </c>
      <c r="B320" s="137"/>
      <c r="C320" s="126" t="str" cm="1">
        <f t="array" ref="C320">IF(B320="","",B320-IFERROR(LOOKUP(2,1/($B$6:B319&lt;&gt;""),$B$6:B319),Settings!$B$5))</f>
        <v/>
      </c>
      <c r="D320" s="127" t="str">
        <f>IF(B320="","",AVERAGE(B314:B320))</f>
        <v/>
      </c>
      <c r="E320" s="139"/>
      <c r="F320" s="140"/>
      <c r="G320" s="137"/>
      <c r="H320" s="139"/>
      <c r="I320" s="140"/>
      <c r="J320" s="141"/>
      <c r="K320" s="137"/>
      <c r="L320" s="142"/>
      <c r="M320" s="127" t="str">
        <f>IF(B320="","",B320/((Settings!$B$7)/100)^2)</f>
        <v/>
      </c>
      <c r="N320" s="25">
        <f>Settings!$B$6</f>
        <v>100</v>
      </c>
      <c r="O320" s="3" t="e">
        <f t="shared" si="24"/>
        <v>#N/A</v>
      </c>
      <c r="P320" s="3" t="e">
        <f t="shared" si="25"/>
        <v>#N/A</v>
      </c>
      <c r="Q320" s="3" t="e">
        <f t="shared" si="26"/>
        <v>#N/A</v>
      </c>
      <c r="R320" s="131">
        <f t="shared" si="27"/>
        <v>46592</v>
      </c>
      <c r="S320" s="3" t="e">
        <f t="shared" si="28"/>
        <v>#N/A</v>
      </c>
      <c r="T320" s="3" t="e">
        <f t="shared" si="29"/>
        <v>#N/A</v>
      </c>
      <c r="U320" s="3">
        <f>Settings!$B$6</f>
        <v>100</v>
      </c>
    </row>
    <row r="321" spans="1:21" ht="18" customHeight="1" x14ac:dyDescent="0.3">
      <c r="A321" s="132">
        <f>A320+1</f>
        <v>46593</v>
      </c>
      <c r="B321" s="138"/>
      <c r="C321" s="126" t="str" cm="1">
        <f t="array" ref="C321">IF(B321="","",B321-IFERROR(LOOKUP(2,1/($B$6:B320&lt;&gt;""),$B$6:B320),Settings!$B$5))</f>
        <v/>
      </c>
      <c r="D321" s="127" t="str">
        <f>IF(B321="","",AVERAGE(B315:B321))</f>
        <v/>
      </c>
      <c r="E321" s="143"/>
      <c r="F321" s="144"/>
      <c r="G321" s="138"/>
      <c r="H321" s="143"/>
      <c r="I321" s="144"/>
      <c r="J321" s="145"/>
      <c r="K321" s="138"/>
      <c r="L321" s="146"/>
      <c r="M321" s="127" t="str">
        <f>IF(B321="","",B321/((Settings!$B$7)/100)^2)</f>
        <v/>
      </c>
      <c r="N321" s="25">
        <f>Settings!$B$6</f>
        <v>100</v>
      </c>
      <c r="O321" s="3" t="e">
        <f t="shared" si="24"/>
        <v>#N/A</v>
      </c>
      <c r="P321" s="3" t="e">
        <f t="shared" si="25"/>
        <v>#N/A</v>
      </c>
      <c r="Q321" s="3" t="e">
        <f t="shared" si="26"/>
        <v>#N/A</v>
      </c>
      <c r="R321" s="131">
        <f t="shared" si="27"/>
        <v>46593</v>
      </c>
      <c r="S321" s="3" t="e">
        <f t="shared" si="28"/>
        <v>#N/A</v>
      </c>
      <c r="T321" s="3" t="e">
        <f t="shared" si="29"/>
        <v>#N/A</v>
      </c>
      <c r="U321" s="3">
        <f>Settings!$B$6</f>
        <v>100</v>
      </c>
    </row>
    <row r="322" spans="1:21" ht="18" customHeight="1" x14ac:dyDescent="0.3">
      <c r="A322" s="124">
        <f>A321+1</f>
        <v>46594</v>
      </c>
      <c r="B322" s="137"/>
      <c r="C322" s="126" t="str" cm="1">
        <f t="array" ref="C322">IF(B322="","",B322-IFERROR(LOOKUP(2,1/($B$6:B321&lt;&gt;""),$B$6:B321),Settings!$B$5))</f>
        <v/>
      </c>
      <c r="D322" s="127" t="str">
        <f>IF(B322="","",AVERAGE(B316:B322))</f>
        <v/>
      </c>
      <c r="E322" s="139"/>
      <c r="F322" s="140"/>
      <c r="G322" s="137"/>
      <c r="H322" s="139"/>
      <c r="I322" s="140"/>
      <c r="J322" s="141"/>
      <c r="K322" s="137"/>
      <c r="L322" s="142"/>
      <c r="M322" s="127" t="str">
        <f>IF(B322="","",B322/((Settings!$B$7)/100)^2)</f>
        <v/>
      </c>
      <c r="N322" s="25">
        <f>Settings!$B$6</f>
        <v>100</v>
      </c>
      <c r="O322" s="3" t="e">
        <f t="shared" si="24"/>
        <v>#N/A</v>
      </c>
      <c r="P322" s="3" t="e">
        <f t="shared" si="25"/>
        <v>#N/A</v>
      </c>
      <c r="Q322" s="3" t="e">
        <f t="shared" si="26"/>
        <v>#N/A</v>
      </c>
      <c r="R322" s="131">
        <f t="shared" si="27"/>
        <v>46594</v>
      </c>
      <c r="S322" s="3" t="e">
        <f t="shared" si="28"/>
        <v>#N/A</v>
      </c>
      <c r="T322" s="3" t="e">
        <f t="shared" si="29"/>
        <v>#N/A</v>
      </c>
      <c r="U322" s="3">
        <f>Settings!$B$6</f>
        <v>100</v>
      </c>
    </row>
    <row r="323" spans="1:21" ht="18" customHeight="1" x14ac:dyDescent="0.3">
      <c r="A323" s="132">
        <f>A322+1</f>
        <v>46595</v>
      </c>
      <c r="B323" s="138"/>
      <c r="C323" s="126" t="str" cm="1">
        <f t="array" ref="C323">IF(B323="","",B323-IFERROR(LOOKUP(2,1/($B$6:B322&lt;&gt;""),$B$6:B322),Settings!$B$5))</f>
        <v/>
      </c>
      <c r="D323" s="127" t="str">
        <f>IF(B323="","",AVERAGE(B317:B323))</f>
        <v/>
      </c>
      <c r="E323" s="143"/>
      <c r="F323" s="144"/>
      <c r="G323" s="138"/>
      <c r="H323" s="143"/>
      <c r="I323" s="144"/>
      <c r="J323" s="145"/>
      <c r="K323" s="138"/>
      <c r="L323" s="146"/>
      <c r="M323" s="127" t="str">
        <f>IF(B323="","",B323/((Settings!$B$7)/100)^2)</f>
        <v/>
      </c>
      <c r="N323" s="25">
        <f>Settings!$B$6</f>
        <v>100</v>
      </c>
      <c r="O323" s="3" t="e">
        <f t="shared" si="24"/>
        <v>#N/A</v>
      </c>
      <c r="P323" s="3" t="e">
        <f t="shared" si="25"/>
        <v>#N/A</v>
      </c>
      <c r="Q323" s="3" t="e">
        <f t="shared" si="26"/>
        <v>#N/A</v>
      </c>
      <c r="R323" s="131">
        <f t="shared" si="27"/>
        <v>46595</v>
      </c>
      <c r="S323" s="3" t="e">
        <f t="shared" si="28"/>
        <v>#N/A</v>
      </c>
      <c r="T323" s="3" t="e">
        <f t="shared" si="29"/>
        <v>#N/A</v>
      </c>
      <c r="U323" s="3">
        <f>Settings!$B$6</f>
        <v>100</v>
      </c>
    </row>
    <row r="324" spans="1:21" ht="18" customHeight="1" x14ac:dyDescent="0.3">
      <c r="A324" s="124">
        <f>A323+1</f>
        <v>46596</v>
      </c>
      <c r="B324" s="137"/>
      <c r="C324" s="126" t="str" cm="1">
        <f t="array" ref="C324">IF(B324="","",B324-IFERROR(LOOKUP(2,1/($B$6:B323&lt;&gt;""),$B$6:B323),Settings!$B$5))</f>
        <v/>
      </c>
      <c r="D324" s="127" t="str">
        <f>IF(B324="","",AVERAGE(B318:B324))</f>
        <v/>
      </c>
      <c r="E324" s="139"/>
      <c r="F324" s="140"/>
      <c r="G324" s="137"/>
      <c r="H324" s="139"/>
      <c r="I324" s="140"/>
      <c r="J324" s="141"/>
      <c r="K324" s="137"/>
      <c r="L324" s="142"/>
      <c r="M324" s="127" t="str">
        <f>IF(B324="","",B324/((Settings!$B$7)/100)^2)</f>
        <v/>
      </c>
      <c r="N324" s="25">
        <f>Settings!$B$6</f>
        <v>100</v>
      </c>
      <c r="O324" s="3" t="e">
        <f t="shared" si="24"/>
        <v>#N/A</v>
      </c>
      <c r="P324" s="3" t="e">
        <f t="shared" si="25"/>
        <v>#N/A</v>
      </c>
      <c r="Q324" s="3" t="e">
        <f t="shared" si="26"/>
        <v>#N/A</v>
      </c>
      <c r="R324" s="131">
        <f t="shared" si="27"/>
        <v>46596</v>
      </c>
      <c r="S324" s="3" t="e">
        <f t="shared" si="28"/>
        <v>#N/A</v>
      </c>
      <c r="T324" s="3" t="e">
        <f t="shared" si="29"/>
        <v>#N/A</v>
      </c>
      <c r="U324" s="3">
        <f>Settings!$B$6</f>
        <v>100</v>
      </c>
    </row>
    <row r="325" spans="1:21" ht="18" customHeight="1" x14ac:dyDescent="0.3">
      <c r="A325" s="132">
        <f>A324+1</f>
        <v>46597</v>
      </c>
      <c r="B325" s="138"/>
      <c r="C325" s="126" t="str" cm="1">
        <f t="array" ref="C325">IF(B325="","",B325-IFERROR(LOOKUP(2,1/($B$6:B324&lt;&gt;""),$B$6:B324),Settings!$B$5))</f>
        <v/>
      </c>
      <c r="D325" s="127" t="str">
        <f>IF(B325="","",AVERAGE(B319:B325))</f>
        <v/>
      </c>
      <c r="E325" s="143"/>
      <c r="F325" s="144"/>
      <c r="G325" s="138"/>
      <c r="H325" s="143"/>
      <c r="I325" s="144"/>
      <c r="J325" s="145"/>
      <c r="K325" s="138"/>
      <c r="L325" s="146"/>
      <c r="M325" s="127" t="str">
        <f>IF(B325="","",B325/((Settings!$B$7)/100)^2)</f>
        <v/>
      </c>
      <c r="N325" s="25">
        <f>Settings!$B$6</f>
        <v>100</v>
      </c>
      <c r="O325" s="3" t="e">
        <f t="shared" si="24"/>
        <v>#N/A</v>
      </c>
      <c r="P325" s="3" t="e">
        <f t="shared" si="25"/>
        <v>#N/A</v>
      </c>
      <c r="Q325" s="3" t="e">
        <f t="shared" si="26"/>
        <v>#N/A</v>
      </c>
      <c r="R325" s="131">
        <f t="shared" si="27"/>
        <v>46597</v>
      </c>
      <c r="S325" s="3" t="e">
        <f t="shared" si="28"/>
        <v>#N/A</v>
      </c>
      <c r="T325" s="3" t="e">
        <f t="shared" si="29"/>
        <v>#N/A</v>
      </c>
      <c r="U325" s="3">
        <f>Settings!$B$6</f>
        <v>100</v>
      </c>
    </row>
    <row r="326" spans="1:21" ht="18" customHeight="1" x14ac:dyDescent="0.3">
      <c r="A326" s="124">
        <f>A325+1</f>
        <v>46598</v>
      </c>
      <c r="B326" s="137"/>
      <c r="C326" s="126" t="str" cm="1">
        <f t="array" ref="C326">IF(B326="","",B326-IFERROR(LOOKUP(2,1/($B$6:B325&lt;&gt;""),$B$6:B325),Settings!$B$5))</f>
        <v/>
      </c>
      <c r="D326" s="127" t="str">
        <f>IF(B326="","",AVERAGE(B320:B326))</f>
        <v/>
      </c>
      <c r="E326" s="139"/>
      <c r="F326" s="140"/>
      <c r="G326" s="137"/>
      <c r="H326" s="139"/>
      <c r="I326" s="140"/>
      <c r="J326" s="141"/>
      <c r="K326" s="137"/>
      <c r="L326" s="142"/>
      <c r="M326" s="127" t="str">
        <f>IF(B326="","",B326/((Settings!$B$7)/100)^2)</f>
        <v/>
      </c>
      <c r="N326" s="25">
        <f>Settings!$B$6</f>
        <v>100</v>
      </c>
      <c r="O326" s="3" t="e">
        <f t="shared" si="24"/>
        <v>#N/A</v>
      </c>
      <c r="P326" s="3" t="e">
        <f t="shared" si="25"/>
        <v>#N/A</v>
      </c>
      <c r="Q326" s="3" t="e">
        <f t="shared" si="26"/>
        <v>#N/A</v>
      </c>
      <c r="R326" s="131">
        <f t="shared" si="27"/>
        <v>46598</v>
      </c>
      <c r="S326" s="3" t="e">
        <f t="shared" si="28"/>
        <v>#N/A</v>
      </c>
      <c r="T326" s="3" t="e">
        <f t="shared" si="29"/>
        <v>#N/A</v>
      </c>
      <c r="U326" s="3">
        <f>Settings!$B$6</f>
        <v>100</v>
      </c>
    </row>
    <row r="327" spans="1:21" ht="18" customHeight="1" x14ac:dyDescent="0.3">
      <c r="A327" s="132">
        <f>A326+1</f>
        <v>46599</v>
      </c>
      <c r="B327" s="138"/>
      <c r="C327" s="126" t="str" cm="1">
        <f t="array" ref="C327">IF(B327="","",B327-IFERROR(LOOKUP(2,1/($B$6:B326&lt;&gt;""),$B$6:B326),Settings!$B$5))</f>
        <v/>
      </c>
      <c r="D327" s="127" t="str">
        <f>IF(B327="","",AVERAGE(B321:B327))</f>
        <v/>
      </c>
      <c r="E327" s="143"/>
      <c r="F327" s="144"/>
      <c r="G327" s="138"/>
      <c r="H327" s="143"/>
      <c r="I327" s="144"/>
      <c r="J327" s="145"/>
      <c r="K327" s="138"/>
      <c r="L327" s="146"/>
      <c r="M327" s="127" t="str">
        <f>IF(B327="","",B327/((Settings!$B$7)/100)^2)</f>
        <v/>
      </c>
      <c r="N327" s="25">
        <f>Settings!$B$6</f>
        <v>100</v>
      </c>
      <c r="O327" s="3" t="e">
        <f t="shared" ref="O327:O390" si="30">IF($B327="",NA(),$B327)</f>
        <v>#N/A</v>
      </c>
      <c r="P327" s="3" t="e">
        <f t="shared" ref="P327:P390" si="31">IF($D327="",NA(),$D327)</f>
        <v>#N/A</v>
      </c>
      <c r="Q327" s="3" t="e">
        <f t="shared" ref="Q327:Q390" si="32">IF($M327="",NA(),$M327)</f>
        <v>#N/A</v>
      </c>
      <c r="R327" s="131">
        <f t="shared" ref="R327:R390" si="33">A327</f>
        <v>46599</v>
      </c>
      <c r="S327" s="3" t="e">
        <f t="shared" ref="S327:S390" si="34">IF($B327="",NA(),$B327)</f>
        <v>#N/A</v>
      </c>
      <c r="T327" s="3" t="e">
        <f t="shared" ref="T327:T390" si="35">IF($D327="",NA(),$D327)</f>
        <v>#N/A</v>
      </c>
      <c r="U327" s="3">
        <f>Settings!$B$6</f>
        <v>100</v>
      </c>
    </row>
    <row r="328" spans="1:21" ht="18" customHeight="1" x14ac:dyDescent="0.3">
      <c r="A328" s="124">
        <f>A327+1</f>
        <v>46600</v>
      </c>
      <c r="B328" s="137"/>
      <c r="C328" s="126" t="str" cm="1">
        <f t="array" ref="C328">IF(B328="","",B328-IFERROR(LOOKUP(2,1/($B$6:B327&lt;&gt;""),$B$6:B327),Settings!$B$5))</f>
        <v/>
      </c>
      <c r="D328" s="127" t="str">
        <f>IF(B328="","",AVERAGE(B322:B328))</f>
        <v/>
      </c>
      <c r="E328" s="139"/>
      <c r="F328" s="140"/>
      <c r="G328" s="137"/>
      <c r="H328" s="139"/>
      <c r="I328" s="140"/>
      <c r="J328" s="141"/>
      <c r="K328" s="137"/>
      <c r="L328" s="142"/>
      <c r="M328" s="127" t="str">
        <f>IF(B328="","",B328/((Settings!$B$7)/100)^2)</f>
        <v/>
      </c>
      <c r="N328" s="25">
        <f>Settings!$B$6</f>
        <v>100</v>
      </c>
      <c r="O328" s="3" t="e">
        <f t="shared" si="30"/>
        <v>#N/A</v>
      </c>
      <c r="P328" s="3" t="e">
        <f t="shared" si="31"/>
        <v>#N/A</v>
      </c>
      <c r="Q328" s="3" t="e">
        <f t="shared" si="32"/>
        <v>#N/A</v>
      </c>
      <c r="R328" s="131">
        <f t="shared" si="33"/>
        <v>46600</v>
      </c>
      <c r="S328" s="3" t="e">
        <f t="shared" si="34"/>
        <v>#N/A</v>
      </c>
      <c r="T328" s="3" t="e">
        <f t="shared" si="35"/>
        <v>#N/A</v>
      </c>
      <c r="U328" s="3">
        <f>Settings!$B$6</f>
        <v>100</v>
      </c>
    </row>
    <row r="329" spans="1:21" ht="18" customHeight="1" x14ac:dyDescent="0.3">
      <c r="A329" s="132">
        <f>A328+1</f>
        <v>46601</v>
      </c>
      <c r="B329" s="138"/>
      <c r="C329" s="126" t="str" cm="1">
        <f t="array" ref="C329">IF(B329="","",B329-IFERROR(LOOKUP(2,1/($B$6:B328&lt;&gt;""),$B$6:B328),Settings!$B$5))</f>
        <v/>
      </c>
      <c r="D329" s="127" t="str">
        <f>IF(B329="","",AVERAGE(B323:B329))</f>
        <v/>
      </c>
      <c r="E329" s="143"/>
      <c r="F329" s="144"/>
      <c r="G329" s="138"/>
      <c r="H329" s="143"/>
      <c r="I329" s="144"/>
      <c r="J329" s="145"/>
      <c r="K329" s="138"/>
      <c r="L329" s="146"/>
      <c r="M329" s="127" t="str">
        <f>IF(B329="","",B329/((Settings!$B$7)/100)^2)</f>
        <v/>
      </c>
      <c r="N329" s="25">
        <f>Settings!$B$6</f>
        <v>100</v>
      </c>
      <c r="O329" s="3" t="e">
        <f t="shared" si="30"/>
        <v>#N/A</v>
      </c>
      <c r="P329" s="3" t="e">
        <f t="shared" si="31"/>
        <v>#N/A</v>
      </c>
      <c r="Q329" s="3" t="e">
        <f t="shared" si="32"/>
        <v>#N/A</v>
      </c>
      <c r="R329" s="131">
        <f t="shared" si="33"/>
        <v>46601</v>
      </c>
      <c r="S329" s="3" t="e">
        <f t="shared" si="34"/>
        <v>#N/A</v>
      </c>
      <c r="T329" s="3" t="e">
        <f t="shared" si="35"/>
        <v>#N/A</v>
      </c>
      <c r="U329" s="3">
        <f>Settings!$B$6</f>
        <v>100</v>
      </c>
    </row>
    <row r="330" spans="1:21" ht="18" customHeight="1" x14ac:dyDescent="0.3">
      <c r="A330" s="124">
        <f>A329+1</f>
        <v>46602</v>
      </c>
      <c r="B330" s="137"/>
      <c r="C330" s="126" t="str" cm="1">
        <f t="array" ref="C330">IF(B330="","",B330-IFERROR(LOOKUP(2,1/($B$6:B329&lt;&gt;""),$B$6:B329),Settings!$B$5))</f>
        <v/>
      </c>
      <c r="D330" s="127" t="str">
        <f>IF(B330="","",AVERAGE(B324:B330))</f>
        <v/>
      </c>
      <c r="E330" s="139"/>
      <c r="F330" s="140"/>
      <c r="G330" s="137"/>
      <c r="H330" s="139"/>
      <c r="I330" s="140"/>
      <c r="J330" s="141"/>
      <c r="K330" s="137"/>
      <c r="L330" s="142"/>
      <c r="M330" s="127" t="str">
        <f>IF(B330="","",B330/((Settings!$B$7)/100)^2)</f>
        <v/>
      </c>
      <c r="N330" s="25">
        <f>Settings!$B$6</f>
        <v>100</v>
      </c>
      <c r="O330" s="3" t="e">
        <f t="shared" si="30"/>
        <v>#N/A</v>
      </c>
      <c r="P330" s="3" t="e">
        <f t="shared" si="31"/>
        <v>#N/A</v>
      </c>
      <c r="Q330" s="3" t="e">
        <f t="shared" si="32"/>
        <v>#N/A</v>
      </c>
      <c r="R330" s="131">
        <f t="shared" si="33"/>
        <v>46602</v>
      </c>
      <c r="S330" s="3" t="e">
        <f t="shared" si="34"/>
        <v>#N/A</v>
      </c>
      <c r="T330" s="3" t="e">
        <f t="shared" si="35"/>
        <v>#N/A</v>
      </c>
      <c r="U330" s="3">
        <f>Settings!$B$6</f>
        <v>100</v>
      </c>
    </row>
    <row r="331" spans="1:21" ht="18" customHeight="1" x14ac:dyDescent="0.3">
      <c r="A331" s="132">
        <f>A330+1</f>
        <v>46603</v>
      </c>
      <c r="B331" s="138"/>
      <c r="C331" s="126" t="str" cm="1">
        <f t="array" ref="C331">IF(B331="","",B331-IFERROR(LOOKUP(2,1/($B$6:B330&lt;&gt;""),$B$6:B330),Settings!$B$5))</f>
        <v/>
      </c>
      <c r="D331" s="127" t="str">
        <f>IF(B331="","",AVERAGE(B325:B331))</f>
        <v/>
      </c>
      <c r="E331" s="143"/>
      <c r="F331" s="144"/>
      <c r="G331" s="138"/>
      <c r="H331" s="143"/>
      <c r="I331" s="144"/>
      <c r="J331" s="145"/>
      <c r="K331" s="138"/>
      <c r="L331" s="146"/>
      <c r="M331" s="127" t="str">
        <f>IF(B331="","",B331/((Settings!$B$7)/100)^2)</f>
        <v/>
      </c>
      <c r="N331" s="25">
        <f>Settings!$B$6</f>
        <v>100</v>
      </c>
      <c r="O331" s="3" t="e">
        <f t="shared" si="30"/>
        <v>#N/A</v>
      </c>
      <c r="P331" s="3" t="e">
        <f t="shared" si="31"/>
        <v>#N/A</v>
      </c>
      <c r="Q331" s="3" t="e">
        <f t="shared" si="32"/>
        <v>#N/A</v>
      </c>
      <c r="R331" s="131">
        <f t="shared" si="33"/>
        <v>46603</v>
      </c>
      <c r="S331" s="3" t="e">
        <f t="shared" si="34"/>
        <v>#N/A</v>
      </c>
      <c r="T331" s="3" t="e">
        <f t="shared" si="35"/>
        <v>#N/A</v>
      </c>
      <c r="U331" s="3">
        <f>Settings!$B$6</f>
        <v>100</v>
      </c>
    </row>
    <row r="332" spans="1:21" ht="18" customHeight="1" x14ac:dyDescent="0.3">
      <c r="A332" s="124">
        <f>A331+1</f>
        <v>46604</v>
      </c>
      <c r="B332" s="137"/>
      <c r="C332" s="126" t="str" cm="1">
        <f t="array" ref="C332">IF(B332="","",B332-IFERROR(LOOKUP(2,1/($B$6:B331&lt;&gt;""),$B$6:B331),Settings!$B$5))</f>
        <v/>
      </c>
      <c r="D332" s="127" t="str">
        <f>IF(B332="","",AVERAGE(B326:B332))</f>
        <v/>
      </c>
      <c r="E332" s="139"/>
      <c r="F332" s="140"/>
      <c r="G332" s="137"/>
      <c r="H332" s="139"/>
      <c r="I332" s="140"/>
      <c r="J332" s="141"/>
      <c r="K332" s="137"/>
      <c r="L332" s="142"/>
      <c r="M332" s="127" t="str">
        <f>IF(B332="","",B332/((Settings!$B$7)/100)^2)</f>
        <v/>
      </c>
      <c r="N332" s="25">
        <f>Settings!$B$6</f>
        <v>100</v>
      </c>
      <c r="O332" s="3" t="e">
        <f t="shared" si="30"/>
        <v>#N/A</v>
      </c>
      <c r="P332" s="3" t="e">
        <f t="shared" si="31"/>
        <v>#N/A</v>
      </c>
      <c r="Q332" s="3" t="e">
        <f t="shared" si="32"/>
        <v>#N/A</v>
      </c>
      <c r="R332" s="131">
        <f t="shared" si="33"/>
        <v>46604</v>
      </c>
      <c r="S332" s="3" t="e">
        <f t="shared" si="34"/>
        <v>#N/A</v>
      </c>
      <c r="T332" s="3" t="e">
        <f t="shared" si="35"/>
        <v>#N/A</v>
      </c>
      <c r="U332" s="3">
        <f>Settings!$B$6</f>
        <v>100</v>
      </c>
    </row>
    <row r="333" spans="1:21" ht="18" customHeight="1" x14ac:dyDescent="0.3">
      <c r="A333" s="132">
        <f>A332+1</f>
        <v>46605</v>
      </c>
      <c r="B333" s="138"/>
      <c r="C333" s="126" t="str" cm="1">
        <f t="array" ref="C333">IF(B333="","",B333-IFERROR(LOOKUP(2,1/($B$6:B332&lt;&gt;""),$B$6:B332),Settings!$B$5))</f>
        <v/>
      </c>
      <c r="D333" s="127" t="str">
        <f>IF(B333="","",AVERAGE(B327:B333))</f>
        <v/>
      </c>
      <c r="E333" s="143"/>
      <c r="F333" s="144"/>
      <c r="G333" s="138"/>
      <c r="H333" s="143"/>
      <c r="I333" s="144"/>
      <c r="J333" s="145"/>
      <c r="K333" s="138"/>
      <c r="L333" s="146"/>
      <c r="M333" s="127" t="str">
        <f>IF(B333="","",B333/((Settings!$B$7)/100)^2)</f>
        <v/>
      </c>
      <c r="N333" s="25">
        <f>Settings!$B$6</f>
        <v>100</v>
      </c>
      <c r="O333" s="3" t="e">
        <f t="shared" si="30"/>
        <v>#N/A</v>
      </c>
      <c r="P333" s="3" t="e">
        <f t="shared" si="31"/>
        <v>#N/A</v>
      </c>
      <c r="Q333" s="3" t="e">
        <f t="shared" si="32"/>
        <v>#N/A</v>
      </c>
      <c r="R333" s="131">
        <f t="shared" si="33"/>
        <v>46605</v>
      </c>
      <c r="S333" s="3" t="e">
        <f t="shared" si="34"/>
        <v>#N/A</v>
      </c>
      <c r="T333" s="3" t="e">
        <f t="shared" si="35"/>
        <v>#N/A</v>
      </c>
      <c r="U333" s="3">
        <f>Settings!$B$6</f>
        <v>100</v>
      </c>
    </row>
    <row r="334" spans="1:21" ht="18" customHeight="1" x14ac:dyDescent="0.3">
      <c r="A334" s="124">
        <f>A333+1</f>
        <v>46606</v>
      </c>
      <c r="B334" s="137"/>
      <c r="C334" s="126" t="str" cm="1">
        <f t="array" ref="C334">IF(B334="","",B334-IFERROR(LOOKUP(2,1/($B$6:B333&lt;&gt;""),$B$6:B333),Settings!$B$5))</f>
        <v/>
      </c>
      <c r="D334" s="127" t="str">
        <f>IF(B334="","",AVERAGE(B328:B334))</f>
        <v/>
      </c>
      <c r="E334" s="139"/>
      <c r="F334" s="140"/>
      <c r="G334" s="137"/>
      <c r="H334" s="139"/>
      <c r="I334" s="140"/>
      <c r="J334" s="141"/>
      <c r="K334" s="137"/>
      <c r="L334" s="142"/>
      <c r="M334" s="127" t="str">
        <f>IF(B334="","",B334/((Settings!$B$7)/100)^2)</f>
        <v/>
      </c>
      <c r="N334" s="25">
        <f>Settings!$B$6</f>
        <v>100</v>
      </c>
      <c r="O334" s="3" t="e">
        <f t="shared" si="30"/>
        <v>#N/A</v>
      </c>
      <c r="P334" s="3" t="e">
        <f t="shared" si="31"/>
        <v>#N/A</v>
      </c>
      <c r="Q334" s="3" t="e">
        <f t="shared" si="32"/>
        <v>#N/A</v>
      </c>
      <c r="R334" s="131">
        <f t="shared" si="33"/>
        <v>46606</v>
      </c>
      <c r="S334" s="3" t="e">
        <f t="shared" si="34"/>
        <v>#N/A</v>
      </c>
      <c r="T334" s="3" t="e">
        <f t="shared" si="35"/>
        <v>#N/A</v>
      </c>
      <c r="U334" s="3">
        <f>Settings!$B$6</f>
        <v>100</v>
      </c>
    </row>
    <row r="335" spans="1:21" ht="18" customHeight="1" x14ac:dyDescent="0.3">
      <c r="A335" s="132">
        <f>A334+1</f>
        <v>46607</v>
      </c>
      <c r="B335" s="138"/>
      <c r="C335" s="126" t="str" cm="1">
        <f t="array" ref="C335">IF(B335="","",B335-IFERROR(LOOKUP(2,1/($B$6:B334&lt;&gt;""),$B$6:B334),Settings!$B$5))</f>
        <v/>
      </c>
      <c r="D335" s="127" t="str">
        <f>IF(B335="","",AVERAGE(B329:B335))</f>
        <v/>
      </c>
      <c r="E335" s="143"/>
      <c r="F335" s="144"/>
      <c r="G335" s="138"/>
      <c r="H335" s="143"/>
      <c r="I335" s="144"/>
      <c r="J335" s="145"/>
      <c r="K335" s="138"/>
      <c r="L335" s="146"/>
      <c r="M335" s="127" t="str">
        <f>IF(B335="","",B335/((Settings!$B$7)/100)^2)</f>
        <v/>
      </c>
      <c r="N335" s="25">
        <f>Settings!$B$6</f>
        <v>100</v>
      </c>
      <c r="O335" s="3" t="e">
        <f t="shared" si="30"/>
        <v>#N/A</v>
      </c>
      <c r="P335" s="3" t="e">
        <f t="shared" si="31"/>
        <v>#N/A</v>
      </c>
      <c r="Q335" s="3" t="e">
        <f t="shared" si="32"/>
        <v>#N/A</v>
      </c>
      <c r="R335" s="131">
        <f t="shared" si="33"/>
        <v>46607</v>
      </c>
      <c r="S335" s="3" t="e">
        <f t="shared" si="34"/>
        <v>#N/A</v>
      </c>
      <c r="T335" s="3" t="e">
        <f t="shared" si="35"/>
        <v>#N/A</v>
      </c>
      <c r="U335" s="3">
        <f>Settings!$B$6</f>
        <v>100</v>
      </c>
    </row>
    <row r="336" spans="1:21" ht="18" customHeight="1" x14ac:dyDescent="0.3">
      <c r="A336" s="124">
        <f>A335+1</f>
        <v>46608</v>
      </c>
      <c r="B336" s="137"/>
      <c r="C336" s="126" t="str" cm="1">
        <f t="array" ref="C336">IF(B336="","",B336-IFERROR(LOOKUP(2,1/($B$6:B335&lt;&gt;""),$B$6:B335),Settings!$B$5))</f>
        <v/>
      </c>
      <c r="D336" s="127" t="str">
        <f>IF(B336="","",AVERAGE(B330:B336))</f>
        <v/>
      </c>
      <c r="E336" s="139"/>
      <c r="F336" s="140"/>
      <c r="G336" s="137"/>
      <c r="H336" s="139"/>
      <c r="I336" s="140"/>
      <c r="J336" s="141"/>
      <c r="K336" s="137"/>
      <c r="L336" s="142"/>
      <c r="M336" s="127" t="str">
        <f>IF(B336="","",B336/((Settings!$B$7)/100)^2)</f>
        <v/>
      </c>
      <c r="N336" s="25">
        <f>Settings!$B$6</f>
        <v>100</v>
      </c>
      <c r="O336" s="3" t="e">
        <f t="shared" si="30"/>
        <v>#N/A</v>
      </c>
      <c r="P336" s="3" t="e">
        <f t="shared" si="31"/>
        <v>#N/A</v>
      </c>
      <c r="Q336" s="3" t="e">
        <f t="shared" si="32"/>
        <v>#N/A</v>
      </c>
      <c r="R336" s="131">
        <f t="shared" si="33"/>
        <v>46608</v>
      </c>
      <c r="S336" s="3" t="e">
        <f t="shared" si="34"/>
        <v>#N/A</v>
      </c>
      <c r="T336" s="3" t="e">
        <f t="shared" si="35"/>
        <v>#N/A</v>
      </c>
      <c r="U336" s="3">
        <f>Settings!$B$6</f>
        <v>100</v>
      </c>
    </row>
    <row r="337" spans="1:21" ht="18" customHeight="1" x14ac:dyDescent="0.3">
      <c r="A337" s="132">
        <f>A336+1</f>
        <v>46609</v>
      </c>
      <c r="B337" s="138"/>
      <c r="C337" s="126" t="str" cm="1">
        <f t="array" ref="C337">IF(B337="","",B337-IFERROR(LOOKUP(2,1/($B$6:B336&lt;&gt;""),$B$6:B336),Settings!$B$5))</f>
        <v/>
      </c>
      <c r="D337" s="127" t="str">
        <f>IF(B337="","",AVERAGE(B331:B337))</f>
        <v/>
      </c>
      <c r="E337" s="143"/>
      <c r="F337" s="144"/>
      <c r="G337" s="138"/>
      <c r="H337" s="143"/>
      <c r="I337" s="144"/>
      <c r="J337" s="145"/>
      <c r="K337" s="138"/>
      <c r="L337" s="146"/>
      <c r="M337" s="127" t="str">
        <f>IF(B337="","",B337/((Settings!$B$7)/100)^2)</f>
        <v/>
      </c>
      <c r="N337" s="25">
        <f>Settings!$B$6</f>
        <v>100</v>
      </c>
      <c r="O337" s="3" t="e">
        <f t="shared" si="30"/>
        <v>#N/A</v>
      </c>
      <c r="P337" s="3" t="e">
        <f t="shared" si="31"/>
        <v>#N/A</v>
      </c>
      <c r="Q337" s="3" t="e">
        <f t="shared" si="32"/>
        <v>#N/A</v>
      </c>
      <c r="R337" s="131">
        <f t="shared" si="33"/>
        <v>46609</v>
      </c>
      <c r="S337" s="3" t="e">
        <f t="shared" si="34"/>
        <v>#N/A</v>
      </c>
      <c r="T337" s="3" t="e">
        <f t="shared" si="35"/>
        <v>#N/A</v>
      </c>
      <c r="U337" s="3">
        <f>Settings!$B$6</f>
        <v>100</v>
      </c>
    </row>
    <row r="338" spans="1:21" ht="18" customHeight="1" x14ac:dyDescent="0.3">
      <c r="A338" s="124">
        <f>A337+1</f>
        <v>46610</v>
      </c>
      <c r="B338" s="137"/>
      <c r="C338" s="126" t="str" cm="1">
        <f t="array" ref="C338">IF(B338="","",B338-IFERROR(LOOKUP(2,1/($B$6:B337&lt;&gt;""),$B$6:B337),Settings!$B$5))</f>
        <v/>
      </c>
      <c r="D338" s="127" t="str">
        <f>IF(B338="","",AVERAGE(B332:B338))</f>
        <v/>
      </c>
      <c r="E338" s="139"/>
      <c r="F338" s="140"/>
      <c r="G338" s="137"/>
      <c r="H338" s="139"/>
      <c r="I338" s="140"/>
      <c r="J338" s="141"/>
      <c r="K338" s="137"/>
      <c r="L338" s="142"/>
      <c r="M338" s="127" t="str">
        <f>IF(B338="","",B338/((Settings!$B$7)/100)^2)</f>
        <v/>
      </c>
      <c r="N338" s="25">
        <f>Settings!$B$6</f>
        <v>100</v>
      </c>
      <c r="O338" s="3" t="e">
        <f t="shared" si="30"/>
        <v>#N/A</v>
      </c>
      <c r="P338" s="3" t="e">
        <f t="shared" si="31"/>
        <v>#N/A</v>
      </c>
      <c r="Q338" s="3" t="e">
        <f t="shared" si="32"/>
        <v>#N/A</v>
      </c>
      <c r="R338" s="131">
        <f t="shared" si="33"/>
        <v>46610</v>
      </c>
      <c r="S338" s="3" t="e">
        <f t="shared" si="34"/>
        <v>#N/A</v>
      </c>
      <c r="T338" s="3" t="e">
        <f t="shared" si="35"/>
        <v>#N/A</v>
      </c>
      <c r="U338" s="3">
        <f>Settings!$B$6</f>
        <v>100</v>
      </c>
    </row>
    <row r="339" spans="1:21" ht="18" customHeight="1" x14ac:dyDescent="0.3">
      <c r="A339" s="132">
        <f>A338+1</f>
        <v>46611</v>
      </c>
      <c r="B339" s="138"/>
      <c r="C339" s="126" t="str" cm="1">
        <f t="array" ref="C339">IF(B339="","",B339-IFERROR(LOOKUP(2,1/($B$6:B338&lt;&gt;""),$B$6:B338),Settings!$B$5))</f>
        <v/>
      </c>
      <c r="D339" s="127" t="str">
        <f>IF(B339="","",AVERAGE(B333:B339))</f>
        <v/>
      </c>
      <c r="E339" s="143"/>
      <c r="F339" s="144"/>
      <c r="G339" s="138"/>
      <c r="H339" s="143"/>
      <c r="I339" s="144"/>
      <c r="J339" s="145"/>
      <c r="K339" s="138"/>
      <c r="L339" s="146"/>
      <c r="M339" s="127" t="str">
        <f>IF(B339="","",B339/((Settings!$B$7)/100)^2)</f>
        <v/>
      </c>
      <c r="N339" s="25">
        <f>Settings!$B$6</f>
        <v>100</v>
      </c>
      <c r="O339" s="3" t="e">
        <f t="shared" si="30"/>
        <v>#N/A</v>
      </c>
      <c r="P339" s="3" t="e">
        <f t="shared" si="31"/>
        <v>#N/A</v>
      </c>
      <c r="Q339" s="3" t="e">
        <f t="shared" si="32"/>
        <v>#N/A</v>
      </c>
      <c r="R339" s="131">
        <f t="shared" si="33"/>
        <v>46611</v>
      </c>
      <c r="S339" s="3" t="e">
        <f t="shared" si="34"/>
        <v>#N/A</v>
      </c>
      <c r="T339" s="3" t="e">
        <f t="shared" si="35"/>
        <v>#N/A</v>
      </c>
      <c r="U339" s="3">
        <f>Settings!$B$6</f>
        <v>100</v>
      </c>
    </row>
    <row r="340" spans="1:21" ht="18" customHeight="1" x14ac:dyDescent="0.3">
      <c r="A340" s="124">
        <f>A339+1</f>
        <v>46612</v>
      </c>
      <c r="B340" s="137"/>
      <c r="C340" s="126" t="str" cm="1">
        <f t="array" ref="C340">IF(B340="","",B340-IFERROR(LOOKUP(2,1/($B$6:B339&lt;&gt;""),$B$6:B339),Settings!$B$5))</f>
        <v/>
      </c>
      <c r="D340" s="127" t="str">
        <f>IF(B340="","",AVERAGE(B334:B340))</f>
        <v/>
      </c>
      <c r="E340" s="139"/>
      <c r="F340" s="140"/>
      <c r="G340" s="137"/>
      <c r="H340" s="139"/>
      <c r="I340" s="140"/>
      <c r="J340" s="141"/>
      <c r="K340" s="137"/>
      <c r="L340" s="142"/>
      <c r="M340" s="127" t="str">
        <f>IF(B340="","",B340/((Settings!$B$7)/100)^2)</f>
        <v/>
      </c>
      <c r="N340" s="25">
        <f>Settings!$B$6</f>
        <v>100</v>
      </c>
      <c r="O340" s="3" t="e">
        <f t="shared" si="30"/>
        <v>#N/A</v>
      </c>
      <c r="P340" s="3" t="e">
        <f t="shared" si="31"/>
        <v>#N/A</v>
      </c>
      <c r="Q340" s="3" t="e">
        <f t="shared" si="32"/>
        <v>#N/A</v>
      </c>
      <c r="R340" s="131">
        <f t="shared" si="33"/>
        <v>46612</v>
      </c>
      <c r="S340" s="3" t="e">
        <f t="shared" si="34"/>
        <v>#N/A</v>
      </c>
      <c r="T340" s="3" t="e">
        <f t="shared" si="35"/>
        <v>#N/A</v>
      </c>
      <c r="U340" s="3">
        <f>Settings!$B$6</f>
        <v>100</v>
      </c>
    </row>
    <row r="341" spans="1:21" ht="18" customHeight="1" x14ac:dyDescent="0.3">
      <c r="A341" s="132">
        <f>A340+1</f>
        <v>46613</v>
      </c>
      <c r="B341" s="138"/>
      <c r="C341" s="126" t="str" cm="1">
        <f t="array" ref="C341">IF(B341="","",B341-IFERROR(LOOKUP(2,1/($B$6:B340&lt;&gt;""),$B$6:B340),Settings!$B$5))</f>
        <v/>
      </c>
      <c r="D341" s="127" t="str">
        <f>IF(B341="","",AVERAGE(B335:B341))</f>
        <v/>
      </c>
      <c r="E341" s="143"/>
      <c r="F341" s="144"/>
      <c r="G341" s="138"/>
      <c r="H341" s="143"/>
      <c r="I341" s="144"/>
      <c r="J341" s="145"/>
      <c r="K341" s="138"/>
      <c r="L341" s="146"/>
      <c r="M341" s="127" t="str">
        <f>IF(B341="","",B341/((Settings!$B$7)/100)^2)</f>
        <v/>
      </c>
      <c r="N341" s="25">
        <f>Settings!$B$6</f>
        <v>100</v>
      </c>
      <c r="O341" s="3" t="e">
        <f t="shared" si="30"/>
        <v>#N/A</v>
      </c>
      <c r="P341" s="3" t="e">
        <f t="shared" si="31"/>
        <v>#N/A</v>
      </c>
      <c r="Q341" s="3" t="e">
        <f t="shared" si="32"/>
        <v>#N/A</v>
      </c>
      <c r="R341" s="131">
        <f t="shared" si="33"/>
        <v>46613</v>
      </c>
      <c r="S341" s="3" t="e">
        <f t="shared" si="34"/>
        <v>#N/A</v>
      </c>
      <c r="T341" s="3" t="e">
        <f t="shared" si="35"/>
        <v>#N/A</v>
      </c>
      <c r="U341" s="3">
        <f>Settings!$B$6</f>
        <v>100</v>
      </c>
    </row>
    <row r="342" spans="1:21" ht="18" customHeight="1" x14ac:dyDescent="0.3">
      <c r="A342" s="124">
        <f>A341+1</f>
        <v>46614</v>
      </c>
      <c r="B342" s="137"/>
      <c r="C342" s="126" t="str" cm="1">
        <f t="array" ref="C342">IF(B342="","",B342-IFERROR(LOOKUP(2,1/($B$6:B341&lt;&gt;""),$B$6:B341),Settings!$B$5))</f>
        <v/>
      </c>
      <c r="D342" s="127" t="str">
        <f>IF(B342="","",AVERAGE(B336:B342))</f>
        <v/>
      </c>
      <c r="E342" s="139"/>
      <c r="F342" s="140"/>
      <c r="G342" s="137"/>
      <c r="H342" s="139"/>
      <c r="I342" s="140"/>
      <c r="J342" s="141"/>
      <c r="K342" s="137"/>
      <c r="L342" s="142"/>
      <c r="M342" s="127" t="str">
        <f>IF(B342="","",B342/((Settings!$B$7)/100)^2)</f>
        <v/>
      </c>
      <c r="N342" s="25">
        <f>Settings!$B$6</f>
        <v>100</v>
      </c>
      <c r="O342" s="3" t="e">
        <f t="shared" si="30"/>
        <v>#N/A</v>
      </c>
      <c r="P342" s="3" t="e">
        <f t="shared" si="31"/>
        <v>#N/A</v>
      </c>
      <c r="Q342" s="3" t="e">
        <f t="shared" si="32"/>
        <v>#N/A</v>
      </c>
      <c r="R342" s="131">
        <f t="shared" si="33"/>
        <v>46614</v>
      </c>
      <c r="S342" s="3" t="e">
        <f t="shared" si="34"/>
        <v>#N/A</v>
      </c>
      <c r="T342" s="3" t="e">
        <f t="shared" si="35"/>
        <v>#N/A</v>
      </c>
      <c r="U342" s="3">
        <f>Settings!$B$6</f>
        <v>100</v>
      </c>
    </row>
    <row r="343" spans="1:21" ht="18" customHeight="1" x14ac:dyDescent="0.3">
      <c r="A343" s="132">
        <f>A342+1</f>
        <v>46615</v>
      </c>
      <c r="B343" s="138"/>
      <c r="C343" s="126" t="str" cm="1">
        <f t="array" ref="C343">IF(B343="","",B343-IFERROR(LOOKUP(2,1/($B$6:B342&lt;&gt;""),$B$6:B342),Settings!$B$5))</f>
        <v/>
      </c>
      <c r="D343" s="127" t="str">
        <f>IF(B343="","",AVERAGE(B337:B343))</f>
        <v/>
      </c>
      <c r="E343" s="143"/>
      <c r="F343" s="144"/>
      <c r="G343" s="138"/>
      <c r="H343" s="143"/>
      <c r="I343" s="144"/>
      <c r="J343" s="145"/>
      <c r="K343" s="138"/>
      <c r="L343" s="146"/>
      <c r="M343" s="127" t="str">
        <f>IF(B343="","",B343/((Settings!$B$7)/100)^2)</f>
        <v/>
      </c>
      <c r="N343" s="25">
        <f>Settings!$B$6</f>
        <v>100</v>
      </c>
      <c r="O343" s="3" t="e">
        <f t="shared" si="30"/>
        <v>#N/A</v>
      </c>
      <c r="P343" s="3" t="e">
        <f t="shared" si="31"/>
        <v>#N/A</v>
      </c>
      <c r="Q343" s="3" t="e">
        <f t="shared" si="32"/>
        <v>#N/A</v>
      </c>
      <c r="R343" s="131">
        <f t="shared" si="33"/>
        <v>46615</v>
      </c>
      <c r="S343" s="3" t="e">
        <f t="shared" si="34"/>
        <v>#N/A</v>
      </c>
      <c r="T343" s="3" t="e">
        <f t="shared" si="35"/>
        <v>#N/A</v>
      </c>
      <c r="U343" s="3">
        <f>Settings!$B$6</f>
        <v>100</v>
      </c>
    </row>
    <row r="344" spans="1:21" ht="18" customHeight="1" x14ac:dyDescent="0.3">
      <c r="A344" s="124">
        <f>A343+1</f>
        <v>46616</v>
      </c>
      <c r="B344" s="137"/>
      <c r="C344" s="126" t="str" cm="1">
        <f t="array" ref="C344">IF(B344="","",B344-IFERROR(LOOKUP(2,1/($B$6:B343&lt;&gt;""),$B$6:B343),Settings!$B$5))</f>
        <v/>
      </c>
      <c r="D344" s="127" t="str">
        <f>IF(B344="","",AVERAGE(B338:B344))</f>
        <v/>
      </c>
      <c r="E344" s="139"/>
      <c r="F344" s="140"/>
      <c r="G344" s="137"/>
      <c r="H344" s="139"/>
      <c r="I344" s="140"/>
      <c r="J344" s="141"/>
      <c r="K344" s="137"/>
      <c r="L344" s="142"/>
      <c r="M344" s="127" t="str">
        <f>IF(B344="","",B344/((Settings!$B$7)/100)^2)</f>
        <v/>
      </c>
      <c r="N344" s="25">
        <f>Settings!$B$6</f>
        <v>100</v>
      </c>
      <c r="O344" s="3" t="e">
        <f t="shared" si="30"/>
        <v>#N/A</v>
      </c>
      <c r="P344" s="3" t="e">
        <f t="shared" si="31"/>
        <v>#N/A</v>
      </c>
      <c r="Q344" s="3" t="e">
        <f t="shared" si="32"/>
        <v>#N/A</v>
      </c>
      <c r="R344" s="131">
        <f t="shared" si="33"/>
        <v>46616</v>
      </c>
      <c r="S344" s="3" t="e">
        <f t="shared" si="34"/>
        <v>#N/A</v>
      </c>
      <c r="T344" s="3" t="e">
        <f t="shared" si="35"/>
        <v>#N/A</v>
      </c>
      <c r="U344" s="3">
        <f>Settings!$B$6</f>
        <v>100</v>
      </c>
    </row>
    <row r="345" spans="1:21" ht="18" customHeight="1" x14ac:dyDescent="0.3">
      <c r="A345" s="132">
        <f>A344+1</f>
        <v>46617</v>
      </c>
      <c r="B345" s="138"/>
      <c r="C345" s="126" t="str" cm="1">
        <f t="array" ref="C345">IF(B345="","",B345-IFERROR(LOOKUP(2,1/($B$6:B344&lt;&gt;""),$B$6:B344),Settings!$B$5))</f>
        <v/>
      </c>
      <c r="D345" s="127" t="str">
        <f>IF(B345="","",AVERAGE(B339:B345))</f>
        <v/>
      </c>
      <c r="E345" s="143"/>
      <c r="F345" s="144"/>
      <c r="G345" s="138"/>
      <c r="H345" s="143"/>
      <c r="I345" s="144"/>
      <c r="J345" s="145"/>
      <c r="K345" s="138"/>
      <c r="L345" s="146"/>
      <c r="M345" s="127" t="str">
        <f>IF(B345="","",B345/((Settings!$B$7)/100)^2)</f>
        <v/>
      </c>
      <c r="N345" s="25">
        <f>Settings!$B$6</f>
        <v>100</v>
      </c>
      <c r="O345" s="3" t="e">
        <f t="shared" si="30"/>
        <v>#N/A</v>
      </c>
      <c r="P345" s="3" t="e">
        <f t="shared" si="31"/>
        <v>#N/A</v>
      </c>
      <c r="Q345" s="3" t="e">
        <f t="shared" si="32"/>
        <v>#N/A</v>
      </c>
      <c r="R345" s="131">
        <f t="shared" si="33"/>
        <v>46617</v>
      </c>
      <c r="S345" s="3" t="e">
        <f t="shared" si="34"/>
        <v>#N/A</v>
      </c>
      <c r="T345" s="3" t="e">
        <f t="shared" si="35"/>
        <v>#N/A</v>
      </c>
      <c r="U345" s="3">
        <f>Settings!$B$6</f>
        <v>100</v>
      </c>
    </row>
    <row r="346" spans="1:21" ht="18" customHeight="1" x14ac:dyDescent="0.3">
      <c r="A346" s="124">
        <f>A345+1</f>
        <v>46618</v>
      </c>
      <c r="B346" s="137"/>
      <c r="C346" s="126" t="str" cm="1">
        <f t="array" ref="C346">IF(B346="","",B346-IFERROR(LOOKUP(2,1/($B$6:B345&lt;&gt;""),$B$6:B345),Settings!$B$5))</f>
        <v/>
      </c>
      <c r="D346" s="127" t="str">
        <f>IF(B346="","",AVERAGE(B340:B346))</f>
        <v/>
      </c>
      <c r="E346" s="139"/>
      <c r="F346" s="140"/>
      <c r="G346" s="137"/>
      <c r="H346" s="139"/>
      <c r="I346" s="140"/>
      <c r="J346" s="141"/>
      <c r="K346" s="137"/>
      <c r="L346" s="142"/>
      <c r="M346" s="127" t="str">
        <f>IF(B346="","",B346/((Settings!$B$7)/100)^2)</f>
        <v/>
      </c>
      <c r="N346" s="25">
        <f>Settings!$B$6</f>
        <v>100</v>
      </c>
      <c r="O346" s="3" t="e">
        <f t="shared" si="30"/>
        <v>#N/A</v>
      </c>
      <c r="P346" s="3" t="e">
        <f t="shared" si="31"/>
        <v>#N/A</v>
      </c>
      <c r="Q346" s="3" t="e">
        <f t="shared" si="32"/>
        <v>#N/A</v>
      </c>
      <c r="R346" s="131">
        <f t="shared" si="33"/>
        <v>46618</v>
      </c>
      <c r="S346" s="3" t="e">
        <f t="shared" si="34"/>
        <v>#N/A</v>
      </c>
      <c r="T346" s="3" t="e">
        <f t="shared" si="35"/>
        <v>#N/A</v>
      </c>
      <c r="U346" s="3">
        <f>Settings!$B$6</f>
        <v>100</v>
      </c>
    </row>
    <row r="347" spans="1:21" ht="18" customHeight="1" x14ac:dyDescent="0.3">
      <c r="A347" s="132">
        <f>A346+1</f>
        <v>46619</v>
      </c>
      <c r="B347" s="138"/>
      <c r="C347" s="126" t="str" cm="1">
        <f t="array" ref="C347">IF(B347="","",B347-IFERROR(LOOKUP(2,1/($B$6:B346&lt;&gt;""),$B$6:B346),Settings!$B$5))</f>
        <v/>
      </c>
      <c r="D347" s="127" t="str">
        <f>IF(B347="","",AVERAGE(B341:B347))</f>
        <v/>
      </c>
      <c r="E347" s="143"/>
      <c r="F347" s="144"/>
      <c r="G347" s="138"/>
      <c r="H347" s="143"/>
      <c r="I347" s="144"/>
      <c r="J347" s="145"/>
      <c r="K347" s="138"/>
      <c r="L347" s="146"/>
      <c r="M347" s="127" t="str">
        <f>IF(B347="","",B347/((Settings!$B$7)/100)^2)</f>
        <v/>
      </c>
      <c r="N347" s="25">
        <f>Settings!$B$6</f>
        <v>100</v>
      </c>
      <c r="O347" s="3" t="e">
        <f t="shared" si="30"/>
        <v>#N/A</v>
      </c>
      <c r="P347" s="3" t="e">
        <f t="shared" si="31"/>
        <v>#N/A</v>
      </c>
      <c r="Q347" s="3" t="e">
        <f t="shared" si="32"/>
        <v>#N/A</v>
      </c>
      <c r="R347" s="131">
        <f t="shared" si="33"/>
        <v>46619</v>
      </c>
      <c r="S347" s="3" t="e">
        <f t="shared" si="34"/>
        <v>#N/A</v>
      </c>
      <c r="T347" s="3" t="e">
        <f t="shared" si="35"/>
        <v>#N/A</v>
      </c>
      <c r="U347" s="3">
        <f>Settings!$B$6</f>
        <v>100</v>
      </c>
    </row>
    <row r="348" spans="1:21" ht="18" customHeight="1" x14ac:dyDescent="0.3">
      <c r="A348" s="124">
        <f>A347+1</f>
        <v>46620</v>
      </c>
      <c r="B348" s="137"/>
      <c r="C348" s="126" t="str" cm="1">
        <f t="array" ref="C348">IF(B348="","",B348-IFERROR(LOOKUP(2,1/($B$6:B347&lt;&gt;""),$B$6:B347),Settings!$B$5))</f>
        <v/>
      </c>
      <c r="D348" s="127" t="str">
        <f>IF(B348="","",AVERAGE(B342:B348))</f>
        <v/>
      </c>
      <c r="E348" s="139"/>
      <c r="F348" s="140"/>
      <c r="G348" s="137"/>
      <c r="H348" s="139"/>
      <c r="I348" s="140"/>
      <c r="J348" s="141"/>
      <c r="K348" s="137"/>
      <c r="L348" s="142"/>
      <c r="M348" s="127" t="str">
        <f>IF(B348="","",B348/((Settings!$B$7)/100)^2)</f>
        <v/>
      </c>
      <c r="N348" s="25">
        <f>Settings!$B$6</f>
        <v>100</v>
      </c>
      <c r="O348" s="3" t="e">
        <f t="shared" si="30"/>
        <v>#N/A</v>
      </c>
      <c r="P348" s="3" t="e">
        <f t="shared" si="31"/>
        <v>#N/A</v>
      </c>
      <c r="Q348" s="3" t="e">
        <f t="shared" si="32"/>
        <v>#N/A</v>
      </c>
      <c r="R348" s="131">
        <f t="shared" si="33"/>
        <v>46620</v>
      </c>
      <c r="S348" s="3" t="e">
        <f t="shared" si="34"/>
        <v>#N/A</v>
      </c>
      <c r="T348" s="3" t="e">
        <f t="shared" si="35"/>
        <v>#N/A</v>
      </c>
      <c r="U348" s="3">
        <f>Settings!$B$6</f>
        <v>100</v>
      </c>
    </row>
    <row r="349" spans="1:21" ht="18" customHeight="1" x14ac:dyDescent="0.3">
      <c r="A349" s="132">
        <f>A348+1</f>
        <v>46621</v>
      </c>
      <c r="B349" s="138"/>
      <c r="C349" s="126" t="str" cm="1">
        <f t="array" ref="C349">IF(B349="","",B349-IFERROR(LOOKUP(2,1/($B$6:B348&lt;&gt;""),$B$6:B348),Settings!$B$5))</f>
        <v/>
      </c>
      <c r="D349" s="127" t="str">
        <f>IF(B349="","",AVERAGE(B343:B349))</f>
        <v/>
      </c>
      <c r="E349" s="143"/>
      <c r="F349" s="144"/>
      <c r="G349" s="138"/>
      <c r="H349" s="143"/>
      <c r="I349" s="144"/>
      <c r="J349" s="145"/>
      <c r="K349" s="138"/>
      <c r="L349" s="146"/>
      <c r="M349" s="127" t="str">
        <f>IF(B349="","",B349/((Settings!$B$7)/100)^2)</f>
        <v/>
      </c>
      <c r="N349" s="25">
        <f>Settings!$B$6</f>
        <v>100</v>
      </c>
      <c r="O349" s="3" t="e">
        <f t="shared" si="30"/>
        <v>#N/A</v>
      </c>
      <c r="P349" s="3" t="e">
        <f t="shared" si="31"/>
        <v>#N/A</v>
      </c>
      <c r="Q349" s="3" t="e">
        <f t="shared" si="32"/>
        <v>#N/A</v>
      </c>
      <c r="R349" s="131">
        <f t="shared" si="33"/>
        <v>46621</v>
      </c>
      <c r="S349" s="3" t="e">
        <f t="shared" si="34"/>
        <v>#N/A</v>
      </c>
      <c r="T349" s="3" t="e">
        <f t="shared" si="35"/>
        <v>#N/A</v>
      </c>
      <c r="U349" s="3">
        <f>Settings!$B$6</f>
        <v>100</v>
      </c>
    </row>
    <row r="350" spans="1:21" ht="18" customHeight="1" x14ac:dyDescent="0.3">
      <c r="A350" s="124">
        <f>A349+1</f>
        <v>46622</v>
      </c>
      <c r="B350" s="137"/>
      <c r="C350" s="126" t="str" cm="1">
        <f t="array" ref="C350">IF(B350="","",B350-IFERROR(LOOKUP(2,1/($B$6:B349&lt;&gt;""),$B$6:B349),Settings!$B$5))</f>
        <v/>
      </c>
      <c r="D350" s="127" t="str">
        <f>IF(B350="","",AVERAGE(B344:B350))</f>
        <v/>
      </c>
      <c r="E350" s="139"/>
      <c r="F350" s="140"/>
      <c r="G350" s="137"/>
      <c r="H350" s="139"/>
      <c r="I350" s="140"/>
      <c r="J350" s="141"/>
      <c r="K350" s="137"/>
      <c r="L350" s="142"/>
      <c r="M350" s="127" t="str">
        <f>IF(B350="","",B350/((Settings!$B$7)/100)^2)</f>
        <v/>
      </c>
      <c r="N350" s="25">
        <f>Settings!$B$6</f>
        <v>100</v>
      </c>
      <c r="O350" s="3" t="e">
        <f t="shared" si="30"/>
        <v>#N/A</v>
      </c>
      <c r="P350" s="3" t="e">
        <f t="shared" si="31"/>
        <v>#N/A</v>
      </c>
      <c r="Q350" s="3" t="e">
        <f t="shared" si="32"/>
        <v>#N/A</v>
      </c>
      <c r="R350" s="131">
        <f t="shared" si="33"/>
        <v>46622</v>
      </c>
      <c r="S350" s="3" t="e">
        <f t="shared" si="34"/>
        <v>#N/A</v>
      </c>
      <c r="T350" s="3" t="e">
        <f t="shared" si="35"/>
        <v>#N/A</v>
      </c>
      <c r="U350" s="3">
        <f>Settings!$B$6</f>
        <v>100</v>
      </c>
    </row>
    <row r="351" spans="1:21" ht="18" customHeight="1" x14ac:dyDescent="0.3">
      <c r="A351" s="132">
        <f>A350+1</f>
        <v>46623</v>
      </c>
      <c r="B351" s="138"/>
      <c r="C351" s="126" t="str" cm="1">
        <f t="array" ref="C351">IF(B351="","",B351-IFERROR(LOOKUP(2,1/($B$6:B350&lt;&gt;""),$B$6:B350),Settings!$B$5))</f>
        <v/>
      </c>
      <c r="D351" s="127" t="str">
        <f>IF(B351="","",AVERAGE(B345:B351))</f>
        <v/>
      </c>
      <c r="E351" s="143"/>
      <c r="F351" s="144"/>
      <c r="G351" s="138"/>
      <c r="H351" s="143"/>
      <c r="I351" s="144"/>
      <c r="J351" s="145"/>
      <c r="K351" s="138"/>
      <c r="L351" s="146"/>
      <c r="M351" s="127" t="str">
        <f>IF(B351="","",B351/((Settings!$B$7)/100)^2)</f>
        <v/>
      </c>
      <c r="N351" s="25">
        <f>Settings!$B$6</f>
        <v>100</v>
      </c>
      <c r="O351" s="3" t="e">
        <f t="shared" si="30"/>
        <v>#N/A</v>
      </c>
      <c r="P351" s="3" t="e">
        <f t="shared" si="31"/>
        <v>#N/A</v>
      </c>
      <c r="Q351" s="3" t="e">
        <f t="shared" si="32"/>
        <v>#N/A</v>
      </c>
      <c r="R351" s="131">
        <f t="shared" si="33"/>
        <v>46623</v>
      </c>
      <c r="S351" s="3" t="e">
        <f t="shared" si="34"/>
        <v>#N/A</v>
      </c>
      <c r="T351" s="3" t="e">
        <f t="shared" si="35"/>
        <v>#N/A</v>
      </c>
      <c r="U351" s="3">
        <f>Settings!$B$6</f>
        <v>100</v>
      </c>
    </row>
    <row r="352" spans="1:21" ht="18" customHeight="1" x14ac:dyDescent="0.3">
      <c r="A352" s="124">
        <f>A351+1</f>
        <v>46624</v>
      </c>
      <c r="B352" s="137"/>
      <c r="C352" s="126" t="str" cm="1">
        <f t="array" ref="C352">IF(B352="","",B352-IFERROR(LOOKUP(2,1/($B$6:B351&lt;&gt;""),$B$6:B351),Settings!$B$5))</f>
        <v/>
      </c>
      <c r="D352" s="127" t="str">
        <f>IF(B352="","",AVERAGE(B346:B352))</f>
        <v/>
      </c>
      <c r="E352" s="139"/>
      <c r="F352" s="140"/>
      <c r="G352" s="137"/>
      <c r="H352" s="139"/>
      <c r="I352" s="140"/>
      <c r="J352" s="141"/>
      <c r="K352" s="137"/>
      <c r="L352" s="142"/>
      <c r="M352" s="127" t="str">
        <f>IF(B352="","",B352/((Settings!$B$7)/100)^2)</f>
        <v/>
      </c>
      <c r="N352" s="25">
        <f>Settings!$B$6</f>
        <v>100</v>
      </c>
      <c r="O352" s="3" t="e">
        <f t="shared" si="30"/>
        <v>#N/A</v>
      </c>
      <c r="P352" s="3" t="e">
        <f t="shared" si="31"/>
        <v>#N/A</v>
      </c>
      <c r="Q352" s="3" t="e">
        <f t="shared" si="32"/>
        <v>#N/A</v>
      </c>
      <c r="R352" s="131">
        <f t="shared" si="33"/>
        <v>46624</v>
      </c>
      <c r="S352" s="3" t="e">
        <f t="shared" si="34"/>
        <v>#N/A</v>
      </c>
      <c r="T352" s="3" t="e">
        <f t="shared" si="35"/>
        <v>#N/A</v>
      </c>
      <c r="U352" s="3">
        <f>Settings!$B$6</f>
        <v>100</v>
      </c>
    </row>
    <row r="353" spans="1:21" ht="18" customHeight="1" x14ac:dyDescent="0.3">
      <c r="A353" s="132">
        <f>A352+1</f>
        <v>46625</v>
      </c>
      <c r="B353" s="138"/>
      <c r="C353" s="126" t="str" cm="1">
        <f t="array" ref="C353">IF(B353="","",B353-IFERROR(LOOKUP(2,1/($B$6:B352&lt;&gt;""),$B$6:B352),Settings!$B$5))</f>
        <v/>
      </c>
      <c r="D353" s="127" t="str">
        <f>IF(B353="","",AVERAGE(B347:B353))</f>
        <v/>
      </c>
      <c r="E353" s="143"/>
      <c r="F353" s="144"/>
      <c r="G353" s="138"/>
      <c r="H353" s="143"/>
      <c r="I353" s="144"/>
      <c r="J353" s="145"/>
      <c r="K353" s="138"/>
      <c r="L353" s="146"/>
      <c r="M353" s="127" t="str">
        <f>IF(B353="","",B353/((Settings!$B$7)/100)^2)</f>
        <v/>
      </c>
      <c r="N353" s="25">
        <f>Settings!$B$6</f>
        <v>100</v>
      </c>
      <c r="O353" s="3" t="e">
        <f t="shared" si="30"/>
        <v>#N/A</v>
      </c>
      <c r="P353" s="3" t="e">
        <f t="shared" si="31"/>
        <v>#N/A</v>
      </c>
      <c r="Q353" s="3" t="e">
        <f t="shared" si="32"/>
        <v>#N/A</v>
      </c>
      <c r="R353" s="131">
        <f t="shared" si="33"/>
        <v>46625</v>
      </c>
      <c r="S353" s="3" t="e">
        <f t="shared" si="34"/>
        <v>#N/A</v>
      </c>
      <c r="T353" s="3" t="e">
        <f t="shared" si="35"/>
        <v>#N/A</v>
      </c>
      <c r="U353" s="3">
        <f>Settings!$B$6</f>
        <v>100</v>
      </c>
    </row>
    <row r="354" spans="1:21" ht="18" customHeight="1" x14ac:dyDescent="0.3">
      <c r="A354" s="124">
        <f>A353+1</f>
        <v>46626</v>
      </c>
      <c r="B354" s="137"/>
      <c r="C354" s="126" t="str" cm="1">
        <f t="array" ref="C354">IF(B354="","",B354-IFERROR(LOOKUP(2,1/($B$6:B353&lt;&gt;""),$B$6:B353),Settings!$B$5))</f>
        <v/>
      </c>
      <c r="D354" s="127" t="str">
        <f>IF(B354="","",AVERAGE(B348:B354))</f>
        <v/>
      </c>
      <c r="E354" s="139"/>
      <c r="F354" s="140"/>
      <c r="G354" s="137"/>
      <c r="H354" s="139"/>
      <c r="I354" s="140"/>
      <c r="J354" s="141"/>
      <c r="K354" s="137"/>
      <c r="L354" s="142"/>
      <c r="M354" s="127" t="str">
        <f>IF(B354="","",B354/((Settings!$B$7)/100)^2)</f>
        <v/>
      </c>
      <c r="N354" s="25">
        <f>Settings!$B$6</f>
        <v>100</v>
      </c>
      <c r="O354" s="3" t="e">
        <f t="shared" si="30"/>
        <v>#N/A</v>
      </c>
      <c r="P354" s="3" t="e">
        <f t="shared" si="31"/>
        <v>#N/A</v>
      </c>
      <c r="Q354" s="3" t="e">
        <f t="shared" si="32"/>
        <v>#N/A</v>
      </c>
      <c r="R354" s="131">
        <f t="shared" si="33"/>
        <v>46626</v>
      </c>
      <c r="S354" s="3" t="e">
        <f t="shared" si="34"/>
        <v>#N/A</v>
      </c>
      <c r="T354" s="3" t="e">
        <f t="shared" si="35"/>
        <v>#N/A</v>
      </c>
      <c r="U354" s="3">
        <f>Settings!$B$6</f>
        <v>100</v>
      </c>
    </row>
    <row r="355" spans="1:21" ht="18" customHeight="1" x14ac:dyDescent="0.3">
      <c r="A355" s="132">
        <f>A354+1</f>
        <v>46627</v>
      </c>
      <c r="B355" s="138"/>
      <c r="C355" s="126" t="str" cm="1">
        <f t="array" ref="C355">IF(B355="","",B355-IFERROR(LOOKUP(2,1/($B$6:B354&lt;&gt;""),$B$6:B354),Settings!$B$5))</f>
        <v/>
      </c>
      <c r="D355" s="127" t="str">
        <f>IF(B355="","",AVERAGE(B349:B355))</f>
        <v/>
      </c>
      <c r="E355" s="143"/>
      <c r="F355" s="144"/>
      <c r="G355" s="138"/>
      <c r="H355" s="143"/>
      <c r="I355" s="144"/>
      <c r="J355" s="145"/>
      <c r="K355" s="138"/>
      <c r="L355" s="146"/>
      <c r="M355" s="127" t="str">
        <f>IF(B355="","",B355/((Settings!$B$7)/100)^2)</f>
        <v/>
      </c>
      <c r="N355" s="25">
        <f>Settings!$B$6</f>
        <v>100</v>
      </c>
      <c r="O355" s="3" t="e">
        <f t="shared" si="30"/>
        <v>#N/A</v>
      </c>
      <c r="P355" s="3" t="e">
        <f t="shared" si="31"/>
        <v>#N/A</v>
      </c>
      <c r="Q355" s="3" t="e">
        <f t="shared" si="32"/>
        <v>#N/A</v>
      </c>
      <c r="R355" s="131">
        <f t="shared" si="33"/>
        <v>46627</v>
      </c>
      <c r="S355" s="3" t="e">
        <f t="shared" si="34"/>
        <v>#N/A</v>
      </c>
      <c r="T355" s="3" t="e">
        <f t="shared" si="35"/>
        <v>#N/A</v>
      </c>
      <c r="U355" s="3">
        <f>Settings!$B$6</f>
        <v>100</v>
      </c>
    </row>
    <row r="356" spans="1:21" ht="18" customHeight="1" x14ac:dyDescent="0.3">
      <c r="A356" s="124">
        <f>A355+1</f>
        <v>46628</v>
      </c>
      <c r="B356" s="137"/>
      <c r="C356" s="126" t="str" cm="1">
        <f t="array" ref="C356">IF(B356="","",B356-IFERROR(LOOKUP(2,1/($B$6:B355&lt;&gt;""),$B$6:B355),Settings!$B$5))</f>
        <v/>
      </c>
      <c r="D356" s="127" t="str">
        <f>IF(B356="","",AVERAGE(B350:B356))</f>
        <v/>
      </c>
      <c r="E356" s="139"/>
      <c r="F356" s="140"/>
      <c r="G356" s="137"/>
      <c r="H356" s="139"/>
      <c r="I356" s="140"/>
      <c r="J356" s="141"/>
      <c r="K356" s="137"/>
      <c r="L356" s="142"/>
      <c r="M356" s="127" t="str">
        <f>IF(B356="","",B356/((Settings!$B$7)/100)^2)</f>
        <v/>
      </c>
      <c r="N356" s="25">
        <f>Settings!$B$6</f>
        <v>100</v>
      </c>
      <c r="O356" s="3" t="e">
        <f t="shared" si="30"/>
        <v>#N/A</v>
      </c>
      <c r="P356" s="3" t="e">
        <f t="shared" si="31"/>
        <v>#N/A</v>
      </c>
      <c r="Q356" s="3" t="e">
        <f t="shared" si="32"/>
        <v>#N/A</v>
      </c>
      <c r="R356" s="131">
        <f t="shared" si="33"/>
        <v>46628</v>
      </c>
      <c r="S356" s="3" t="e">
        <f t="shared" si="34"/>
        <v>#N/A</v>
      </c>
      <c r="T356" s="3" t="e">
        <f t="shared" si="35"/>
        <v>#N/A</v>
      </c>
      <c r="U356" s="3">
        <f>Settings!$B$6</f>
        <v>100</v>
      </c>
    </row>
    <row r="357" spans="1:21" ht="18" customHeight="1" x14ac:dyDescent="0.3">
      <c r="A357" s="132">
        <f>A356+1</f>
        <v>46629</v>
      </c>
      <c r="B357" s="138"/>
      <c r="C357" s="126" t="str" cm="1">
        <f t="array" ref="C357">IF(B357="","",B357-IFERROR(LOOKUP(2,1/($B$6:B356&lt;&gt;""),$B$6:B356),Settings!$B$5))</f>
        <v/>
      </c>
      <c r="D357" s="127" t="str">
        <f>IF(B357="","",AVERAGE(B351:B357))</f>
        <v/>
      </c>
      <c r="E357" s="143"/>
      <c r="F357" s="144"/>
      <c r="G357" s="138"/>
      <c r="H357" s="143"/>
      <c r="I357" s="144"/>
      <c r="J357" s="145"/>
      <c r="K357" s="138"/>
      <c r="L357" s="146"/>
      <c r="M357" s="127" t="str">
        <f>IF(B357="","",B357/((Settings!$B$7)/100)^2)</f>
        <v/>
      </c>
      <c r="N357" s="25">
        <f>Settings!$B$6</f>
        <v>100</v>
      </c>
      <c r="O357" s="3" t="e">
        <f t="shared" si="30"/>
        <v>#N/A</v>
      </c>
      <c r="P357" s="3" t="e">
        <f t="shared" si="31"/>
        <v>#N/A</v>
      </c>
      <c r="Q357" s="3" t="e">
        <f t="shared" si="32"/>
        <v>#N/A</v>
      </c>
      <c r="R357" s="131">
        <f t="shared" si="33"/>
        <v>46629</v>
      </c>
      <c r="S357" s="3" t="e">
        <f t="shared" si="34"/>
        <v>#N/A</v>
      </c>
      <c r="T357" s="3" t="e">
        <f t="shared" si="35"/>
        <v>#N/A</v>
      </c>
      <c r="U357" s="3">
        <f>Settings!$B$6</f>
        <v>100</v>
      </c>
    </row>
    <row r="358" spans="1:21" ht="18" customHeight="1" x14ac:dyDescent="0.3">
      <c r="A358" s="124">
        <f>A357+1</f>
        <v>46630</v>
      </c>
      <c r="B358" s="137"/>
      <c r="C358" s="126" t="str" cm="1">
        <f t="array" ref="C358">IF(B358="","",B358-IFERROR(LOOKUP(2,1/($B$6:B357&lt;&gt;""),$B$6:B357),Settings!$B$5))</f>
        <v/>
      </c>
      <c r="D358" s="127" t="str">
        <f>IF(B358="","",AVERAGE(B352:B358))</f>
        <v/>
      </c>
      <c r="E358" s="139"/>
      <c r="F358" s="140"/>
      <c r="G358" s="137"/>
      <c r="H358" s="139"/>
      <c r="I358" s="140"/>
      <c r="J358" s="141"/>
      <c r="K358" s="137"/>
      <c r="L358" s="142"/>
      <c r="M358" s="127" t="str">
        <f>IF(B358="","",B358/((Settings!$B$7)/100)^2)</f>
        <v/>
      </c>
      <c r="N358" s="25">
        <f>Settings!$B$6</f>
        <v>100</v>
      </c>
      <c r="O358" s="3" t="e">
        <f t="shared" si="30"/>
        <v>#N/A</v>
      </c>
      <c r="P358" s="3" t="e">
        <f t="shared" si="31"/>
        <v>#N/A</v>
      </c>
      <c r="Q358" s="3" t="e">
        <f t="shared" si="32"/>
        <v>#N/A</v>
      </c>
      <c r="R358" s="131">
        <f t="shared" si="33"/>
        <v>46630</v>
      </c>
      <c r="S358" s="3" t="e">
        <f t="shared" si="34"/>
        <v>#N/A</v>
      </c>
      <c r="T358" s="3" t="e">
        <f t="shared" si="35"/>
        <v>#N/A</v>
      </c>
      <c r="U358" s="3">
        <f>Settings!$B$6</f>
        <v>100</v>
      </c>
    </row>
    <row r="359" spans="1:21" ht="18" customHeight="1" x14ac:dyDescent="0.3">
      <c r="A359" s="132">
        <f>A358+1</f>
        <v>46631</v>
      </c>
      <c r="B359" s="138"/>
      <c r="C359" s="126" t="str" cm="1">
        <f t="array" ref="C359">IF(B359="","",B359-IFERROR(LOOKUP(2,1/($B$6:B358&lt;&gt;""),$B$6:B358),Settings!$B$5))</f>
        <v/>
      </c>
      <c r="D359" s="127" t="str">
        <f>IF(B359="","",AVERAGE(B353:B359))</f>
        <v/>
      </c>
      <c r="E359" s="143"/>
      <c r="F359" s="144"/>
      <c r="G359" s="138"/>
      <c r="H359" s="143"/>
      <c r="I359" s="144"/>
      <c r="J359" s="145"/>
      <c r="K359" s="138"/>
      <c r="L359" s="146"/>
      <c r="M359" s="127" t="str">
        <f>IF(B359="","",B359/((Settings!$B$7)/100)^2)</f>
        <v/>
      </c>
      <c r="N359" s="25">
        <f>Settings!$B$6</f>
        <v>100</v>
      </c>
      <c r="O359" s="3" t="e">
        <f t="shared" si="30"/>
        <v>#N/A</v>
      </c>
      <c r="P359" s="3" t="e">
        <f t="shared" si="31"/>
        <v>#N/A</v>
      </c>
      <c r="Q359" s="3" t="e">
        <f t="shared" si="32"/>
        <v>#N/A</v>
      </c>
      <c r="R359" s="131">
        <f t="shared" si="33"/>
        <v>46631</v>
      </c>
      <c r="S359" s="3" t="e">
        <f t="shared" si="34"/>
        <v>#N/A</v>
      </c>
      <c r="T359" s="3" t="e">
        <f t="shared" si="35"/>
        <v>#N/A</v>
      </c>
      <c r="U359" s="3">
        <f>Settings!$B$6</f>
        <v>100</v>
      </c>
    </row>
    <row r="360" spans="1:21" ht="18" customHeight="1" x14ac:dyDescent="0.3">
      <c r="A360" s="124">
        <f>A359+1</f>
        <v>46632</v>
      </c>
      <c r="B360" s="137"/>
      <c r="C360" s="126" t="str" cm="1">
        <f t="array" ref="C360">IF(B360="","",B360-IFERROR(LOOKUP(2,1/($B$6:B359&lt;&gt;""),$B$6:B359),Settings!$B$5))</f>
        <v/>
      </c>
      <c r="D360" s="127" t="str">
        <f>IF(B360="","",AVERAGE(B354:B360))</f>
        <v/>
      </c>
      <c r="E360" s="139"/>
      <c r="F360" s="140"/>
      <c r="G360" s="137"/>
      <c r="H360" s="139"/>
      <c r="I360" s="140"/>
      <c r="J360" s="141"/>
      <c r="K360" s="137"/>
      <c r="L360" s="142"/>
      <c r="M360" s="127" t="str">
        <f>IF(B360="","",B360/((Settings!$B$7)/100)^2)</f>
        <v/>
      </c>
      <c r="N360" s="25">
        <f>Settings!$B$6</f>
        <v>100</v>
      </c>
      <c r="O360" s="3" t="e">
        <f t="shared" si="30"/>
        <v>#N/A</v>
      </c>
      <c r="P360" s="3" t="e">
        <f t="shared" si="31"/>
        <v>#N/A</v>
      </c>
      <c r="Q360" s="3" t="e">
        <f t="shared" si="32"/>
        <v>#N/A</v>
      </c>
      <c r="R360" s="131">
        <f t="shared" si="33"/>
        <v>46632</v>
      </c>
      <c r="S360" s="3" t="e">
        <f t="shared" si="34"/>
        <v>#N/A</v>
      </c>
      <c r="T360" s="3" t="e">
        <f t="shared" si="35"/>
        <v>#N/A</v>
      </c>
      <c r="U360" s="3">
        <f>Settings!$B$6</f>
        <v>100</v>
      </c>
    </row>
    <row r="361" spans="1:21" ht="18" customHeight="1" x14ac:dyDescent="0.3">
      <c r="A361" s="132">
        <f>A360+1</f>
        <v>46633</v>
      </c>
      <c r="B361" s="138"/>
      <c r="C361" s="126" t="str" cm="1">
        <f t="array" ref="C361">IF(B361="","",B361-IFERROR(LOOKUP(2,1/($B$6:B360&lt;&gt;""),$B$6:B360),Settings!$B$5))</f>
        <v/>
      </c>
      <c r="D361" s="127" t="str">
        <f>IF(B361="","",AVERAGE(B355:B361))</f>
        <v/>
      </c>
      <c r="E361" s="143"/>
      <c r="F361" s="144"/>
      <c r="G361" s="138"/>
      <c r="H361" s="143"/>
      <c r="I361" s="144"/>
      <c r="J361" s="145"/>
      <c r="K361" s="138"/>
      <c r="L361" s="146"/>
      <c r="M361" s="127" t="str">
        <f>IF(B361="","",B361/((Settings!$B$7)/100)^2)</f>
        <v/>
      </c>
      <c r="N361" s="25">
        <f>Settings!$B$6</f>
        <v>100</v>
      </c>
      <c r="O361" s="3" t="e">
        <f t="shared" si="30"/>
        <v>#N/A</v>
      </c>
      <c r="P361" s="3" t="e">
        <f t="shared" si="31"/>
        <v>#N/A</v>
      </c>
      <c r="Q361" s="3" t="e">
        <f t="shared" si="32"/>
        <v>#N/A</v>
      </c>
      <c r="R361" s="131">
        <f t="shared" si="33"/>
        <v>46633</v>
      </c>
      <c r="S361" s="3" t="e">
        <f t="shared" si="34"/>
        <v>#N/A</v>
      </c>
      <c r="T361" s="3" t="e">
        <f t="shared" si="35"/>
        <v>#N/A</v>
      </c>
      <c r="U361" s="3">
        <f>Settings!$B$6</f>
        <v>100</v>
      </c>
    </row>
    <row r="362" spans="1:21" ht="18" customHeight="1" x14ac:dyDescent="0.3">
      <c r="A362" s="124">
        <f>A361+1</f>
        <v>46634</v>
      </c>
      <c r="B362" s="137"/>
      <c r="C362" s="126" t="str" cm="1">
        <f t="array" ref="C362">IF(B362="","",B362-IFERROR(LOOKUP(2,1/($B$6:B361&lt;&gt;""),$B$6:B361),Settings!$B$5))</f>
        <v/>
      </c>
      <c r="D362" s="127" t="str">
        <f>IF(B362="","",AVERAGE(B356:B362))</f>
        <v/>
      </c>
      <c r="E362" s="139"/>
      <c r="F362" s="140"/>
      <c r="G362" s="137"/>
      <c r="H362" s="139"/>
      <c r="I362" s="140"/>
      <c r="J362" s="141"/>
      <c r="K362" s="137"/>
      <c r="L362" s="142"/>
      <c r="M362" s="127" t="str">
        <f>IF(B362="","",B362/((Settings!$B$7)/100)^2)</f>
        <v/>
      </c>
      <c r="N362" s="25">
        <f>Settings!$B$6</f>
        <v>100</v>
      </c>
      <c r="O362" s="3" t="e">
        <f t="shared" si="30"/>
        <v>#N/A</v>
      </c>
      <c r="P362" s="3" t="e">
        <f t="shared" si="31"/>
        <v>#N/A</v>
      </c>
      <c r="Q362" s="3" t="e">
        <f t="shared" si="32"/>
        <v>#N/A</v>
      </c>
      <c r="R362" s="131">
        <f t="shared" si="33"/>
        <v>46634</v>
      </c>
      <c r="S362" s="3" t="e">
        <f t="shared" si="34"/>
        <v>#N/A</v>
      </c>
      <c r="T362" s="3" t="e">
        <f t="shared" si="35"/>
        <v>#N/A</v>
      </c>
      <c r="U362" s="3">
        <f>Settings!$B$6</f>
        <v>100</v>
      </c>
    </row>
    <row r="363" spans="1:21" ht="18" customHeight="1" x14ac:dyDescent="0.3">
      <c r="A363" s="132">
        <f>A362+1</f>
        <v>46635</v>
      </c>
      <c r="B363" s="138"/>
      <c r="C363" s="126" t="str" cm="1">
        <f t="array" ref="C363">IF(B363="","",B363-IFERROR(LOOKUP(2,1/($B$6:B362&lt;&gt;""),$B$6:B362),Settings!$B$5))</f>
        <v/>
      </c>
      <c r="D363" s="127" t="str">
        <f>IF(B363="","",AVERAGE(B357:B363))</f>
        <v/>
      </c>
      <c r="E363" s="143"/>
      <c r="F363" s="144"/>
      <c r="G363" s="138"/>
      <c r="H363" s="143"/>
      <c r="I363" s="144"/>
      <c r="J363" s="145"/>
      <c r="K363" s="138"/>
      <c r="L363" s="146"/>
      <c r="M363" s="127" t="str">
        <f>IF(B363="","",B363/((Settings!$B$7)/100)^2)</f>
        <v/>
      </c>
      <c r="N363" s="25">
        <f>Settings!$B$6</f>
        <v>100</v>
      </c>
      <c r="O363" s="3" t="e">
        <f t="shared" si="30"/>
        <v>#N/A</v>
      </c>
      <c r="P363" s="3" t="e">
        <f t="shared" si="31"/>
        <v>#N/A</v>
      </c>
      <c r="Q363" s="3" t="e">
        <f t="shared" si="32"/>
        <v>#N/A</v>
      </c>
      <c r="R363" s="131">
        <f t="shared" si="33"/>
        <v>46635</v>
      </c>
      <c r="S363" s="3" t="e">
        <f t="shared" si="34"/>
        <v>#N/A</v>
      </c>
      <c r="T363" s="3" t="e">
        <f t="shared" si="35"/>
        <v>#N/A</v>
      </c>
      <c r="U363" s="3">
        <f>Settings!$B$6</f>
        <v>100</v>
      </c>
    </row>
    <row r="364" spans="1:21" ht="18" customHeight="1" x14ac:dyDescent="0.3">
      <c r="A364" s="124">
        <f>A363+1</f>
        <v>46636</v>
      </c>
      <c r="B364" s="137"/>
      <c r="C364" s="126" t="str" cm="1">
        <f t="array" ref="C364">IF(B364="","",B364-IFERROR(LOOKUP(2,1/($B$6:B363&lt;&gt;""),$B$6:B363),Settings!$B$5))</f>
        <v/>
      </c>
      <c r="D364" s="127" t="str">
        <f>IF(B364="","",AVERAGE(B358:B364))</f>
        <v/>
      </c>
      <c r="E364" s="139"/>
      <c r="F364" s="140"/>
      <c r="G364" s="137"/>
      <c r="H364" s="139"/>
      <c r="I364" s="140"/>
      <c r="J364" s="141"/>
      <c r="K364" s="137"/>
      <c r="L364" s="142"/>
      <c r="M364" s="127" t="str">
        <f>IF(B364="","",B364/((Settings!$B$7)/100)^2)</f>
        <v/>
      </c>
      <c r="N364" s="25">
        <f>Settings!$B$6</f>
        <v>100</v>
      </c>
      <c r="O364" s="3" t="e">
        <f t="shared" si="30"/>
        <v>#N/A</v>
      </c>
      <c r="P364" s="3" t="e">
        <f t="shared" si="31"/>
        <v>#N/A</v>
      </c>
      <c r="Q364" s="3" t="e">
        <f t="shared" si="32"/>
        <v>#N/A</v>
      </c>
      <c r="R364" s="131">
        <f t="shared" si="33"/>
        <v>46636</v>
      </c>
      <c r="S364" s="3" t="e">
        <f t="shared" si="34"/>
        <v>#N/A</v>
      </c>
      <c r="T364" s="3" t="e">
        <f t="shared" si="35"/>
        <v>#N/A</v>
      </c>
      <c r="U364" s="3">
        <f>Settings!$B$6</f>
        <v>100</v>
      </c>
    </row>
    <row r="365" spans="1:21" ht="18" customHeight="1" x14ac:dyDescent="0.3">
      <c r="A365" s="132">
        <f>A364+1</f>
        <v>46637</v>
      </c>
      <c r="B365" s="138"/>
      <c r="C365" s="126" t="str" cm="1">
        <f t="array" ref="C365">IF(B365="","",B365-IFERROR(LOOKUP(2,1/($B$6:B364&lt;&gt;""),$B$6:B364),Settings!$B$5))</f>
        <v/>
      </c>
      <c r="D365" s="127" t="str">
        <f>IF(B365="","",AVERAGE(B359:B365))</f>
        <v/>
      </c>
      <c r="E365" s="143"/>
      <c r="F365" s="144"/>
      <c r="G365" s="138"/>
      <c r="H365" s="143"/>
      <c r="I365" s="144"/>
      <c r="J365" s="145"/>
      <c r="K365" s="138"/>
      <c r="L365" s="146"/>
      <c r="M365" s="127" t="str">
        <f>IF(B365="","",B365/((Settings!$B$7)/100)^2)</f>
        <v/>
      </c>
      <c r="N365" s="25">
        <f>Settings!$B$6</f>
        <v>100</v>
      </c>
      <c r="O365" s="3" t="e">
        <f t="shared" si="30"/>
        <v>#N/A</v>
      </c>
      <c r="P365" s="3" t="e">
        <f t="shared" si="31"/>
        <v>#N/A</v>
      </c>
      <c r="Q365" s="3" t="e">
        <f t="shared" si="32"/>
        <v>#N/A</v>
      </c>
      <c r="R365" s="131">
        <f t="shared" si="33"/>
        <v>46637</v>
      </c>
      <c r="S365" s="3" t="e">
        <f t="shared" si="34"/>
        <v>#N/A</v>
      </c>
      <c r="T365" s="3" t="e">
        <f t="shared" si="35"/>
        <v>#N/A</v>
      </c>
      <c r="U365" s="3">
        <f>Settings!$B$6</f>
        <v>100</v>
      </c>
    </row>
    <row r="366" spans="1:21" ht="18" customHeight="1" x14ac:dyDescent="0.3">
      <c r="A366" s="124">
        <f>A365+1</f>
        <v>46638</v>
      </c>
      <c r="B366" s="137"/>
      <c r="C366" s="126" t="str" cm="1">
        <f t="array" ref="C366">IF(B366="","",B366-IFERROR(LOOKUP(2,1/($B$6:B365&lt;&gt;""),$B$6:B365),Settings!$B$5))</f>
        <v/>
      </c>
      <c r="D366" s="127" t="str">
        <f>IF(B366="","",AVERAGE(B360:B366))</f>
        <v/>
      </c>
      <c r="E366" s="139"/>
      <c r="F366" s="140"/>
      <c r="G366" s="137"/>
      <c r="H366" s="139"/>
      <c r="I366" s="140"/>
      <c r="J366" s="141"/>
      <c r="K366" s="137"/>
      <c r="L366" s="142"/>
      <c r="M366" s="127" t="str">
        <f>IF(B366="","",B366/((Settings!$B$7)/100)^2)</f>
        <v/>
      </c>
      <c r="N366" s="25">
        <f>Settings!$B$6</f>
        <v>100</v>
      </c>
      <c r="O366" s="3" t="e">
        <f t="shared" si="30"/>
        <v>#N/A</v>
      </c>
      <c r="P366" s="3" t="e">
        <f t="shared" si="31"/>
        <v>#N/A</v>
      </c>
      <c r="Q366" s="3" t="e">
        <f t="shared" si="32"/>
        <v>#N/A</v>
      </c>
      <c r="R366" s="131">
        <f t="shared" si="33"/>
        <v>46638</v>
      </c>
      <c r="S366" s="3" t="e">
        <f t="shared" si="34"/>
        <v>#N/A</v>
      </c>
      <c r="T366" s="3" t="e">
        <f t="shared" si="35"/>
        <v>#N/A</v>
      </c>
      <c r="U366" s="3">
        <f>Settings!$B$6</f>
        <v>100</v>
      </c>
    </row>
    <row r="367" spans="1:21" ht="18" customHeight="1" x14ac:dyDescent="0.3">
      <c r="A367" s="132">
        <f>A366+1</f>
        <v>46639</v>
      </c>
      <c r="B367" s="138"/>
      <c r="C367" s="126" t="str" cm="1">
        <f t="array" ref="C367">IF(B367="","",B367-IFERROR(LOOKUP(2,1/($B$6:B366&lt;&gt;""),$B$6:B366),Settings!$B$5))</f>
        <v/>
      </c>
      <c r="D367" s="127" t="str">
        <f>IF(B367="","",AVERAGE(B361:B367))</f>
        <v/>
      </c>
      <c r="E367" s="143"/>
      <c r="F367" s="144"/>
      <c r="G367" s="138"/>
      <c r="H367" s="143"/>
      <c r="I367" s="144"/>
      <c r="J367" s="145"/>
      <c r="K367" s="138"/>
      <c r="L367" s="146"/>
      <c r="M367" s="127" t="str">
        <f>IF(B367="","",B367/((Settings!$B$7)/100)^2)</f>
        <v/>
      </c>
      <c r="N367" s="25">
        <f>Settings!$B$6</f>
        <v>100</v>
      </c>
      <c r="O367" s="3" t="e">
        <f t="shared" si="30"/>
        <v>#N/A</v>
      </c>
      <c r="P367" s="3" t="e">
        <f t="shared" si="31"/>
        <v>#N/A</v>
      </c>
      <c r="Q367" s="3" t="e">
        <f t="shared" si="32"/>
        <v>#N/A</v>
      </c>
      <c r="R367" s="131">
        <f t="shared" si="33"/>
        <v>46639</v>
      </c>
      <c r="S367" s="3" t="e">
        <f t="shared" si="34"/>
        <v>#N/A</v>
      </c>
      <c r="T367" s="3" t="e">
        <f t="shared" si="35"/>
        <v>#N/A</v>
      </c>
      <c r="U367" s="3">
        <f>Settings!$B$6</f>
        <v>100</v>
      </c>
    </row>
    <row r="368" spans="1:21" ht="18" customHeight="1" x14ac:dyDescent="0.3">
      <c r="A368" s="124">
        <f>A367+1</f>
        <v>46640</v>
      </c>
      <c r="B368" s="137"/>
      <c r="C368" s="126" t="str" cm="1">
        <f t="array" ref="C368">IF(B368="","",B368-IFERROR(LOOKUP(2,1/($B$6:B367&lt;&gt;""),$B$6:B367),Settings!$B$5))</f>
        <v/>
      </c>
      <c r="D368" s="127" t="str">
        <f>IF(B368="","",AVERAGE(B362:B368))</f>
        <v/>
      </c>
      <c r="E368" s="139"/>
      <c r="F368" s="140"/>
      <c r="G368" s="137"/>
      <c r="H368" s="139"/>
      <c r="I368" s="140"/>
      <c r="J368" s="141"/>
      <c r="K368" s="137"/>
      <c r="L368" s="142"/>
      <c r="M368" s="127" t="str">
        <f>IF(B368="","",B368/((Settings!$B$7)/100)^2)</f>
        <v/>
      </c>
      <c r="N368" s="25">
        <f>Settings!$B$6</f>
        <v>100</v>
      </c>
      <c r="O368" s="3" t="e">
        <f t="shared" si="30"/>
        <v>#N/A</v>
      </c>
      <c r="P368" s="3" t="e">
        <f t="shared" si="31"/>
        <v>#N/A</v>
      </c>
      <c r="Q368" s="3" t="e">
        <f t="shared" si="32"/>
        <v>#N/A</v>
      </c>
      <c r="R368" s="131">
        <f t="shared" si="33"/>
        <v>46640</v>
      </c>
      <c r="S368" s="3" t="e">
        <f t="shared" si="34"/>
        <v>#N/A</v>
      </c>
      <c r="T368" s="3" t="e">
        <f t="shared" si="35"/>
        <v>#N/A</v>
      </c>
      <c r="U368" s="3">
        <f>Settings!$B$6</f>
        <v>100</v>
      </c>
    </row>
    <row r="369" spans="1:21" ht="18" customHeight="1" x14ac:dyDescent="0.3">
      <c r="A369" s="132">
        <f>A368+1</f>
        <v>46641</v>
      </c>
      <c r="B369" s="138"/>
      <c r="C369" s="126" t="str" cm="1">
        <f t="array" ref="C369">IF(B369="","",B369-IFERROR(LOOKUP(2,1/($B$6:B368&lt;&gt;""),$B$6:B368),Settings!$B$5))</f>
        <v/>
      </c>
      <c r="D369" s="127" t="str">
        <f>IF(B369="","",AVERAGE(B363:B369))</f>
        <v/>
      </c>
      <c r="E369" s="143"/>
      <c r="F369" s="144"/>
      <c r="G369" s="138"/>
      <c r="H369" s="143"/>
      <c r="I369" s="144"/>
      <c r="J369" s="145"/>
      <c r="K369" s="138"/>
      <c r="L369" s="146"/>
      <c r="M369" s="127" t="str">
        <f>IF(B369="","",B369/((Settings!$B$7)/100)^2)</f>
        <v/>
      </c>
      <c r="N369" s="25">
        <f>Settings!$B$6</f>
        <v>100</v>
      </c>
      <c r="O369" s="3" t="e">
        <f t="shared" si="30"/>
        <v>#N/A</v>
      </c>
      <c r="P369" s="3" t="e">
        <f t="shared" si="31"/>
        <v>#N/A</v>
      </c>
      <c r="Q369" s="3" t="e">
        <f t="shared" si="32"/>
        <v>#N/A</v>
      </c>
      <c r="R369" s="131">
        <f t="shared" si="33"/>
        <v>46641</v>
      </c>
      <c r="S369" s="3" t="e">
        <f t="shared" si="34"/>
        <v>#N/A</v>
      </c>
      <c r="T369" s="3" t="e">
        <f t="shared" si="35"/>
        <v>#N/A</v>
      </c>
      <c r="U369" s="3">
        <f>Settings!$B$6</f>
        <v>100</v>
      </c>
    </row>
    <row r="370" spans="1:21" ht="18" customHeight="1" x14ac:dyDescent="0.3">
      <c r="A370" s="124">
        <f>A369+1</f>
        <v>46642</v>
      </c>
      <c r="B370" s="137"/>
      <c r="C370" s="126" t="str" cm="1">
        <f t="array" ref="C370">IF(B370="","",B370-IFERROR(LOOKUP(2,1/($B$6:B369&lt;&gt;""),$B$6:B369),Settings!$B$5))</f>
        <v/>
      </c>
      <c r="D370" s="127" t="str">
        <f>IF(B370="","",AVERAGE(B364:B370))</f>
        <v/>
      </c>
      <c r="E370" s="139"/>
      <c r="F370" s="140"/>
      <c r="G370" s="137"/>
      <c r="H370" s="139"/>
      <c r="I370" s="140"/>
      <c r="J370" s="141"/>
      <c r="K370" s="137"/>
      <c r="L370" s="142"/>
      <c r="M370" s="127" t="str">
        <f>IF(B370="","",B370/((Settings!$B$7)/100)^2)</f>
        <v/>
      </c>
      <c r="N370" s="25">
        <f>Settings!$B$6</f>
        <v>100</v>
      </c>
      <c r="O370" s="3" t="e">
        <f t="shared" si="30"/>
        <v>#N/A</v>
      </c>
      <c r="P370" s="3" t="e">
        <f t="shared" si="31"/>
        <v>#N/A</v>
      </c>
      <c r="Q370" s="3" t="e">
        <f t="shared" si="32"/>
        <v>#N/A</v>
      </c>
      <c r="R370" s="131">
        <f t="shared" si="33"/>
        <v>46642</v>
      </c>
      <c r="S370" s="3" t="e">
        <f t="shared" si="34"/>
        <v>#N/A</v>
      </c>
      <c r="T370" s="3" t="e">
        <f t="shared" si="35"/>
        <v>#N/A</v>
      </c>
      <c r="U370" s="3">
        <f>Settings!$B$6</f>
        <v>100</v>
      </c>
    </row>
    <row r="371" spans="1:21" ht="18" customHeight="1" x14ac:dyDescent="0.3">
      <c r="A371" s="132">
        <f>A370+1</f>
        <v>46643</v>
      </c>
      <c r="B371" s="138"/>
      <c r="C371" s="126" t="str" cm="1">
        <f t="array" ref="C371">IF(B371="","",B371-IFERROR(LOOKUP(2,1/($B$6:B370&lt;&gt;""),$B$6:B370),Settings!$B$5))</f>
        <v/>
      </c>
      <c r="D371" s="127" t="str">
        <f>IF(B371="","",AVERAGE(B365:B371))</f>
        <v/>
      </c>
      <c r="E371" s="143"/>
      <c r="F371" s="144"/>
      <c r="G371" s="138"/>
      <c r="H371" s="143"/>
      <c r="I371" s="144"/>
      <c r="J371" s="145"/>
      <c r="K371" s="138"/>
      <c r="L371" s="146"/>
      <c r="M371" s="127" t="str">
        <f>IF(B371="","",B371/((Settings!$B$7)/100)^2)</f>
        <v/>
      </c>
      <c r="N371" s="25">
        <f>Settings!$B$6</f>
        <v>100</v>
      </c>
      <c r="O371" s="3" t="e">
        <f t="shared" si="30"/>
        <v>#N/A</v>
      </c>
      <c r="P371" s="3" t="e">
        <f t="shared" si="31"/>
        <v>#N/A</v>
      </c>
      <c r="Q371" s="3" t="e">
        <f t="shared" si="32"/>
        <v>#N/A</v>
      </c>
      <c r="R371" s="131">
        <f t="shared" si="33"/>
        <v>46643</v>
      </c>
      <c r="S371" s="3" t="e">
        <f t="shared" si="34"/>
        <v>#N/A</v>
      </c>
      <c r="T371" s="3" t="e">
        <f t="shared" si="35"/>
        <v>#N/A</v>
      </c>
      <c r="U371" s="3">
        <f>Settings!$B$6</f>
        <v>100</v>
      </c>
    </row>
    <row r="372" spans="1:21" ht="18" customHeight="1" x14ac:dyDescent="0.3">
      <c r="A372" s="124">
        <f>A371+1</f>
        <v>46644</v>
      </c>
      <c r="B372" s="137"/>
      <c r="C372" s="126" t="str" cm="1">
        <f t="array" ref="C372">IF(B372="","",B372-IFERROR(LOOKUP(2,1/($B$6:B371&lt;&gt;""),$B$6:B371),Settings!$B$5))</f>
        <v/>
      </c>
      <c r="D372" s="127" t="str">
        <f>IF(B372="","",AVERAGE(B366:B372))</f>
        <v/>
      </c>
      <c r="E372" s="139"/>
      <c r="F372" s="140"/>
      <c r="G372" s="137"/>
      <c r="H372" s="139"/>
      <c r="I372" s="140"/>
      <c r="J372" s="141"/>
      <c r="K372" s="137"/>
      <c r="L372" s="142"/>
      <c r="M372" s="127" t="str">
        <f>IF(B372="","",B372/((Settings!$B$7)/100)^2)</f>
        <v/>
      </c>
      <c r="N372" s="25">
        <f>Settings!$B$6</f>
        <v>100</v>
      </c>
      <c r="O372" s="3" t="e">
        <f t="shared" si="30"/>
        <v>#N/A</v>
      </c>
      <c r="P372" s="3" t="e">
        <f t="shared" si="31"/>
        <v>#N/A</v>
      </c>
      <c r="Q372" s="3" t="e">
        <f t="shared" si="32"/>
        <v>#N/A</v>
      </c>
      <c r="R372" s="131">
        <f t="shared" si="33"/>
        <v>46644</v>
      </c>
      <c r="S372" s="3" t="e">
        <f t="shared" si="34"/>
        <v>#N/A</v>
      </c>
      <c r="T372" s="3" t="e">
        <f t="shared" si="35"/>
        <v>#N/A</v>
      </c>
      <c r="U372" s="3">
        <f>Settings!$B$6</f>
        <v>100</v>
      </c>
    </row>
    <row r="373" spans="1:21" ht="18" customHeight="1" x14ac:dyDescent="0.3">
      <c r="A373" s="132">
        <f>A372+1</f>
        <v>46645</v>
      </c>
      <c r="B373" s="138"/>
      <c r="C373" s="126" t="str" cm="1">
        <f t="array" ref="C373">IF(B373="","",B373-IFERROR(LOOKUP(2,1/($B$6:B372&lt;&gt;""),$B$6:B372),Settings!$B$5))</f>
        <v/>
      </c>
      <c r="D373" s="127" t="str">
        <f>IF(B373="","",AVERAGE(B367:B373))</f>
        <v/>
      </c>
      <c r="E373" s="143"/>
      <c r="F373" s="144"/>
      <c r="G373" s="138"/>
      <c r="H373" s="143"/>
      <c r="I373" s="144"/>
      <c r="J373" s="145"/>
      <c r="K373" s="138"/>
      <c r="L373" s="146"/>
      <c r="M373" s="127" t="str">
        <f>IF(B373="","",B373/((Settings!$B$7)/100)^2)</f>
        <v/>
      </c>
      <c r="N373" s="25">
        <f>Settings!$B$6</f>
        <v>100</v>
      </c>
      <c r="O373" s="3" t="e">
        <f t="shared" si="30"/>
        <v>#N/A</v>
      </c>
      <c r="P373" s="3" t="e">
        <f t="shared" si="31"/>
        <v>#N/A</v>
      </c>
      <c r="Q373" s="3" t="e">
        <f t="shared" si="32"/>
        <v>#N/A</v>
      </c>
      <c r="R373" s="131">
        <f t="shared" si="33"/>
        <v>46645</v>
      </c>
      <c r="S373" s="3" t="e">
        <f t="shared" si="34"/>
        <v>#N/A</v>
      </c>
      <c r="T373" s="3" t="e">
        <f t="shared" si="35"/>
        <v>#N/A</v>
      </c>
      <c r="U373" s="3">
        <f>Settings!$B$6</f>
        <v>100</v>
      </c>
    </row>
    <row r="374" spans="1:21" ht="18" customHeight="1" x14ac:dyDescent="0.3">
      <c r="A374" s="124">
        <f>A373+1</f>
        <v>46646</v>
      </c>
      <c r="B374" s="137"/>
      <c r="C374" s="126" t="str" cm="1">
        <f t="array" ref="C374">IF(B374="","",B374-IFERROR(LOOKUP(2,1/($B$6:B373&lt;&gt;""),$B$6:B373),Settings!$B$5))</f>
        <v/>
      </c>
      <c r="D374" s="127" t="str">
        <f>IF(B374="","",AVERAGE(B368:B374))</f>
        <v/>
      </c>
      <c r="E374" s="139"/>
      <c r="F374" s="140"/>
      <c r="G374" s="137"/>
      <c r="H374" s="139"/>
      <c r="I374" s="140"/>
      <c r="J374" s="141"/>
      <c r="K374" s="137"/>
      <c r="L374" s="142"/>
      <c r="M374" s="127" t="str">
        <f>IF(B374="","",B374/((Settings!$B$7)/100)^2)</f>
        <v/>
      </c>
      <c r="N374" s="25">
        <f>Settings!$B$6</f>
        <v>100</v>
      </c>
      <c r="O374" s="3" t="e">
        <f t="shared" si="30"/>
        <v>#N/A</v>
      </c>
      <c r="P374" s="3" t="e">
        <f t="shared" si="31"/>
        <v>#N/A</v>
      </c>
      <c r="Q374" s="3" t="e">
        <f t="shared" si="32"/>
        <v>#N/A</v>
      </c>
      <c r="R374" s="131">
        <f t="shared" si="33"/>
        <v>46646</v>
      </c>
      <c r="S374" s="3" t="e">
        <f t="shared" si="34"/>
        <v>#N/A</v>
      </c>
      <c r="T374" s="3" t="e">
        <f t="shared" si="35"/>
        <v>#N/A</v>
      </c>
      <c r="U374" s="3">
        <f>Settings!$B$6</f>
        <v>100</v>
      </c>
    </row>
    <row r="375" spans="1:21" ht="18" customHeight="1" x14ac:dyDescent="0.3">
      <c r="A375" s="132">
        <f>A374+1</f>
        <v>46647</v>
      </c>
      <c r="B375" s="138"/>
      <c r="C375" s="126" t="str" cm="1">
        <f t="array" ref="C375">IF(B375="","",B375-IFERROR(LOOKUP(2,1/($B$6:B374&lt;&gt;""),$B$6:B374),Settings!$B$5))</f>
        <v/>
      </c>
      <c r="D375" s="127" t="str">
        <f>IF(B375="","",AVERAGE(B369:B375))</f>
        <v/>
      </c>
      <c r="E375" s="143"/>
      <c r="F375" s="144"/>
      <c r="G375" s="138"/>
      <c r="H375" s="143"/>
      <c r="I375" s="144"/>
      <c r="J375" s="145"/>
      <c r="K375" s="138"/>
      <c r="L375" s="146"/>
      <c r="M375" s="127" t="str">
        <f>IF(B375="","",B375/((Settings!$B$7)/100)^2)</f>
        <v/>
      </c>
      <c r="N375" s="25">
        <f>Settings!$B$6</f>
        <v>100</v>
      </c>
      <c r="O375" s="3" t="e">
        <f t="shared" si="30"/>
        <v>#N/A</v>
      </c>
      <c r="P375" s="3" t="e">
        <f t="shared" si="31"/>
        <v>#N/A</v>
      </c>
      <c r="Q375" s="3" t="e">
        <f t="shared" si="32"/>
        <v>#N/A</v>
      </c>
      <c r="R375" s="131">
        <f t="shared" si="33"/>
        <v>46647</v>
      </c>
      <c r="S375" s="3" t="e">
        <f t="shared" si="34"/>
        <v>#N/A</v>
      </c>
      <c r="T375" s="3" t="e">
        <f t="shared" si="35"/>
        <v>#N/A</v>
      </c>
      <c r="U375" s="3">
        <f>Settings!$B$6</f>
        <v>100</v>
      </c>
    </row>
    <row r="376" spans="1:21" ht="18" customHeight="1" x14ac:dyDescent="0.3">
      <c r="A376" s="124">
        <f>A375+1</f>
        <v>46648</v>
      </c>
      <c r="B376" s="137"/>
      <c r="C376" s="126" t="str" cm="1">
        <f t="array" ref="C376">IF(B376="","",B376-IFERROR(LOOKUP(2,1/($B$6:B375&lt;&gt;""),$B$6:B375),Settings!$B$5))</f>
        <v/>
      </c>
      <c r="D376" s="127" t="str">
        <f>IF(B376="","",AVERAGE(B370:B376))</f>
        <v/>
      </c>
      <c r="E376" s="139"/>
      <c r="F376" s="140"/>
      <c r="G376" s="137"/>
      <c r="H376" s="139"/>
      <c r="I376" s="140"/>
      <c r="J376" s="141"/>
      <c r="K376" s="137"/>
      <c r="L376" s="142"/>
      <c r="M376" s="127" t="str">
        <f>IF(B376="","",B376/((Settings!$B$7)/100)^2)</f>
        <v/>
      </c>
      <c r="N376" s="25">
        <f>Settings!$B$6</f>
        <v>100</v>
      </c>
      <c r="O376" s="3" t="e">
        <f t="shared" si="30"/>
        <v>#N/A</v>
      </c>
      <c r="P376" s="3" t="e">
        <f t="shared" si="31"/>
        <v>#N/A</v>
      </c>
      <c r="Q376" s="3" t="e">
        <f t="shared" si="32"/>
        <v>#N/A</v>
      </c>
      <c r="R376" s="131">
        <f t="shared" si="33"/>
        <v>46648</v>
      </c>
      <c r="S376" s="3" t="e">
        <f t="shared" si="34"/>
        <v>#N/A</v>
      </c>
      <c r="T376" s="3" t="e">
        <f t="shared" si="35"/>
        <v>#N/A</v>
      </c>
      <c r="U376" s="3">
        <f>Settings!$B$6</f>
        <v>100</v>
      </c>
    </row>
    <row r="377" spans="1:21" ht="18" customHeight="1" x14ac:dyDescent="0.3">
      <c r="A377" s="132">
        <f>A376+1</f>
        <v>46649</v>
      </c>
      <c r="B377" s="138"/>
      <c r="C377" s="126" t="str" cm="1">
        <f t="array" ref="C377">IF(B377="","",B377-IFERROR(LOOKUP(2,1/($B$6:B376&lt;&gt;""),$B$6:B376),Settings!$B$5))</f>
        <v/>
      </c>
      <c r="D377" s="127" t="str">
        <f>IF(B377="","",AVERAGE(B371:B377))</f>
        <v/>
      </c>
      <c r="E377" s="143"/>
      <c r="F377" s="144"/>
      <c r="G377" s="138"/>
      <c r="H377" s="143"/>
      <c r="I377" s="144"/>
      <c r="J377" s="145"/>
      <c r="K377" s="138"/>
      <c r="L377" s="146"/>
      <c r="M377" s="127" t="str">
        <f>IF(B377="","",B377/((Settings!$B$7)/100)^2)</f>
        <v/>
      </c>
      <c r="N377" s="25">
        <f>Settings!$B$6</f>
        <v>100</v>
      </c>
      <c r="O377" s="3" t="e">
        <f t="shared" si="30"/>
        <v>#N/A</v>
      </c>
      <c r="P377" s="3" t="e">
        <f t="shared" si="31"/>
        <v>#N/A</v>
      </c>
      <c r="Q377" s="3" t="e">
        <f t="shared" si="32"/>
        <v>#N/A</v>
      </c>
      <c r="R377" s="131">
        <f t="shared" si="33"/>
        <v>46649</v>
      </c>
      <c r="S377" s="3" t="e">
        <f t="shared" si="34"/>
        <v>#N/A</v>
      </c>
      <c r="T377" s="3" t="e">
        <f t="shared" si="35"/>
        <v>#N/A</v>
      </c>
      <c r="U377" s="3">
        <f>Settings!$B$6</f>
        <v>100</v>
      </c>
    </row>
    <row r="378" spans="1:21" ht="18" customHeight="1" x14ac:dyDescent="0.3">
      <c r="A378" s="124">
        <f>A377+1</f>
        <v>46650</v>
      </c>
      <c r="B378" s="137"/>
      <c r="C378" s="126" t="str" cm="1">
        <f t="array" ref="C378">IF(B378="","",B378-IFERROR(LOOKUP(2,1/($B$6:B377&lt;&gt;""),$B$6:B377),Settings!$B$5))</f>
        <v/>
      </c>
      <c r="D378" s="127" t="str">
        <f>IF(B378="","",AVERAGE(B372:B378))</f>
        <v/>
      </c>
      <c r="E378" s="139"/>
      <c r="F378" s="140"/>
      <c r="G378" s="137"/>
      <c r="H378" s="139"/>
      <c r="I378" s="140"/>
      <c r="J378" s="141"/>
      <c r="K378" s="137"/>
      <c r="L378" s="142"/>
      <c r="M378" s="127" t="str">
        <f>IF(B378="","",B378/((Settings!$B$7)/100)^2)</f>
        <v/>
      </c>
      <c r="N378" s="25">
        <f>Settings!$B$6</f>
        <v>100</v>
      </c>
      <c r="O378" s="3" t="e">
        <f t="shared" si="30"/>
        <v>#N/A</v>
      </c>
      <c r="P378" s="3" t="e">
        <f t="shared" si="31"/>
        <v>#N/A</v>
      </c>
      <c r="Q378" s="3" t="e">
        <f t="shared" si="32"/>
        <v>#N/A</v>
      </c>
      <c r="R378" s="131">
        <f t="shared" si="33"/>
        <v>46650</v>
      </c>
      <c r="S378" s="3" t="e">
        <f t="shared" si="34"/>
        <v>#N/A</v>
      </c>
      <c r="T378" s="3" t="e">
        <f t="shared" si="35"/>
        <v>#N/A</v>
      </c>
      <c r="U378" s="3">
        <f>Settings!$B$6</f>
        <v>100</v>
      </c>
    </row>
    <row r="379" spans="1:21" ht="18" customHeight="1" x14ac:dyDescent="0.3">
      <c r="A379" s="132">
        <f>A378+1</f>
        <v>46651</v>
      </c>
      <c r="B379" s="138"/>
      <c r="C379" s="126" t="str" cm="1">
        <f t="array" ref="C379">IF(B379="","",B379-IFERROR(LOOKUP(2,1/($B$6:B378&lt;&gt;""),$B$6:B378),Settings!$B$5))</f>
        <v/>
      </c>
      <c r="D379" s="127" t="str">
        <f>IF(B379="","",AVERAGE(B373:B379))</f>
        <v/>
      </c>
      <c r="E379" s="143"/>
      <c r="F379" s="144"/>
      <c r="G379" s="138"/>
      <c r="H379" s="143"/>
      <c r="I379" s="144"/>
      <c r="J379" s="145"/>
      <c r="K379" s="138"/>
      <c r="L379" s="146"/>
      <c r="M379" s="127" t="str">
        <f>IF(B379="","",B379/((Settings!$B$7)/100)^2)</f>
        <v/>
      </c>
      <c r="N379" s="25">
        <f>Settings!$B$6</f>
        <v>100</v>
      </c>
      <c r="O379" s="3" t="e">
        <f t="shared" si="30"/>
        <v>#N/A</v>
      </c>
      <c r="P379" s="3" t="e">
        <f t="shared" si="31"/>
        <v>#N/A</v>
      </c>
      <c r="Q379" s="3" t="e">
        <f t="shared" si="32"/>
        <v>#N/A</v>
      </c>
      <c r="R379" s="131">
        <f t="shared" si="33"/>
        <v>46651</v>
      </c>
      <c r="S379" s="3" t="e">
        <f t="shared" si="34"/>
        <v>#N/A</v>
      </c>
      <c r="T379" s="3" t="e">
        <f t="shared" si="35"/>
        <v>#N/A</v>
      </c>
      <c r="U379" s="3">
        <f>Settings!$B$6</f>
        <v>100</v>
      </c>
    </row>
    <row r="380" spans="1:21" ht="18" customHeight="1" x14ac:dyDescent="0.3">
      <c r="A380" s="124">
        <f>A379+1</f>
        <v>46652</v>
      </c>
      <c r="B380" s="137"/>
      <c r="C380" s="126" t="str" cm="1">
        <f t="array" ref="C380">IF(B380="","",B380-IFERROR(LOOKUP(2,1/($B$6:B379&lt;&gt;""),$B$6:B379),Settings!$B$5))</f>
        <v/>
      </c>
      <c r="D380" s="127" t="str">
        <f>IF(B380="","",AVERAGE(B374:B380))</f>
        <v/>
      </c>
      <c r="E380" s="139"/>
      <c r="F380" s="140"/>
      <c r="G380" s="137"/>
      <c r="H380" s="139"/>
      <c r="I380" s="140"/>
      <c r="J380" s="141"/>
      <c r="K380" s="137"/>
      <c r="L380" s="142"/>
      <c r="M380" s="127" t="str">
        <f>IF(B380="","",B380/((Settings!$B$7)/100)^2)</f>
        <v/>
      </c>
      <c r="N380" s="25">
        <f>Settings!$B$6</f>
        <v>100</v>
      </c>
      <c r="O380" s="3" t="e">
        <f t="shared" si="30"/>
        <v>#N/A</v>
      </c>
      <c r="P380" s="3" t="e">
        <f t="shared" si="31"/>
        <v>#N/A</v>
      </c>
      <c r="Q380" s="3" t="e">
        <f t="shared" si="32"/>
        <v>#N/A</v>
      </c>
      <c r="R380" s="131">
        <f t="shared" si="33"/>
        <v>46652</v>
      </c>
      <c r="S380" s="3" t="e">
        <f t="shared" si="34"/>
        <v>#N/A</v>
      </c>
      <c r="T380" s="3" t="e">
        <f t="shared" si="35"/>
        <v>#N/A</v>
      </c>
      <c r="U380" s="3">
        <f>Settings!$B$6</f>
        <v>100</v>
      </c>
    </row>
    <row r="381" spans="1:21" ht="18" customHeight="1" x14ac:dyDescent="0.3">
      <c r="A381" s="132">
        <f>A380+1</f>
        <v>46653</v>
      </c>
      <c r="B381" s="138"/>
      <c r="C381" s="126" t="str" cm="1">
        <f t="array" ref="C381">IF(B381="","",B381-IFERROR(LOOKUP(2,1/($B$6:B380&lt;&gt;""),$B$6:B380),Settings!$B$5))</f>
        <v/>
      </c>
      <c r="D381" s="127" t="str">
        <f>IF(B381="","",AVERAGE(B375:B381))</f>
        <v/>
      </c>
      <c r="E381" s="143"/>
      <c r="F381" s="144"/>
      <c r="G381" s="138"/>
      <c r="H381" s="143"/>
      <c r="I381" s="144"/>
      <c r="J381" s="145"/>
      <c r="K381" s="138"/>
      <c r="L381" s="146"/>
      <c r="M381" s="127" t="str">
        <f>IF(B381="","",B381/((Settings!$B$7)/100)^2)</f>
        <v/>
      </c>
      <c r="N381" s="25">
        <f>Settings!$B$6</f>
        <v>100</v>
      </c>
      <c r="O381" s="3" t="e">
        <f t="shared" si="30"/>
        <v>#N/A</v>
      </c>
      <c r="P381" s="3" t="e">
        <f t="shared" si="31"/>
        <v>#N/A</v>
      </c>
      <c r="Q381" s="3" t="e">
        <f t="shared" si="32"/>
        <v>#N/A</v>
      </c>
      <c r="R381" s="131">
        <f t="shared" si="33"/>
        <v>46653</v>
      </c>
      <c r="S381" s="3" t="e">
        <f t="shared" si="34"/>
        <v>#N/A</v>
      </c>
      <c r="T381" s="3" t="e">
        <f t="shared" si="35"/>
        <v>#N/A</v>
      </c>
      <c r="U381" s="3">
        <f>Settings!$B$6</f>
        <v>100</v>
      </c>
    </row>
    <row r="382" spans="1:21" ht="18" customHeight="1" x14ac:dyDescent="0.3">
      <c r="A382" s="124">
        <f>A381+1</f>
        <v>46654</v>
      </c>
      <c r="B382" s="137"/>
      <c r="C382" s="126" t="str" cm="1">
        <f t="array" ref="C382">IF(B382="","",B382-IFERROR(LOOKUP(2,1/($B$6:B381&lt;&gt;""),$B$6:B381),Settings!$B$5))</f>
        <v/>
      </c>
      <c r="D382" s="127" t="str">
        <f>IF(B382="","",AVERAGE(B376:B382))</f>
        <v/>
      </c>
      <c r="E382" s="139"/>
      <c r="F382" s="140"/>
      <c r="G382" s="137"/>
      <c r="H382" s="139"/>
      <c r="I382" s="140"/>
      <c r="J382" s="141"/>
      <c r="K382" s="137"/>
      <c r="L382" s="142"/>
      <c r="M382" s="127" t="str">
        <f>IF(B382="","",B382/((Settings!$B$7)/100)^2)</f>
        <v/>
      </c>
      <c r="N382" s="25">
        <f>Settings!$B$6</f>
        <v>100</v>
      </c>
      <c r="O382" s="3" t="e">
        <f t="shared" si="30"/>
        <v>#N/A</v>
      </c>
      <c r="P382" s="3" t="e">
        <f t="shared" si="31"/>
        <v>#N/A</v>
      </c>
      <c r="Q382" s="3" t="e">
        <f t="shared" si="32"/>
        <v>#N/A</v>
      </c>
      <c r="R382" s="131">
        <f t="shared" si="33"/>
        <v>46654</v>
      </c>
      <c r="S382" s="3" t="e">
        <f t="shared" si="34"/>
        <v>#N/A</v>
      </c>
      <c r="T382" s="3" t="e">
        <f t="shared" si="35"/>
        <v>#N/A</v>
      </c>
      <c r="U382" s="3">
        <f>Settings!$B$6</f>
        <v>100</v>
      </c>
    </row>
    <row r="383" spans="1:21" ht="18" customHeight="1" x14ac:dyDescent="0.3">
      <c r="A383" s="132">
        <f>A382+1</f>
        <v>46655</v>
      </c>
      <c r="B383" s="138"/>
      <c r="C383" s="126" t="str" cm="1">
        <f t="array" ref="C383">IF(B383="","",B383-IFERROR(LOOKUP(2,1/($B$6:B382&lt;&gt;""),$B$6:B382),Settings!$B$5))</f>
        <v/>
      </c>
      <c r="D383" s="127" t="str">
        <f>IF(B383="","",AVERAGE(B377:B383))</f>
        <v/>
      </c>
      <c r="E383" s="143"/>
      <c r="F383" s="144"/>
      <c r="G383" s="138"/>
      <c r="H383" s="143"/>
      <c r="I383" s="144"/>
      <c r="J383" s="145"/>
      <c r="K383" s="138"/>
      <c r="L383" s="146"/>
      <c r="M383" s="127" t="str">
        <f>IF(B383="","",B383/((Settings!$B$7)/100)^2)</f>
        <v/>
      </c>
      <c r="N383" s="25">
        <f>Settings!$B$6</f>
        <v>100</v>
      </c>
      <c r="O383" s="3" t="e">
        <f t="shared" si="30"/>
        <v>#N/A</v>
      </c>
      <c r="P383" s="3" t="e">
        <f t="shared" si="31"/>
        <v>#N/A</v>
      </c>
      <c r="Q383" s="3" t="e">
        <f t="shared" si="32"/>
        <v>#N/A</v>
      </c>
      <c r="R383" s="131">
        <f t="shared" si="33"/>
        <v>46655</v>
      </c>
      <c r="S383" s="3" t="e">
        <f t="shared" si="34"/>
        <v>#N/A</v>
      </c>
      <c r="T383" s="3" t="e">
        <f t="shared" si="35"/>
        <v>#N/A</v>
      </c>
      <c r="U383" s="3">
        <f>Settings!$B$6</f>
        <v>100</v>
      </c>
    </row>
    <row r="384" spans="1:21" ht="18" customHeight="1" x14ac:dyDescent="0.3">
      <c r="A384" s="124">
        <f>A383+1</f>
        <v>46656</v>
      </c>
      <c r="B384" s="137"/>
      <c r="C384" s="126" t="str" cm="1">
        <f t="array" ref="C384">IF(B384="","",B384-IFERROR(LOOKUP(2,1/($B$6:B383&lt;&gt;""),$B$6:B383),Settings!$B$5))</f>
        <v/>
      </c>
      <c r="D384" s="127" t="str">
        <f>IF(B384="","",AVERAGE(B378:B384))</f>
        <v/>
      </c>
      <c r="E384" s="139"/>
      <c r="F384" s="140"/>
      <c r="G384" s="137"/>
      <c r="H384" s="139"/>
      <c r="I384" s="140"/>
      <c r="J384" s="141"/>
      <c r="K384" s="137"/>
      <c r="L384" s="142"/>
      <c r="M384" s="127" t="str">
        <f>IF(B384="","",B384/((Settings!$B$7)/100)^2)</f>
        <v/>
      </c>
      <c r="N384" s="25">
        <f>Settings!$B$6</f>
        <v>100</v>
      </c>
      <c r="O384" s="3" t="e">
        <f t="shared" si="30"/>
        <v>#N/A</v>
      </c>
      <c r="P384" s="3" t="e">
        <f t="shared" si="31"/>
        <v>#N/A</v>
      </c>
      <c r="Q384" s="3" t="e">
        <f t="shared" si="32"/>
        <v>#N/A</v>
      </c>
      <c r="R384" s="131">
        <f t="shared" si="33"/>
        <v>46656</v>
      </c>
      <c r="S384" s="3" t="e">
        <f t="shared" si="34"/>
        <v>#N/A</v>
      </c>
      <c r="T384" s="3" t="e">
        <f t="shared" si="35"/>
        <v>#N/A</v>
      </c>
      <c r="U384" s="3">
        <f>Settings!$B$6</f>
        <v>100</v>
      </c>
    </row>
    <row r="385" spans="1:21" ht="18" customHeight="1" x14ac:dyDescent="0.3">
      <c r="A385" s="132">
        <f>A384+1</f>
        <v>46657</v>
      </c>
      <c r="B385" s="138"/>
      <c r="C385" s="126" t="str" cm="1">
        <f t="array" ref="C385">IF(B385="","",B385-IFERROR(LOOKUP(2,1/($B$6:B384&lt;&gt;""),$B$6:B384),Settings!$B$5))</f>
        <v/>
      </c>
      <c r="D385" s="127" t="str">
        <f>IF(B385="","",AVERAGE(B379:B385))</f>
        <v/>
      </c>
      <c r="E385" s="143"/>
      <c r="F385" s="144"/>
      <c r="G385" s="138"/>
      <c r="H385" s="143"/>
      <c r="I385" s="144"/>
      <c r="J385" s="145"/>
      <c r="K385" s="138"/>
      <c r="L385" s="146"/>
      <c r="M385" s="127" t="str">
        <f>IF(B385="","",B385/((Settings!$B$7)/100)^2)</f>
        <v/>
      </c>
      <c r="N385" s="25">
        <f>Settings!$B$6</f>
        <v>100</v>
      </c>
      <c r="O385" s="3" t="e">
        <f t="shared" si="30"/>
        <v>#N/A</v>
      </c>
      <c r="P385" s="3" t="e">
        <f t="shared" si="31"/>
        <v>#N/A</v>
      </c>
      <c r="Q385" s="3" t="e">
        <f t="shared" si="32"/>
        <v>#N/A</v>
      </c>
      <c r="R385" s="131">
        <f t="shared" si="33"/>
        <v>46657</v>
      </c>
      <c r="S385" s="3" t="e">
        <f t="shared" si="34"/>
        <v>#N/A</v>
      </c>
      <c r="T385" s="3" t="e">
        <f t="shared" si="35"/>
        <v>#N/A</v>
      </c>
      <c r="U385" s="3">
        <f>Settings!$B$6</f>
        <v>100</v>
      </c>
    </row>
    <row r="386" spans="1:21" ht="18" customHeight="1" x14ac:dyDescent="0.3">
      <c r="A386" s="124">
        <f>A385+1</f>
        <v>46658</v>
      </c>
      <c r="B386" s="137"/>
      <c r="C386" s="126" t="str" cm="1">
        <f t="array" ref="C386">IF(B386="","",B386-IFERROR(LOOKUP(2,1/($B$6:B385&lt;&gt;""),$B$6:B385),Settings!$B$5))</f>
        <v/>
      </c>
      <c r="D386" s="127" t="str">
        <f>IF(B386="","",AVERAGE(B380:B386))</f>
        <v/>
      </c>
      <c r="E386" s="139"/>
      <c r="F386" s="140"/>
      <c r="G386" s="137"/>
      <c r="H386" s="139"/>
      <c r="I386" s="140"/>
      <c r="J386" s="141"/>
      <c r="K386" s="137"/>
      <c r="L386" s="142"/>
      <c r="M386" s="127" t="str">
        <f>IF(B386="","",B386/((Settings!$B$7)/100)^2)</f>
        <v/>
      </c>
      <c r="N386" s="25">
        <f>Settings!$B$6</f>
        <v>100</v>
      </c>
      <c r="O386" s="3" t="e">
        <f t="shared" si="30"/>
        <v>#N/A</v>
      </c>
      <c r="P386" s="3" t="e">
        <f t="shared" si="31"/>
        <v>#N/A</v>
      </c>
      <c r="Q386" s="3" t="e">
        <f t="shared" si="32"/>
        <v>#N/A</v>
      </c>
      <c r="R386" s="131">
        <f t="shared" si="33"/>
        <v>46658</v>
      </c>
      <c r="S386" s="3" t="e">
        <f t="shared" si="34"/>
        <v>#N/A</v>
      </c>
      <c r="T386" s="3" t="e">
        <f t="shared" si="35"/>
        <v>#N/A</v>
      </c>
      <c r="U386" s="3">
        <f>Settings!$B$6</f>
        <v>100</v>
      </c>
    </row>
    <row r="387" spans="1:21" ht="18" customHeight="1" x14ac:dyDescent="0.3">
      <c r="A387" s="132">
        <f>A386+1</f>
        <v>46659</v>
      </c>
      <c r="B387" s="138"/>
      <c r="C387" s="126" t="str" cm="1">
        <f t="array" ref="C387">IF(B387="","",B387-IFERROR(LOOKUP(2,1/($B$6:B386&lt;&gt;""),$B$6:B386),Settings!$B$5))</f>
        <v/>
      </c>
      <c r="D387" s="127" t="str">
        <f>IF(B387="","",AVERAGE(B381:B387))</f>
        <v/>
      </c>
      <c r="E387" s="143"/>
      <c r="F387" s="144"/>
      <c r="G387" s="138"/>
      <c r="H387" s="143"/>
      <c r="I387" s="144"/>
      <c r="J387" s="145"/>
      <c r="K387" s="138"/>
      <c r="L387" s="146"/>
      <c r="M387" s="127" t="str">
        <f>IF(B387="","",B387/((Settings!$B$7)/100)^2)</f>
        <v/>
      </c>
      <c r="N387" s="25">
        <f>Settings!$B$6</f>
        <v>100</v>
      </c>
      <c r="O387" s="3" t="e">
        <f t="shared" si="30"/>
        <v>#N/A</v>
      </c>
      <c r="P387" s="3" t="e">
        <f t="shared" si="31"/>
        <v>#N/A</v>
      </c>
      <c r="Q387" s="3" t="e">
        <f t="shared" si="32"/>
        <v>#N/A</v>
      </c>
      <c r="R387" s="131">
        <f t="shared" si="33"/>
        <v>46659</v>
      </c>
      <c r="S387" s="3" t="e">
        <f t="shared" si="34"/>
        <v>#N/A</v>
      </c>
      <c r="T387" s="3" t="e">
        <f t="shared" si="35"/>
        <v>#N/A</v>
      </c>
      <c r="U387" s="3">
        <f>Settings!$B$6</f>
        <v>100</v>
      </c>
    </row>
    <row r="388" spans="1:21" ht="18" customHeight="1" x14ac:dyDescent="0.3">
      <c r="A388" s="124">
        <f>A387+1</f>
        <v>46660</v>
      </c>
      <c r="B388" s="137"/>
      <c r="C388" s="126" t="str" cm="1">
        <f t="array" ref="C388">IF(B388="","",B388-IFERROR(LOOKUP(2,1/($B$6:B387&lt;&gt;""),$B$6:B387),Settings!$B$5))</f>
        <v/>
      </c>
      <c r="D388" s="127" t="str">
        <f>IF(B388="","",AVERAGE(B382:B388))</f>
        <v/>
      </c>
      <c r="E388" s="139"/>
      <c r="F388" s="140"/>
      <c r="G388" s="137"/>
      <c r="H388" s="139"/>
      <c r="I388" s="140"/>
      <c r="J388" s="141"/>
      <c r="K388" s="137"/>
      <c r="L388" s="142"/>
      <c r="M388" s="127" t="str">
        <f>IF(B388="","",B388/((Settings!$B$7)/100)^2)</f>
        <v/>
      </c>
      <c r="N388" s="25">
        <f>Settings!$B$6</f>
        <v>100</v>
      </c>
      <c r="O388" s="3" t="e">
        <f t="shared" si="30"/>
        <v>#N/A</v>
      </c>
      <c r="P388" s="3" t="e">
        <f t="shared" si="31"/>
        <v>#N/A</v>
      </c>
      <c r="Q388" s="3" t="e">
        <f t="shared" si="32"/>
        <v>#N/A</v>
      </c>
      <c r="R388" s="131">
        <f t="shared" si="33"/>
        <v>46660</v>
      </c>
      <c r="S388" s="3" t="e">
        <f t="shared" si="34"/>
        <v>#N/A</v>
      </c>
      <c r="T388" s="3" t="e">
        <f t="shared" si="35"/>
        <v>#N/A</v>
      </c>
      <c r="U388" s="3">
        <f>Settings!$B$6</f>
        <v>100</v>
      </c>
    </row>
    <row r="389" spans="1:21" ht="18" customHeight="1" x14ac:dyDescent="0.3">
      <c r="A389" s="132">
        <f>A388+1</f>
        <v>46661</v>
      </c>
      <c r="B389" s="138"/>
      <c r="C389" s="126" t="str" cm="1">
        <f t="array" ref="C389">IF(B389="","",B389-IFERROR(LOOKUP(2,1/($B$6:B388&lt;&gt;""),$B$6:B388),Settings!$B$5))</f>
        <v/>
      </c>
      <c r="D389" s="127" t="str">
        <f>IF(B389="","",AVERAGE(B383:B389))</f>
        <v/>
      </c>
      <c r="E389" s="143"/>
      <c r="F389" s="144"/>
      <c r="G389" s="138"/>
      <c r="H389" s="143"/>
      <c r="I389" s="144"/>
      <c r="J389" s="145"/>
      <c r="K389" s="138"/>
      <c r="L389" s="146"/>
      <c r="M389" s="127" t="str">
        <f>IF(B389="","",B389/((Settings!$B$7)/100)^2)</f>
        <v/>
      </c>
      <c r="N389" s="25">
        <f>Settings!$B$6</f>
        <v>100</v>
      </c>
      <c r="O389" s="3" t="e">
        <f t="shared" si="30"/>
        <v>#N/A</v>
      </c>
      <c r="P389" s="3" t="e">
        <f t="shared" si="31"/>
        <v>#N/A</v>
      </c>
      <c r="Q389" s="3" t="e">
        <f t="shared" si="32"/>
        <v>#N/A</v>
      </c>
      <c r="R389" s="131">
        <f t="shared" si="33"/>
        <v>46661</v>
      </c>
      <c r="S389" s="3" t="e">
        <f t="shared" si="34"/>
        <v>#N/A</v>
      </c>
      <c r="T389" s="3" t="e">
        <f t="shared" si="35"/>
        <v>#N/A</v>
      </c>
      <c r="U389" s="3">
        <f>Settings!$B$6</f>
        <v>100</v>
      </c>
    </row>
    <row r="390" spans="1:21" ht="18" customHeight="1" x14ac:dyDescent="0.3">
      <c r="A390" s="124">
        <f>A389+1</f>
        <v>46662</v>
      </c>
      <c r="B390" s="137"/>
      <c r="C390" s="126" t="str" cm="1">
        <f t="array" ref="C390">IF(B390="","",B390-IFERROR(LOOKUP(2,1/($B$6:B389&lt;&gt;""),$B$6:B389),Settings!$B$5))</f>
        <v/>
      </c>
      <c r="D390" s="127" t="str">
        <f>IF(B390="","",AVERAGE(B384:B390))</f>
        <v/>
      </c>
      <c r="E390" s="139"/>
      <c r="F390" s="140"/>
      <c r="G390" s="137"/>
      <c r="H390" s="139"/>
      <c r="I390" s="140"/>
      <c r="J390" s="141"/>
      <c r="K390" s="137"/>
      <c r="L390" s="142"/>
      <c r="M390" s="127" t="str">
        <f>IF(B390="","",B390/((Settings!$B$7)/100)^2)</f>
        <v/>
      </c>
      <c r="N390" s="25">
        <f>Settings!$B$6</f>
        <v>100</v>
      </c>
      <c r="O390" s="3" t="e">
        <f t="shared" si="30"/>
        <v>#N/A</v>
      </c>
      <c r="P390" s="3" t="e">
        <f t="shared" si="31"/>
        <v>#N/A</v>
      </c>
      <c r="Q390" s="3" t="e">
        <f t="shared" si="32"/>
        <v>#N/A</v>
      </c>
      <c r="R390" s="131">
        <f t="shared" si="33"/>
        <v>46662</v>
      </c>
      <c r="S390" s="3" t="e">
        <f t="shared" si="34"/>
        <v>#N/A</v>
      </c>
      <c r="T390" s="3" t="e">
        <f t="shared" si="35"/>
        <v>#N/A</v>
      </c>
      <c r="U390" s="3">
        <f>Settings!$B$6</f>
        <v>100</v>
      </c>
    </row>
    <row r="391" spans="1:21" ht="18" customHeight="1" x14ac:dyDescent="0.3">
      <c r="A391" s="132">
        <f>A390+1</f>
        <v>46663</v>
      </c>
      <c r="B391" s="138"/>
      <c r="C391" s="126" t="str" cm="1">
        <f t="array" ref="C391">IF(B391="","",B391-IFERROR(LOOKUP(2,1/($B$6:B390&lt;&gt;""),$B$6:B390),Settings!$B$5))</f>
        <v/>
      </c>
      <c r="D391" s="127" t="str">
        <f>IF(B391="","",AVERAGE(B385:B391))</f>
        <v/>
      </c>
      <c r="E391" s="143"/>
      <c r="F391" s="144"/>
      <c r="G391" s="138"/>
      <c r="H391" s="143"/>
      <c r="I391" s="144"/>
      <c r="J391" s="145"/>
      <c r="K391" s="138"/>
      <c r="L391" s="146"/>
      <c r="M391" s="127" t="str">
        <f>IF(B391="","",B391/((Settings!$B$7)/100)^2)</f>
        <v/>
      </c>
      <c r="N391" s="25">
        <f>Settings!$B$6</f>
        <v>100</v>
      </c>
      <c r="O391" s="3" t="e">
        <f t="shared" ref="O391:O454" si="36">IF($B391="",NA(),$B391)</f>
        <v>#N/A</v>
      </c>
      <c r="P391" s="3" t="e">
        <f t="shared" ref="P391:P454" si="37">IF($D391="",NA(),$D391)</f>
        <v>#N/A</v>
      </c>
      <c r="Q391" s="3" t="e">
        <f t="shared" ref="Q391:Q454" si="38">IF($M391="",NA(),$M391)</f>
        <v>#N/A</v>
      </c>
      <c r="R391" s="131">
        <f t="shared" ref="R391:R454" si="39">A391</f>
        <v>46663</v>
      </c>
      <c r="S391" s="3" t="e">
        <f t="shared" ref="S391:S454" si="40">IF($B391="",NA(),$B391)</f>
        <v>#N/A</v>
      </c>
      <c r="T391" s="3" t="e">
        <f t="shared" ref="T391:T454" si="41">IF($D391="",NA(),$D391)</f>
        <v>#N/A</v>
      </c>
      <c r="U391" s="3">
        <f>Settings!$B$6</f>
        <v>100</v>
      </c>
    </row>
    <row r="392" spans="1:21" ht="18" customHeight="1" x14ac:dyDescent="0.3">
      <c r="A392" s="124">
        <f>A391+1</f>
        <v>46664</v>
      </c>
      <c r="B392" s="137"/>
      <c r="C392" s="126" t="str" cm="1">
        <f t="array" ref="C392">IF(B392="","",B392-IFERROR(LOOKUP(2,1/($B$6:B391&lt;&gt;""),$B$6:B391),Settings!$B$5))</f>
        <v/>
      </c>
      <c r="D392" s="127" t="str">
        <f>IF(B392="","",AVERAGE(B386:B392))</f>
        <v/>
      </c>
      <c r="E392" s="139"/>
      <c r="F392" s="140"/>
      <c r="G392" s="137"/>
      <c r="H392" s="139"/>
      <c r="I392" s="140"/>
      <c r="J392" s="141"/>
      <c r="K392" s="137"/>
      <c r="L392" s="142"/>
      <c r="M392" s="127" t="str">
        <f>IF(B392="","",B392/((Settings!$B$7)/100)^2)</f>
        <v/>
      </c>
      <c r="N392" s="25">
        <f>Settings!$B$6</f>
        <v>100</v>
      </c>
      <c r="O392" s="3" t="e">
        <f t="shared" si="36"/>
        <v>#N/A</v>
      </c>
      <c r="P392" s="3" t="e">
        <f t="shared" si="37"/>
        <v>#N/A</v>
      </c>
      <c r="Q392" s="3" t="e">
        <f t="shared" si="38"/>
        <v>#N/A</v>
      </c>
      <c r="R392" s="131">
        <f t="shared" si="39"/>
        <v>46664</v>
      </c>
      <c r="S392" s="3" t="e">
        <f t="shared" si="40"/>
        <v>#N/A</v>
      </c>
      <c r="T392" s="3" t="e">
        <f t="shared" si="41"/>
        <v>#N/A</v>
      </c>
      <c r="U392" s="3">
        <f>Settings!$B$6</f>
        <v>100</v>
      </c>
    </row>
    <row r="393" spans="1:21" ht="18" customHeight="1" x14ac:dyDescent="0.3">
      <c r="A393" s="132">
        <f>A392+1</f>
        <v>46665</v>
      </c>
      <c r="B393" s="138"/>
      <c r="C393" s="126" t="str" cm="1">
        <f t="array" ref="C393">IF(B393="","",B393-IFERROR(LOOKUP(2,1/($B$6:B392&lt;&gt;""),$B$6:B392),Settings!$B$5))</f>
        <v/>
      </c>
      <c r="D393" s="127" t="str">
        <f>IF(B393="","",AVERAGE(B387:B393))</f>
        <v/>
      </c>
      <c r="E393" s="143"/>
      <c r="F393" s="144"/>
      <c r="G393" s="138"/>
      <c r="H393" s="143"/>
      <c r="I393" s="144"/>
      <c r="J393" s="145"/>
      <c r="K393" s="138"/>
      <c r="L393" s="146"/>
      <c r="M393" s="127" t="str">
        <f>IF(B393="","",B393/((Settings!$B$7)/100)^2)</f>
        <v/>
      </c>
      <c r="N393" s="25">
        <f>Settings!$B$6</f>
        <v>100</v>
      </c>
      <c r="O393" s="3" t="e">
        <f t="shared" si="36"/>
        <v>#N/A</v>
      </c>
      <c r="P393" s="3" t="e">
        <f t="shared" si="37"/>
        <v>#N/A</v>
      </c>
      <c r="Q393" s="3" t="e">
        <f t="shared" si="38"/>
        <v>#N/A</v>
      </c>
      <c r="R393" s="131">
        <f t="shared" si="39"/>
        <v>46665</v>
      </c>
      <c r="S393" s="3" t="e">
        <f t="shared" si="40"/>
        <v>#N/A</v>
      </c>
      <c r="T393" s="3" t="e">
        <f t="shared" si="41"/>
        <v>#N/A</v>
      </c>
      <c r="U393" s="3">
        <f>Settings!$B$6</f>
        <v>100</v>
      </c>
    </row>
    <row r="394" spans="1:21" ht="18" customHeight="1" x14ac:dyDescent="0.3">
      <c r="A394" s="124">
        <f>A393+1</f>
        <v>46666</v>
      </c>
      <c r="B394" s="137"/>
      <c r="C394" s="126" t="str" cm="1">
        <f t="array" ref="C394">IF(B394="","",B394-IFERROR(LOOKUP(2,1/($B$6:B393&lt;&gt;""),$B$6:B393),Settings!$B$5))</f>
        <v/>
      </c>
      <c r="D394" s="127" t="str">
        <f>IF(B394="","",AVERAGE(B388:B394))</f>
        <v/>
      </c>
      <c r="E394" s="139"/>
      <c r="F394" s="140"/>
      <c r="G394" s="137"/>
      <c r="H394" s="139"/>
      <c r="I394" s="140"/>
      <c r="J394" s="141"/>
      <c r="K394" s="137"/>
      <c r="L394" s="142"/>
      <c r="M394" s="127" t="str">
        <f>IF(B394="","",B394/((Settings!$B$7)/100)^2)</f>
        <v/>
      </c>
      <c r="N394" s="25">
        <f>Settings!$B$6</f>
        <v>100</v>
      </c>
      <c r="O394" s="3" t="e">
        <f t="shared" si="36"/>
        <v>#N/A</v>
      </c>
      <c r="P394" s="3" t="e">
        <f t="shared" si="37"/>
        <v>#N/A</v>
      </c>
      <c r="Q394" s="3" t="e">
        <f t="shared" si="38"/>
        <v>#N/A</v>
      </c>
      <c r="R394" s="131">
        <f t="shared" si="39"/>
        <v>46666</v>
      </c>
      <c r="S394" s="3" t="e">
        <f t="shared" si="40"/>
        <v>#N/A</v>
      </c>
      <c r="T394" s="3" t="e">
        <f t="shared" si="41"/>
        <v>#N/A</v>
      </c>
      <c r="U394" s="3">
        <f>Settings!$B$6</f>
        <v>100</v>
      </c>
    </row>
    <row r="395" spans="1:21" ht="18" customHeight="1" x14ac:dyDescent="0.3">
      <c r="A395" s="132">
        <f>A394+1</f>
        <v>46667</v>
      </c>
      <c r="B395" s="138"/>
      <c r="C395" s="126" t="str" cm="1">
        <f t="array" ref="C395">IF(B395="","",B395-IFERROR(LOOKUP(2,1/($B$6:B394&lt;&gt;""),$B$6:B394),Settings!$B$5))</f>
        <v/>
      </c>
      <c r="D395" s="127" t="str">
        <f>IF(B395="","",AVERAGE(B389:B395))</f>
        <v/>
      </c>
      <c r="E395" s="143"/>
      <c r="F395" s="144"/>
      <c r="G395" s="138"/>
      <c r="H395" s="143"/>
      <c r="I395" s="144"/>
      <c r="J395" s="145"/>
      <c r="K395" s="138"/>
      <c r="L395" s="146"/>
      <c r="M395" s="127" t="str">
        <f>IF(B395="","",B395/((Settings!$B$7)/100)^2)</f>
        <v/>
      </c>
      <c r="N395" s="25">
        <f>Settings!$B$6</f>
        <v>100</v>
      </c>
      <c r="O395" s="3" t="e">
        <f t="shared" si="36"/>
        <v>#N/A</v>
      </c>
      <c r="P395" s="3" t="e">
        <f t="shared" si="37"/>
        <v>#N/A</v>
      </c>
      <c r="Q395" s="3" t="e">
        <f t="shared" si="38"/>
        <v>#N/A</v>
      </c>
      <c r="R395" s="131">
        <f t="shared" si="39"/>
        <v>46667</v>
      </c>
      <c r="S395" s="3" t="e">
        <f t="shared" si="40"/>
        <v>#N/A</v>
      </c>
      <c r="T395" s="3" t="e">
        <f t="shared" si="41"/>
        <v>#N/A</v>
      </c>
      <c r="U395" s="3">
        <f>Settings!$B$6</f>
        <v>100</v>
      </c>
    </row>
    <row r="396" spans="1:21" ht="18" customHeight="1" x14ac:dyDescent="0.3">
      <c r="A396" s="124">
        <f>A395+1</f>
        <v>46668</v>
      </c>
      <c r="B396" s="137"/>
      <c r="C396" s="126" t="str" cm="1">
        <f t="array" ref="C396">IF(B396="","",B396-IFERROR(LOOKUP(2,1/($B$6:B395&lt;&gt;""),$B$6:B395),Settings!$B$5))</f>
        <v/>
      </c>
      <c r="D396" s="127" t="str">
        <f>IF(B396="","",AVERAGE(B390:B396))</f>
        <v/>
      </c>
      <c r="E396" s="139"/>
      <c r="F396" s="140"/>
      <c r="G396" s="137"/>
      <c r="H396" s="139"/>
      <c r="I396" s="140"/>
      <c r="J396" s="141"/>
      <c r="K396" s="137"/>
      <c r="L396" s="142"/>
      <c r="M396" s="127" t="str">
        <f>IF(B396="","",B396/((Settings!$B$7)/100)^2)</f>
        <v/>
      </c>
      <c r="N396" s="25">
        <f>Settings!$B$6</f>
        <v>100</v>
      </c>
      <c r="O396" s="3" t="e">
        <f t="shared" si="36"/>
        <v>#N/A</v>
      </c>
      <c r="P396" s="3" t="e">
        <f t="shared" si="37"/>
        <v>#N/A</v>
      </c>
      <c r="Q396" s="3" t="e">
        <f t="shared" si="38"/>
        <v>#N/A</v>
      </c>
      <c r="R396" s="131">
        <f t="shared" si="39"/>
        <v>46668</v>
      </c>
      <c r="S396" s="3" t="e">
        <f t="shared" si="40"/>
        <v>#N/A</v>
      </c>
      <c r="T396" s="3" t="e">
        <f t="shared" si="41"/>
        <v>#N/A</v>
      </c>
      <c r="U396" s="3">
        <f>Settings!$B$6</f>
        <v>100</v>
      </c>
    </row>
    <row r="397" spans="1:21" ht="18" customHeight="1" x14ac:dyDescent="0.3">
      <c r="A397" s="132">
        <f>A396+1</f>
        <v>46669</v>
      </c>
      <c r="B397" s="138"/>
      <c r="C397" s="126" t="str" cm="1">
        <f t="array" ref="C397">IF(B397="","",B397-IFERROR(LOOKUP(2,1/($B$6:B396&lt;&gt;""),$B$6:B396),Settings!$B$5))</f>
        <v/>
      </c>
      <c r="D397" s="127" t="str">
        <f>IF(B397="","",AVERAGE(B391:B397))</f>
        <v/>
      </c>
      <c r="E397" s="143"/>
      <c r="F397" s="144"/>
      <c r="G397" s="138"/>
      <c r="H397" s="143"/>
      <c r="I397" s="144"/>
      <c r="J397" s="145"/>
      <c r="K397" s="138"/>
      <c r="L397" s="146"/>
      <c r="M397" s="127" t="str">
        <f>IF(B397="","",B397/((Settings!$B$7)/100)^2)</f>
        <v/>
      </c>
      <c r="N397" s="25">
        <f>Settings!$B$6</f>
        <v>100</v>
      </c>
      <c r="O397" s="3" t="e">
        <f t="shared" si="36"/>
        <v>#N/A</v>
      </c>
      <c r="P397" s="3" t="e">
        <f t="shared" si="37"/>
        <v>#N/A</v>
      </c>
      <c r="Q397" s="3" t="e">
        <f t="shared" si="38"/>
        <v>#N/A</v>
      </c>
      <c r="R397" s="131">
        <f t="shared" si="39"/>
        <v>46669</v>
      </c>
      <c r="S397" s="3" t="e">
        <f t="shared" si="40"/>
        <v>#N/A</v>
      </c>
      <c r="T397" s="3" t="e">
        <f t="shared" si="41"/>
        <v>#N/A</v>
      </c>
      <c r="U397" s="3">
        <f>Settings!$B$6</f>
        <v>100</v>
      </c>
    </row>
    <row r="398" spans="1:21" ht="18" customHeight="1" x14ac:dyDescent="0.3">
      <c r="A398" s="124">
        <f>A397+1</f>
        <v>46670</v>
      </c>
      <c r="B398" s="137"/>
      <c r="C398" s="126" t="str" cm="1">
        <f t="array" ref="C398">IF(B398="","",B398-IFERROR(LOOKUP(2,1/($B$6:B397&lt;&gt;""),$B$6:B397),Settings!$B$5))</f>
        <v/>
      </c>
      <c r="D398" s="127" t="str">
        <f>IF(B398="","",AVERAGE(B392:B398))</f>
        <v/>
      </c>
      <c r="E398" s="139"/>
      <c r="F398" s="140"/>
      <c r="G398" s="137"/>
      <c r="H398" s="139"/>
      <c r="I398" s="140"/>
      <c r="J398" s="141"/>
      <c r="K398" s="137"/>
      <c r="L398" s="142"/>
      <c r="M398" s="127" t="str">
        <f>IF(B398="","",B398/((Settings!$B$7)/100)^2)</f>
        <v/>
      </c>
      <c r="N398" s="25">
        <f>Settings!$B$6</f>
        <v>100</v>
      </c>
      <c r="O398" s="3" t="e">
        <f t="shared" si="36"/>
        <v>#N/A</v>
      </c>
      <c r="P398" s="3" t="e">
        <f t="shared" si="37"/>
        <v>#N/A</v>
      </c>
      <c r="Q398" s="3" t="e">
        <f t="shared" si="38"/>
        <v>#N/A</v>
      </c>
      <c r="R398" s="131">
        <f t="shared" si="39"/>
        <v>46670</v>
      </c>
      <c r="S398" s="3" t="e">
        <f t="shared" si="40"/>
        <v>#N/A</v>
      </c>
      <c r="T398" s="3" t="e">
        <f t="shared" si="41"/>
        <v>#N/A</v>
      </c>
      <c r="U398" s="3">
        <f>Settings!$B$6</f>
        <v>100</v>
      </c>
    </row>
    <row r="399" spans="1:21" ht="18" customHeight="1" x14ac:dyDescent="0.3">
      <c r="A399" s="132">
        <f>A398+1</f>
        <v>46671</v>
      </c>
      <c r="B399" s="138"/>
      <c r="C399" s="126" t="str" cm="1">
        <f t="array" ref="C399">IF(B399="","",B399-IFERROR(LOOKUP(2,1/($B$6:B398&lt;&gt;""),$B$6:B398),Settings!$B$5))</f>
        <v/>
      </c>
      <c r="D399" s="127" t="str">
        <f>IF(B399="","",AVERAGE(B393:B399))</f>
        <v/>
      </c>
      <c r="E399" s="143"/>
      <c r="F399" s="144"/>
      <c r="G399" s="138"/>
      <c r="H399" s="143"/>
      <c r="I399" s="144"/>
      <c r="J399" s="145"/>
      <c r="K399" s="138"/>
      <c r="L399" s="146"/>
      <c r="M399" s="127" t="str">
        <f>IF(B399="","",B399/((Settings!$B$7)/100)^2)</f>
        <v/>
      </c>
      <c r="N399" s="25">
        <f>Settings!$B$6</f>
        <v>100</v>
      </c>
      <c r="O399" s="3" t="e">
        <f t="shared" si="36"/>
        <v>#N/A</v>
      </c>
      <c r="P399" s="3" t="e">
        <f t="shared" si="37"/>
        <v>#N/A</v>
      </c>
      <c r="Q399" s="3" t="e">
        <f t="shared" si="38"/>
        <v>#N/A</v>
      </c>
      <c r="R399" s="131">
        <f t="shared" si="39"/>
        <v>46671</v>
      </c>
      <c r="S399" s="3" t="e">
        <f t="shared" si="40"/>
        <v>#N/A</v>
      </c>
      <c r="T399" s="3" t="e">
        <f t="shared" si="41"/>
        <v>#N/A</v>
      </c>
      <c r="U399" s="3">
        <f>Settings!$B$6</f>
        <v>100</v>
      </c>
    </row>
    <row r="400" spans="1:21" ht="18" customHeight="1" x14ac:dyDescent="0.3">
      <c r="A400" s="124">
        <f>A399+1</f>
        <v>46672</v>
      </c>
      <c r="B400" s="137"/>
      <c r="C400" s="126" t="str" cm="1">
        <f t="array" ref="C400">IF(B400="","",B400-IFERROR(LOOKUP(2,1/($B$6:B399&lt;&gt;""),$B$6:B399),Settings!$B$5))</f>
        <v/>
      </c>
      <c r="D400" s="127" t="str">
        <f>IF(B400="","",AVERAGE(B394:B400))</f>
        <v/>
      </c>
      <c r="E400" s="139"/>
      <c r="F400" s="140"/>
      <c r="G400" s="137"/>
      <c r="H400" s="139"/>
      <c r="I400" s="140"/>
      <c r="J400" s="141"/>
      <c r="K400" s="137"/>
      <c r="L400" s="142"/>
      <c r="M400" s="127" t="str">
        <f>IF(B400="","",B400/((Settings!$B$7)/100)^2)</f>
        <v/>
      </c>
      <c r="N400" s="25">
        <f>Settings!$B$6</f>
        <v>100</v>
      </c>
      <c r="O400" s="3" t="e">
        <f t="shared" si="36"/>
        <v>#N/A</v>
      </c>
      <c r="P400" s="3" t="e">
        <f t="shared" si="37"/>
        <v>#N/A</v>
      </c>
      <c r="Q400" s="3" t="e">
        <f t="shared" si="38"/>
        <v>#N/A</v>
      </c>
      <c r="R400" s="131">
        <f t="shared" si="39"/>
        <v>46672</v>
      </c>
      <c r="S400" s="3" t="e">
        <f t="shared" si="40"/>
        <v>#N/A</v>
      </c>
      <c r="T400" s="3" t="e">
        <f t="shared" si="41"/>
        <v>#N/A</v>
      </c>
      <c r="U400" s="3">
        <f>Settings!$B$6</f>
        <v>100</v>
      </c>
    </row>
    <row r="401" spans="1:21" ht="18" customHeight="1" x14ac:dyDescent="0.3">
      <c r="A401" s="132">
        <f>A400+1</f>
        <v>46673</v>
      </c>
      <c r="B401" s="138"/>
      <c r="C401" s="126" t="str" cm="1">
        <f t="array" ref="C401">IF(B401="","",B401-IFERROR(LOOKUP(2,1/($B$6:B400&lt;&gt;""),$B$6:B400),Settings!$B$5))</f>
        <v/>
      </c>
      <c r="D401" s="127" t="str">
        <f>IF(B401="","",AVERAGE(B395:B401))</f>
        <v/>
      </c>
      <c r="E401" s="143"/>
      <c r="F401" s="144"/>
      <c r="G401" s="138"/>
      <c r="H401" s="143"/>
      <c r="I401" s="144"/>
      <c r="J401" s="145"/>
      <c r="K401" s="138"/>
      <c r="L401" s="146"/>
      <c r="M401" s="127" t="str">
        <f>IF(B401="","",B401/((Settings!$B$7)/100)^2)</f>
        <v/>
      </c>
      <c r="N401" s="25">
        <f>Settings!$B$6</f>
        <v>100</v>
      </c>
      <c r="O401" s="3" t="e">
        <f t="shared" si="36"/>
        <v>#N/A</v>
      </c>
      <c r="P401" s="3" t="e">
        <f t="shared" si="37"/>
        <v>#N/A</v>
      </c>
      <c r="Q401" s="3" t="e">
        <f t="shared" si="38"/>
        <v>#N/A</v>
      </c>
      <c r="R401" s="131">
        <f t="shared" si="39"/>
        <v>46673</v>
      </c>
      <c r="S401" s="3" t="e">
        <f t="shared" si="40"/>
        <v>#N/A</v>
      </c>
      <c r="T401" s="3" t="e">
        <f t="shared" si="41"/>
        <v>#N/A</v>
      </c>
      <c r="U401" s="3">
        <f>Settings!$B$6</f>
        <v>100</v>
      </c>
    </row>
    <row r="402" spans="1:21" ht="18" customHeight="1" x14ac:dyDescent="0.3">
      <c r="A402" s="124">
        <f>A401+1</f>
        <v>46674</v>
      </c>
      <c r="B402" s="137"/>
      <c r="C402" s="126" t="str" cm="1">
        <f t="array" ref="C402">IF(B402="","",B402-IFERROR(LOOKUP(2,1/($B$6:B401&lt;&gt;""),$B$6:B401),Settings!$B$5))</f>
        <v/>
      </c>
      <c r="D402" s="127" t="str">
        <f>IF(B402="","",AVERAGE(B396:B402))</f>
        <v/>
      </c>
      <c r="E402" s="139"/>
      <c r="F402" s="140"/>
      <c r="G402" s="137"/>
      <c r="H402" s="139"/>
      <c r="I402" s="140"/>
      <c r="J402" s="141"/>
      <c r="K402" s="137"/>
      <c r="L402" s="142"/>
      <c r="M402" s="127" t="str">
        <f>IF(B402="","",B402/((Settings!$B$7)/100)^2)</f>
        <v/>
      </c>
      <c r="N402" s="25">
        <f>Settings!$B$6</f>
        <v>100</v>
      </c>
      <c r="O402" s="3" t="e">
        <f t="shared" si="36"/>
        <v>#N/A</v>
      </c>
      <c r="P402" s="3" t="e">
        <f t="shared" si="37"/>
        <v>#N/A</v>
      </c>
      <c r="Q402" s="3" t="e">
        <f t="shared" si="38"/>
        <v>#N/A</v>
      </c>
      <c r="R402" s="131">
        <f t="shared" si="39"/>
        <v>46674</v>
      </c>
      <c r="S402" s="3" t="e">
        <f t="shared" si="40"/>
        <v>#N/A</v>
      </c>
      <c r="T402" s="3" t="e">
        <f t="shared" si="41"/>
        <v>#N/A</v>
      </c>
      <c r="U402" s="3">
        <f>Settings!$B$6</f>
        <v>100</v>
      </c>
    </row>
    <row r="403" spans="1:21" ht="18" customHeight="1" x14ac:dyDescent="0.3">
      <c r="A403" s="132">
        <f>A402+1</f>
        <v>46675</v>
      </c>
      <c r="B403" s="138"/>
      <c r="C403" s="126" t="str" cm="1">
        <f t="array" ref="C403">IF(B403="","",B403-IFERROR(LOOKUP(2,1/($B$6:B402&lt;&gt;""),$B$6:B402),Settings!$B$5))</f>
        <v/>
      </c>
      <c r="D403" s="127" t="str">
        <f>IF(B403="","",AVERAGE(B397:B403))</f>
        <v/>
      </c>
      <c r="E403" s="143"/>
      <c r="F403" s="144"/>
      <c r="G403" s="138"/>
      <c r="H403" s="143"/>
      <c r="I403" s="144"/>
      <c r="J403" s="145"/>
      <c r="K403" s="138"/>
      <c r="L403" s="146"/>
      <c r="M403" s="127" t="str">
        <f>IF(B403="","",B403/((Settings!$B$7)/100)^2)</f>
        <v/>
      </c>
      <c r="N403" s="25">
        <f>Settings!$B$6</f>
        <v>100</v>
      </c>
      <c r="O403" s="3" t="e">
        <f t="shared" si="36"/>
        <v>#N/A</v>
      </c>
      <c r="P403" s="3" t="e">
        <f t="shared" si="37"/>
        <v>#N/A</v>
      </c>
      <c r="Q403" s="3" t="e">
        <f t="shared" si="38"/>
        <v>#N/A</v>
      </c>
      <c r="R403" s="131">
        <f t="shared" si="39"/>
        <v>46675</v>
      </c>
      <c r="S403" s="3" t="e">
        <f t="shared" si="40"/>
        <v>#N/A</v>
      </c>
      <c r="T403" s="3" t="e">
        <f t="shared" si="41"/>
        <v>#N/A</v>
      </c>
      <c r="U403" s="3">
        <f>Settings!$B$6</f>
        <v>100</v>
      </c>
    </row>
    <row r="404" spans="1:21" ht="18" customHeight="1" x14ac:dyDescent="0.3">
      <c r="A404" s="124">
        <f>A403+1</f>
        <v>46676</v>
      </c>
      <c r="B404" s="137"/>
      <c r="C404" s="126" t="str" cm="1">
        <f t="array" ref="C404">IF(B404="","",B404-IFERROR(LOOKUP(2,1/($B$6:B403&lt;&gt;""),$B$6:B403),Settings!$B$5))</f>
        <v/>
      </c>
      <c r="D404" s="127" t="str">
        <f>IF(B404="","",AVERAGE(B398:B404))</f>
        <v/>
      </c>
      <c r="E404" s="139"/>
      <c r="F404" s="140"/>
      <c r="G404" s="137"/>
      <c r="H404" s="139"/>
      <c r="I404" s="140"/>
      <c r="J404" s="141"/>
      <c r="K404" s="137"/>
      <c r="L404" s="142"/>
      <c r="M404" s="127" t="str">
        <f>IF(B404="","",B404/((Settings!$B$7)/100)^2)</f>
        <v/>
      </c>
      <c r="N404" s="25">
        <f>Settings!$B$6</f>
        <v>100</v>
      </c>
      <c r="O404" s="3" t="e">
        <f t="shared" si="36"/>
        <v>#N/A</v>
      </c>
      <c r="P404" s="3" t="e">
        <f t="shared" si="37"/>
        <v>#N/A</v>
      </c>
      <c r="Q404" s="3" t="e">
        <f t="shared" si="38"/>
        <v>#N/A</v>
      </c>
      <c r="R404" s="131">
        <f t="shared" si="39"/>
        <v>46676</v>
      </c>
      <c r="S404" s="3" t="e">
        <f t="shared" si="40"/>
        <v>#N/A</v>
      </c>
      <c r="T404" s="3" t="e">
        <f t="shared" si="41"/>
        <v>#N/A</v>
      </c>
      <c r="U404" s="3">
        <f>Settings!$B$6</f>
        <v>100</v>
      </c>
    </row>
    <row r="405" spans="1:21" ht="18" customHeight="1" x14ac:dyDescent="0.3">
      <c r="A405" s="132">
        <f>A404+1</f>
        <v>46677</v>
      </c>
      <c r="B405" s="138"/>
      <c r="C405" s="126" t="str" cm="1">
        <f t="array" ref="C405">IF(B405="","",B405-IFERROR(LOOKUP(2,1/($B$6:B404&lt;&gt;""),$B$6:B404),Settings!$B$5))</f>
        <v/>
      </c>
      <c r="D405" s="127" t="str">
        <f>IF(B405="","",AVERAGE(B399:B405))</f>
        <v/>
      </c>
      <c r="E405" s="143"/>
      <c r="F405" s="144"/>
      <c r="G405" s="138"/>
      <c r="H405" s="143"/>
      <c r="I405" s="144"/>
      <c r="J405" s="145"/>
      <c r="K405" s="138"/>
      <c r="L405" s="146"/>
      <c r="M405" s="127" t="str">
        <f>IF(B405="","",B405/((Settings!$B$7)/100)^2)</f>
        <v/>
      </c>
      <c r="N405" s="25">
        <f>Settings!$B$6</f>
        <v>100</v>
      </c>
      <c r="O405" s="3" t="e">
        <f t="shared" si="36"/>
        <v>#N/A</v>
      </c>
      <c r="P405" s="3" t="e">
        <f t="shared" si="37"/>
        <v>#N/A</v>
      </c>
      <c r="Q405" s="3" t="e">
        <f t="shared" si="38"/>
        <v>#N/A</v>
      </c>
      <c r="R405" s="131">
        <f t="shared" si="39"/>
        <v>46677</v>
      </c>
      <c r="S405" s="3" t="e">
        <f t="shared" si="40"/>
        <v>#N/A</v>
      </c>
      <c r="T405" s="3" t="e">
        <f t="shared" si="41"/>
        <v>#N/A</v>
      </c>
      <c r="U405" s="3">
        <f>Settings!$B$6</f>
        <v>100</v>
      </c>
    </row>
    <row r="406" spans="1:21" ht="18" customHeight="1" x14ac:dyDescent="0.3">
      <c r="A406" s="124">
        <f>A405+1</f>
        <v>46678</v>
      </c>
      <c r="B406" s="137"/>
      <c r="C406" s="126" t="str" cm="1">
        <f t="array" ref="C406">IF(B406="","",B406-IFERROR(LOOKUP(2,1/($B$6:B405&lt;&gt;""),$B$6:B405),Settings!$B$5))</f>
        <v/>
      </c>
      <c r="D406" s="127" t="str">
        <f>IF(B406="","",AVERAGE(B400:B406))</f>
        <v/>
      </c>
      <c r="E406" s="139"/>
      <c r="F406" s="140"/>
      <c r="G406" s="137"/>
      <c r="H406" s="139"/>
      <c r="I406" s="140"/>
      <c r="J406" s="141"/>
      <c r="K406" s="137"/>
      <c r="L406" s="142"/>
      <c r="M406" s="127" t="str">
        <f>IF(B406="","",B406/((Settings!$B$7)/100)^2)</f>
        <v/>
      </c>
      <c r="N406" s="25">
        <f>Settings!$B$6</f>
        <v>100</v>
      </c>
      <c r="O406" s="3" t="e">
        <f t="shared" si="36"/>
        <v>#N/A</v>
      </c>
      <c r="P406" s="3" t="e">
        <f t="shared" si="37"/>
        <v>#N/A</v>
      </c>
      <c r="Q406" s="3" t="e">
        <f t="shared" si="38"/>
        <v>#N/A</v>
      </c>
      <c r="R406" s="131">
        <f t="shared" si="39"/>
        <v>46678</v>
      </c>
      <c r="S406" s="3" t="e">
        <f t="shared" si="40"/>
        <v>#N/A</v>
      </c>
      <c r="T406" s="3" t="e">
        <f t="shared" si="41"/>
        <v>#N/A</v>
      </c>
      <c r="U406" s="3">
        <f>Settings!$B$6</f>
        <v>100</v>
      </c>
    </row>
    <row r="407" spans="1:21" ht="18" customHeight="1" x14ac:dyDescent="0.3">
      <c r="A407" s="132">
        <f>A406+1</f>
        <v>46679</v>
      </c>
      <c r="B407" s="138"/>
      <c r="C407" s="126" t="str" cm="1">
        <f t="array" ref="C407">IF(B407="","",B407-IFERROR(LOOKUP(2,1/($B$6:B406&lt;&gt;""),$B$6:B406),Settings!$B$5))</f>
        <v/>
      </c>
      <c r="D407" s="127" t="str">
        <f>IF(B407="","",AVERAGE(B401:B407))</f>
        <v/>
      </c>
      <c r="E407" s="143"/>
      <c r="F407" s="144"/>
      <c r="G407" s="138"/>
      <c r="H407" s="143"/>
      <c r="I407" s="144"/>
      <c r="J407" s="145"/>
      <c r="K407" s="138"/>
      <c r="L407" s="146"/>
      <c r="M407" s="127" t="str">
        <f>IF(B407="","",B407/((Settings!$B$7)/100)^2)</f>
        <v/>
      </c>
      <c r="N407" s="25">
        <f>Settings!$B$6</f>
        <v>100</v>
      </c>
      <c r="O407" s="3" t="e">
        <f t="shared" si="36"/>
        <v>#N/A</v>
      </c>
      <c r="P407" s="3" t="e">
        <f t="shared" si="37"/>
        <v>#N/A</v>
      </c>
      <c r="Q407" s="3" t="e">
        <f t="shared" si="38"/>
        <v>#N/A</v>
      </c>
      <c r="R407" s="131">
        <f t="shared" si="39"/>
        <v>46679</v>
      </c>
      <c r="S407" s="3" t="e">
        <f t="shared" si="40"/>
        <v>#N/A</v>
      </c>
      <c r="T407" s="3" t="e">
        <f t="shared" si="41"/>
        <v>#N/A</v>
      </c>
      <c r="U407" s="3">
        <f>Settings!$B$6</f>
        <v>100</v>
      </c>
    </row>
    <row r="408" spans="1:21" ht="18" customHeight="1" x14ac:dyDescent="0.3">
      <c r="A408" s="124">
        <f>A407+1</f>
        <v>46680</v>
      </c>
      <c r="B408" s="137"/>
      <c r="C408" s="126" t="str" cm="1">
        <f t="array" ref="C408">IF(B408="","",B408-IFERROR(LOOKUP(2,1/($B$6:B407&lt;&gt;""),$B$6:B407),Settings!$B$5))</f>
        <v/>
      </c>
      <c r="D408" s="127" t="str">
        <f>IF(B408="","",AVERAGE(B402:B408))</f>
        <v/>
      </c>
      <c r="E408" s="139"/>
      <c r="F408" s="140"/>
      <c r="G408" s="137"/>
      <c r="H408" s="139"/>
      <c r="I408" s="140"/>
      <c r="J408" s="141"/>
      <c r="K408" s="137"/>
      <c r="L408" s="142"/>
      <c r="M408" s="127" t="str">
        <f>IF(B408="","",B408/((Settings!$B$7)/100)^2)</f>
        <v/>
      </c>
      <c r="N408" s="25">
        <f>Settings!$B$6</f>
        <v>100</v>
      </c>
      <c r="O408" s="3" t="e">
        <f t="shared" si="36"/>
        <v>#N/A</v>
      </c>
      <c r="P408" s="3" t="e">
        <f t="shared" si="37"/>
        <v>#N/A</v>
      </c>
      <c r="Q408" s="3" t="e">
        <f t="shared" si="38"/>
        <v>#N/A</v>
      </c>
      <c r="R408" s="131">
        <f t="shared" si="39"/>
        <v>46680</v>
      </c>
      <c r="S408" s="3" t="e">
        <f t="shared" si="40"/>
        <v>#N/A</v>
      </c>
      <c r="T408" s="3" t="e">
        <f t="shared" si="41"/>
        <v>#N/A</v>
      </c>
      <c r="U408" s="3">
        <f>Settings!$B$6</f>
        <v>100</v>
      </c>
    </row>
    <row r="409" spans="1:21" ht="18" customHeight="1" x14ac:dyDescent="0.3">
      <c r="A409" s="132">
        <f>A408+1</f>
        <v>46681</v>
      </c>
      <c r="B409" s="138"/>
      <c r="C409" s="126" t="str" cm="1">
        <f t="array" ref="C409">IF(B409="","",B409-IFERROR(LOOKUP(2,1/($B$6:B408&lt;&gt;""),$B$6:B408),Settings!$B$5))</f>
        <v/>
      </c>
      <c r="D409" s="127" t="str">
        <f>IF(B409="","",AVERAGE(B403:B409))</f>
        <v/>
      </c>
      <c r="E409" s="143"/>
      <c r="F409" s="144"/>
      <c r="G409" s="138"/>
      <c r="H409" s="143"/>
      <c r="I409" s="144"/>
      <c r="J409" s="145"/>
      <c r="K409" s="138"/>
      <c r="L409" s="146"/>
      <c r="M409" s="127" t="str">
        <f>IF(B409="","",B409/((Settings!$B$7)/100)^2)</f>
        <v/>
      </c>
      <c r="N409" s="25">
        <f>Settings!$B$6</f>
        <v>100</v>
      </c>
      <c r="O409" s="3" t="e">
        <f t="shared" si="36"/>
        <v>#N/A</v>
      </c>
      <c r="P409" s="3" t="e">
        <f t="shared" si="37"/>
        <v>#N/A</v>
      </c>
      <c r="Q409" s="3" t="e">
        <f t="shared" si="38"/>
        <v>#N/A</v>
      </c>
      <c r="R409" s="131">
        <f t="shared" si="39"/>
        <v>46681</v>
      </c>
      <c r="S409" s="3" t="e">
        <f t="shared" si="40"/>
        <v>#N/A</v>
      </c>
      <c r="T409" s="3" t="e">
        <f t="shared" si="41"/>
        <v>#N/A</v>
      </c>
      <c r="U409" s="3">
        <f>Settings!$B$6</f>
        <v>100</v>
      </c>
    </row>
    <row r="410" spans="1:21" ht="18" customHeight="1" x14ac:dyDescent="0.3">
      <c r="A410" s="124">
        <f>A409+1</f>
        <v>46682</v>
      </c>
      <c r="B410" s="137"/>
      <c r="C410" s="126" t="str" cm="1">
        <f t="array" ref="C410">IF(B410="","",B410-IFERROR(LOOKUP(2,1/($B$6:B409&lt;&gt;""),$B$6:B409),Settings!$B$5))</f>
        <v/>
      </c>
      <c r="D410" s="127" t="str">
        <f>IF(B410="","",AVERAGE(B404:B410))</f>
        <v/>
      </c>
      <c r="E410" s="139"/>
      <c r="F410" s="140"/>
      <c r="G410" s="137"/>
      <c r="H410" s="139"/>
      <c r="I410" s="140"/>
      <c r="J410" s="141"/>
      <c r="K410" s="137"/>
      <c r="L410" s="142"/>
      <c r="M410" s="127" t="str">
        <f>IF(B410="","",B410/((Settings!$B$7)/100)^2)</f>
        <v/>
      </c>
      <c r="N410" s="25">
        <f>Settings!$B$6</f>
        <v>100</v>
      </c>
      <c r="O410" s="3" t="e">
        <f t="shared" si="36"/>
        <v>#N/A</v>
      </c>
      <c r="P410" s="3" t="e">
        <f t="shared" si="37"/>
        <v>#N/A</v>
      </c>
      <c r="Q410" s="3" t="e">
        <f t="shared" si="38"/>
        <v>#N/A</v>
      </c>
      <c r="R410" s="131">
        <f t="shared" si="39"/>
        <v>46682</v>
      </c>
      <c r="S410" s="3" t="e">
        <f t="shared" si="40"/>
        <v>#N/A</v>
      </c>
      <c r="T410" s="3" t="e">
        <f t="shared" si="41"/>
        <v>#N/A</v>
      </c>
      <c r="U410" s="3">
        <f>Settings!$B$6</f>
        <v>100</v>
      </c>
    </row>
    <row r="411" spans="1:21" ht="18" customHeight="1" x14ac:dyDescent="0.3">
      <c r="A411" s="132">
        <f>A410+1</f>
        <v>46683</v>
      </c>
      <c r="B411" s="138"/>
      <c r="C411" s="126" t="str" cm="1">
        <f t="array" ref="C411">IF(B411="","",B411-IFERROR(LOOKUP(2,1/($B$6:B410&lt;&gt;""),$B$6:B410),Settings!$B$5))</f>
        <v/>
      </c>
      <c r="D411" s="127" t="str">
        <f>IF(B411="","",AVERAGE(B405:B411))</f>
        <v/>
      </c>
      <c r="E411" s="143"/>
      <c r="F411" s="144"/>
      <c r="G411" s="138"/>
      <c r="H411" s="143"/>
      <c r="I411" s="144"/>
      <c r="J411" s="145"/>
      <c r="K411" s="138"/>
      <c r="L411" s="146"/>
      <c r="M411" s="127" t="str">
        <f>IF(B411="","",B411/((Settings!$B$7)/100)^2)</f>
        <v/>
      </c>
      <c r="N411" s="25">
        <f>Settings!$B$6</f>
        <v>100</v>
      </c>
      <c r="O411" s="3" t="e">
        <f t="shared" si="36"/>
        <v>#N/A</v>
      </c>
      <c r="P411" s="3" t="e">
        <f t="shared" si="37"/>
        <v>#N/A</v>
      </c>
      <c r="Q411" s="3" t="e">
        <f t="shared" si="38"/>
        <v>#N/A</v>
      </c>
      <c r="R411" s="131">
        <f t="shared" si="39"/>
        <v>46683</v>
      </c>
      <c r="S411" s="3" t="e">
        <f t="shared" si="40"/>
        <v>#N/A</v>
      </c>
      <c r="T411" s="3" t="e">
        <f t="shared" si="41"/>
        <v>#N/A</v>
      </c>
      <c r="U411" s="3">
        <f>Settings!$B$6</f>
        <v>100</v>
      </c>
    </row>
    <row r="412" spans="1:21" ht="18" customHeight="1" x14ac:dyDescent="0.3">
      <c r="A412" s="124">
        <f>A411+1</f>
        <v>46684</v>
      </c>
      <c r="B412" s="137"/>
      <c r="C412" s="126" t="str" cm="1">
        <f t="array" ref="C412">IF(B412="","",B412-IFERROR(LOOKUP(2,1/($B$6:B411&lt;&gt;""),$B$6:B411),Settings!$B$5))</f>
        <v/>
      </c>
      <c r="D412" s="127" t="str">
        <f>IF(B412="","",AVERAGE(B406:B412))</f>
        <v/>
      </c>
      <c r="E412" s="139"/>
      <c r="F412" s="140"/>
      <c r="G412" s="137"/>
      <c r="H412" s="139"/>
      <c r="I412" s="140"/>
      <c r="J412" s="141"/>
      <c r="K412" s="137"/>
      <c r="L412" s="142"/>
      <c r="M412" s="127" t="str">
        <f>IF(B412="","",B412/((Settings!$B$7)/100)^2)</f>
        <v/>
      </c>
      <c r="N412" s="25">
        <f>Settings!$B$6</f>
        <v>100</v>
      </c>
      <c r="O412" s="3" t="e">
        <f t="shared" si="36"/>
        <v>#N/A</v>
      </c>
      <c r="P412" s="3" t="e">
        <f t="shared" si="37"/>
        <v>#N/A</v>
      </c>
      <c r="Q412" s="3" t="e">
        <f t="shared" si="38"/>
        <v>#N/A</v>
      </c>
      <c r="R412" s="131">
        <f t="shared" si="39"/>
        <v>46684</v>
      </c>
      <c r="S412" s="3" t="e">
        <f t="shared" si="40"/>
        <v>#N/A</v>
      </c>
      <c r="T412" s="3" t="e">
        <f t="shared" si="41"/>
        <v>#N/A</v>
      </c>
      <c r="U412" s="3">
        <f>Settings!$B$6</f>
        <v>100</v>
      </c>
    </row>
    <row r="413" spans="1:21" ht="18" customHeight="1" x14ac:dyDescent="0.3">
      <c r="A413" s="132">
        <f>A412+1</f>
        <v>46685</v>
      </c>
      <c r="B413" s="138"/>
      <c r="C413" s="126" t="str" cm="1">
        <f t="array" ref="C413">IF(B413="","",B413-IFERROR(LOOKUP(2,1/($B$6:B412&lt;&gt;""),$B$6:B412),Settings!$B$5))</f>
        <v/>
      </c>
      <c r="D413" s="127" t="str">
        <f>IF(B413="","",AVERAGE(B407:B413))</f>
        <v/>
      </c>
      <c r="E413" s="143"/>
      <c r="F413" s="144"/>
      <c r="G413" s="138"/>
      <c r="H413" s="143"/>
      <c r="I413" s="144"/>
      <c r="J413" s="145"/>
      <c r="K413" s="138"/>
      <c r="L413" s="146"/>
      <c r="M413" s="127" t="str">
        <f>IF(B413="","",B413/((Settings!$B$7)/100)^2)</f>
        <v/>
      </c>
      <c r="N413" s="25">
        <f>Settings!$B$6</f>
        <v>100</v>
      </c>
      <c r="O413" s="3" t="e">
        <f t="shared" si="36"/>
        <v>#N/A</v>
      </c>
      <c r="P413" s="3" t="e">
        <f t="shared" si="37"/>
        <v>#N/A</v>
      </c>
      <c r="Q413" s="3" t="e">
        <f t="shared" si="38"/>
        <v>#N/A</v>
      </c>
      <c r="R413" s="131">
        <f t="shared" si="39"/>
        <v>46685</v>
      </c>
      <c r="S413" s="3" t="e">
        <f t="shared" si="40"/>
        <v>#N/A</v>
      </c>
      <c r="T413" s="3" t="e">
        <f t="shared" si="41"/>
        <v>#N/A</v>
      </c>
      <c r="U413" s="3">
        <f>Settings!$B$6</f>
        <v>100</v>
      </c>
    </row>
    <row r="414" spans="1:21" ht="18" customHeight="1" x14ac:dyDescent="0.3">
      <c r="A414" s="124">
        <f>A413+1</f>
        <v>46686</v>
      </c>
      <c r="B414" s="137"/>
      <c r="C414" s="126" t="str" cm="1">
        <f t="array" ref="C414">IF(B414="","",B414-IFERROR(LOOKUP(2,1/($B$6:B413&lt;&gt;""),$B$6:B413),Settings!$B$5))</f>
        <v/>
      </c>
      <c r="D414" s="127" t="str">
        <f>IF(B414="","",AVERAGE(B408:B414))</f>
        <v/>
      </c>
      <c r="E414" s="139"/>
      <c r="F414" s="140"/>
      <c r="G414" s="137"/>
      <c r="H414" s="139"/>
      <c r="I414" s="140"/>
      <c r="J414" s="141"/>
      <c r="K414" s="137"/>
      <c r="L414" s="142"/>
      <c r="M414" s="127" t="str">
        <f>IF(B414="","",B414/((Settings!$B$7)/100)^2)</f>
        <v/>
      </c>
      <c r="N414" s="25">
        <f>Settings!$B$6</f>
        <v>100</v>
      </c>
      <c r="O414" s="3" t="e">
        <f t="shared" si="36"/>
        <v>#N/A</v>
      </c>
      <c r="P414" s="3" t="e">
        <f t="shared" si="37"/>
        <v>#N/A</v>
      </c>
      <c r="Q414" s="3" t="e">
        <f t="shared" si="38"/>
        <v>#N/A</v>
      </c>
      <c r="R414" s="131">
        <f t="shared" si="39"/>
        <v>46686</v>
      </c>
      <c r="S414" s="3" t="e">
        <f t="shared" si="40"/>
        <v>#N/A</v>
      </c>
      <c r="T414" s="3" t="e">
        <f t="shared" si="41"/>
        <v>#N/A</v>
      </c>
      <c r="U414" s="3">
        <f>Settings!$B$6</f>
        <v>100</v>
      </c>
    </row>
    <row r="415" spans="1:21" ht="18" customHeight="1" x14ac:dyDescent="0.3">
      <c r="A415" s="132">
        <f>A414+1</f>
        <v>46687</v>
      </c>
      <c r="B415" s="138"/>
      <c r="C415" s="126" t="str" cm="1">
        <f t="array" ref="C415">IF(B415="","",B415-IFERROR(LOOKUP(2,1/($B$6:B414&lt;&gt;""),$B$6:B414),Settings!$B$5))</f>
        <v/>
      </c>
      <c r="D415" s="127" t="str">
        <f>IF(B415="","",AVERAGE(B409:B415))</f>
        <v/>
      </c>
      <c r="E415" s="143"/>
      <c r="F415" s="144"/>
      <c r="G415" s="138"/>
      <c r="H415" s="143"/>
      <c r="I415" s="144"/>
      <c r="J415" s="145"/>
      <c r="K415" s="138"/>
      <c r="L415" s="146"/>
      <c r="M415" s="127" t="str">
        <f>IF(B415="","",B415/((Settings!$B$7)/100)^2)</f>
        <v/>
      </c>
      <c r="N415" s="25">
        <f>Settings!$B$6</f>
        <v>100</v>
      </c>
      <c r="O415" s="3" t="e">
        <f t="shared" si="36"/>
        <v>#N/A</v>
      </c>
      <c r="P415" s="3" t="e">
        <f t="shared" si="37"/>
        <v>#N/A</v>
      </c>
      <c r="Q415" s="3" t="e">
        <f t="shared" si="38"/>
        <v>#N/A</v>
      </c>
      <c r="R415" s="131">
        <f t="shared" si="39"/>
        <v>46687</v>
      </c>
      <c r="S415" s="3" t="e">
        <f t="shared" si="40"/>
        <v>#N/A</v>
      </c>
      <c r="T415" s="3" t="e">
        <f t="shared" si="41"/>
        <v>#N/A</v>
      </c>
      <c r="U415" s="3">
        <f>Settings!$B$6</f>
        <v>100</v>
      </c>
    </row>
    <row r="416" spans="1:21" ht="18" customHeight="1" x14ac:dyDescent="0.3">
      <c r="A416" s="124">
        <f>A415+1</f>
        <v>46688</v>
      </c>
      <c r="B416" s="137"/>
      <c r="C416" s="126" t="str" cm="1">
        <f t="array" ref="C416">IF(B416="","",B416-IFERROR(LOOKUP(2,1/($B$6:B415&lt;&gt;""),$B$6:B415),Settings!$B$5))</f>
        <v/>
      </c>
      <c r="D416" s="127" t="str">
        <f>IF(B416="","",AVERAGE(B410:B416))</f>
        <v/>
      </c>
      <c r="E416" s="139"/>
      <c r="F416" s="140"/>
      <c r="G416" s="137"/>
      <c r="H416" s="139"/>
      <c r="I416" s="140"/>
      <c r="J416" s="141"/>
      <c r="K416" s="137"/>
      <c r="L416" s="142"/>
      <c r="M416" s="127" t="str">
        <f>IF(B416="","",B416/((Settings!$B$7)/100)^2)</f>
        <v/>
      </c>
      <c r="N416" s="25">
        <f>Settings!$B$6</f>
        <v>100</v>
      </c>
      <c r="O416" s="3" t="e">
        <f t="shared" si="36"/>
        <v>#N/A</v>
      </c>
      <c r="P416" s="3" t="e">
        <f t="shared" si="37"/>
        <v>#N/A</v>
      </c>
      <c r="Q416" s="3" t="e">
        <f t="shared" si="38"/>
        <v>#N/A</v>
      </c>
      <c r="R416" s="131">
        <f t="shared" si="39"/>
        <v>46688</v>
      </c>
      <c r="S416" s="3" t="e">
        <f t="shared" si="40"/>
        <v>#N/A</v>
      </c>
      <c r="T416" s="3" t="e">
        <f t="shared" si="41"/>
        <v>#N/A</v>
      </c>
      <c r="U416" s="3">
        <f>Settings!$B$6</f>
        <v>100</v>
      </c>
    </row>
    <row r="417" spans="1:21" ht="18" customHeight="1" x14ac:dyDescent="0.3">
      <c r="A417" s="132">
        <f>A416+1</f>
        <v>46689</v>
      </c>
      <c r="B417" s="138"/>
      <c r="C417" s="126" t="str" cm="1">
        <f t="array" ref="C417">IF(B417="","",B417-IFERROR(LOOKUP(2,1/($B$6:B416&lt;&gt;""),$B$6:B416),Settings!$B$5))</f>
        <v/>
      </c>
      <c r="D417" s="127" t="str">
        <f>IF(B417="","",AVERAGE(B411:B417))</f>
        <v/>
      </c>
      <c r="E417" s="143"/>
      <c r="F417" s="144"/>
      <c r="G417" s="138"/>
      <c r="H417" s="143"/>
      <c r="I417" s="144"/>
      <c r="J417" s="145"/>
      <c r="K417" s="138"/>
      <c r="L417" s="146"/>
      <c r="M417" s="127" t="str">
        <f>IF(B417="","",B417/((Settings!$B$7)/100)^2)</f>
        <v/>
      </c>
      <c r="N417" s="25">
        <f>Settings!$B$6</f>
        <v>100</v>
      </c>
      <c r="O417" s="3" t="e">
        <f t="shared" si="36"/>
        <v>#N/A</v>
      </c>
      <c r="P417" s="3" t="e">
        <f t="shared" si="37"/>
        <v>#N/A</v>
      </c>
      <c r="Q417" s="3" t="e">
        <f t="shared" si="38"/>
        <v>#N/A</v>
      </c>
      <c r="R417" s="131">
        <f t="shared" si="39"/>
        <v>46689</v>
      </c>
      <c r="S417" s="3" t="e">
        <f t="shared" si="40"/>
        <v>#N/A</v>
      </c>
      <c r="T417" s="3" t="e">
        <f t="shared" si="41"/>
        <v>#N/A</v>
      </c>
      <c r="U417" s="3">
        <f>Settings!$B$6</f>
        <v>100</v>
      </c>
    </row>
    <row r="418" spans="1:21" ht="18" customHeight="1" x14ac:dyDescent="0.3">
      <c r="A418" s="124">
        <f>A417+1</f>
        <v>46690</v>
      </c>
      <c r="B418" s="137"/>
      <c r="C418" s="126" t="str" cm="1">
        <f t="array" ref="C418">IF(B418="","",B418-IFERROR(LOOKUP(2,1/($B$6:B417&lt;&gt;""),$B$6:B417),Settings!$B$5))</f>
        <v/>
      </c>
      <c r="D418" s="127" t="str">
        <f>IF(B418="","",AVERAGE(B412:B418))</f>
        <v/>
      </c>
      <c r="E418" s="139"/>
      <c r="F418" s="140"/>
      <c r="G418" s="137"/>
      <c r="H418" s="139"/>
      <c r="I418" s="140"/>
      <c r="J418" s="141"/>
      <c r="K418" s="137"/>
      <c r="L418" s="142"/>
      <c r="M418" s="127" t="str">
        <f>IF(B418="","",B418/((Settings!$B$7)/100)^2)</f>
        <v/>
      </c>
      <c r="N418" s="25">
        <f>Settings!$B$6</f>
        <v>100</v>
      </c>
      <c r="O418" s="3" t="e">
        <f t="shared" si="36"/>
        <v>#N/A</v>
      </c>
      <c r="P418" s="3" t="e">
        <f t="shared" si="37"/>
        <v>#N/A</v>
      </c>
      <c r="Q418" s="3" t="e">
        <f t="shared" si="38"/>
        <v>#N/A</v>
      </c>
      <c r="R418" s="131">
        <f t="shared" si="39"/>
        <v>46690</v>
      </c>
      <c r="S418" s="3" t="e">
        <f t="shared" si="40"/>
        <v>#N/A</v>
      </c>
      <c r="T418" s="3" t="e">
        <f t="shared" si="41"/>
        <v>#N/A</v>
      </c>
      <c r="U418" s="3">
        <f>Settings!$B$6</f>
        <v>100</v>
      </c>
    </row>
    <row r="419" spans="1:21" ht="18" customHeight="1" x14ac:dyDescent="0.3">
      <c r="A419" s="132">
        <f>A418+1</f>
        <v>46691</v>
      </c>
      <c r="B419" s="138"/>
      <c r="C419" s="126" t="str" cm="1">
        <f t="array" ref="C419">IF(B419="","",B419-IFERROR(LOOKUP(2,1/($B$6:B418&lt;&gt;""),$B$6:B418),Settings!$B$5))</f>
        <v/>
      </c>
      <c r="D419" s="127" t="str">
        <f>IF(B419="","",AVERAGE(B413:B419))</f>
        <v/>
      </c>
      <c r="E419" s="143"/>
      <c r="F419" s="144"/>
      <c r="G419" s="138"/>
      <c r="H419" s="143"/>
      <c r="I419" s="144"/>
      <c r="J419" s="145"/>
      <c r="K419" s="138"/>
      <c r="L419" s="146"/>
      <c r="M419" s="127" t="str">
        <f>IF(B419="","",B419/((Settings!$B$7)/100)^2)</f>
        <v/>
      </c>
      <c r="N419" s="25">
        <f>Settings!$B$6</f>
        <v>100</v>
      </c>
      <c r="O419" s="3" t="e">
        <f t="shared" si="36"/>
        <v>#N/A</v>
      </c>
      <c r="P419" s="3" t="e">
        <f t="shared" si="37"/>
        <v>#N/A</v>
      </c>
      <c r="Q419" s="3" t="e">
        <f t="shared" si="38"/>
        <v>#N/A</v>
      </c>
      <c r="R419" s="131">
        <f t="shared" si="39"/>
        <v>46691</v>
      </c>
      <c r="S419" s="3" t="e">
        <f t="shared" si="40"/>
        <v>#N/A</v>
      </c>
      <c r="T419" s="3" t="e">
        <f t="shared" si="41"/>
        <v>#N/A</v>
      </c>
      <c r="U419" s="3">
        <f>Settings!$B$6</f>
        <v>100</v>
      </c>
    </row>
    <row r="420" spans="1:21" ht="18" customHeight="1" x14ac:dyDescent="0.3">
      <c r="A420" s="124">
        <f>A419+1</f>
        <v>46692</v>
      </c>
      <c r="B420" s="137"/>
      <c r="C420" s="126" t="str" cm="1">
        <f t="array" ref="C420">IF(B420="","",B420-IFERROR(LOOKUP(2,1/($B$6:B419&lt;&gt;""),$B$6:B419),Settings!$B$5))</f>
        <v/>
      </c>
      <c r="D420" s="127" t="str">
        <f>IF(B420="","",AVERAGE(B414:B420))</f>
        <v/>
      </c>
      <c r="E420" s="139"/>
      <c r="F420" s="140"/>
      <c r="G420" s="137"/>
      <c r="H420" s="139"/>
      <c r="I420" s="140"/>
      <c r="J420" s="141"/>
      <c r="K420" s="137"/>
      <c r="L420" s="142"/>
      <c r="M420" s="127" t="str">
        <f>IF(B420="","",B420/((Settings!$B$7)/100)^2)</f>
        <v/>
      </c>
      <c r="N420" s="25">
        <f>Settings!$B$6</f>
        <v>100</v>
      </c>
      <c r="O420" s="3" t="e">
        <f t="shared" si="36"/>
        <v>#N/A</v>
      </c>
      <c r="P420" s="3" t="e">
        <f t="shared" si="37"/>
        <v>#N/A</v>
      </c>
      <c r="Q420" s="3" t="e">
        <f t="shared" si="38"/>
        <v>#N/A</v>
      </c>
      <c r="R420" s="131">
        <f t="shared" si="39"/>
        <v>46692</v>
      </c>
      <c r="S420" s="3" t="e">
        <f t="shared" si="40"/>
        <v>#N/A</v>
      </c>
      <c r="T420" s="3" t="e">
        <f t="shared" si="41"/>
        <v>#N/A</v>
      </c>
      <c r="U420" s="3">
        <f>Settings!$B$6</f>
        <v>100</v>
      </c>
    </row>
    <row r="421" spans="1:21" ht="18" customHeight="1" x14ac:dyDescent="0.3">
      <c r="A421" s="132">
        <f>A420+1</f>
        <v>46693</v>
      </c>
      <c r="B421" s="138"/>
      <c r="C421" s="126" t="str" cm="1">
        <f t="array" ref="C421">IF(B421="","",B421-IFERROR(LOOKUP(2,1/($B$6:B420&lt;&gt;""),$B$6:B420),Settings!$B$5))</f>
        <v/>
      </c>
      <c r="D421" s="127" t="str">
        <f>IF(B421="","",AVERAGE(B415:B421))</f>
        <v/>
      </c>
      <c r="E421" s="143"/>
      <c r="F421" s="144"/>
      <c r="G421" s="138"/>
      <c r="H421" s="143"/>
      <c r="I421" s="144"/>
      <c r="J421" s="145"/>
      <c r="K421" s="138"/>
      <c r="L421" s="146"/>
      <c r="M421" s="127" t="str">
        <f>IF(B421="","",B421/((Settings!$B$7)/100)^2)</f>
        <v/>
      </c>
      <c r="N421" s="25">
        <f>Settings!$B$6</f>
        <v>100</v>
      </c>
      <c r="O421" s="3" t="e">
        <f t="shared" si="36"/>
        <v>#N/A</v>
      </c>
      <c r="P421" s="3" t="e">
        <f t="shared" si="37"/>
        <v>#N/A</v>
      </c>
      <c r="Q421" s="3" t="e">
        <f t="shared" si="38"/>
        <v>#N/A</v>
      </c>
      <c r="R421" s="131">
        <f t="shared" si="39"/>
        <v>46693</v>
      </c>
      <c r="S421" s="3" t="e">
        <f t="shared" si="40"/>
        <v>#N/A</v>
      </c>
      <c r="T421" s="3" t="e">
        <f t="shared" si="41"/>
        <v>#N/A</v>
      </c>
      <c r="U421" s="3">
        <f>Settings!$B$6</f>
        <v>100</v>
      </c>
    </row>
    <row r="422" spans="1:21" ht="18" customHeight="1" x14ac:dyDescent="0.3">
      <c r="A422" s="124">
        <f>A421+1</f>
        <v>46694</v>
      </c>
      <c r="B422" s="137"/>
      <c r="C422" s="126" t="str" cm="1">
        <f t="array" ref="C422">IF(B422="","",B422-IFERROR(LOOKUP(2,1/($B$6:B421&lt;&gt;""),$B$6:B421),Settings!$B$5))</f>
        <v/>
      </c>
      <c r="D422" s="127" t="str">
        <f>IF(B422="","",AVERAGE(B416:B422))</f>
        <v/>
      </c>
      <c r="E422" s="139"/>
      <c r="F422" s="140"/>
      <c r="G422" s="137"/>
      <c r="H422" s="139"/>
      <c r="I422" s="140"/>
      <c r="J422" s="141"/>
      <c r="K422" s="137"/>
      <c r="L422" s="142"/>
      <c r="M422" s="127" t="str">
        <f>IF(B422="","",B422/((Settings!$B$7)/100)^2)</f>
        <v/>
      </c>
      <c r="N422" s="25">
        <f>Settings!$B$6</f>
        <v>100</v>
      </c>
      <c r="O422" s="3" t="e">
        <f t="shared" si="36"/>
        <v>#N/A</v>
      </c>
      <c r="P422" s="3" t="e">
        <f t="shared" si="37"/>
        <v>#N/A</v>
      </c>
      <c r="Q422" s="3" t="e">
        <f t="shared" si="38"/>
        <v>#N/A</v>
      </c>
      <c r="R422" s="131">
        <f t="shared" si="39"/>
        <v>46694</v>
      </c>
      <c r="S422" s="3" t="e">
        <f t="shared" si="40"/>
        <v>#N/A</v>
      </c>
      <c r="T422" s="3" t="e">
        <f t="shared" si="41"/>
        <v>#N/A</v>
      </c>
      <c r="U422" s="3">
        <f>Settings!$B$6</f>
        <v>100</v>
      </c>
    </row>
    <row r="423" spans="1:21" ht="18" customHeight="1" x14ac:dyDescent="0.3">
      <c r="A423" s="132">
        <f>A422+1</f>
        <v>46695</v>
      </c>
      <c r="B423" s="138"/>
      <c r="C423" s="126" t="str" cm="1">
        <f t="array" ref="C423">IF(B423="","",B423-IFERROR(LOOKUP(2,1/($B$6:B422&lt;&gt;""),$B$6:B422),Settings!$B$5))</f>
        <v/>
      </c>
      <c r="D423" s="127" t="str">
        <f>IF(B423="","",AVERAGE(B417:B423))</f>
        <v/>
      </c>
      <c r="E423" s="143"/>
      <c r="F423" s="144"/>
      <c r="G423" s="138"/>
      <c r="H423" s="143"/>
      <c r="I423" s="144"/>
      <c r="J423" s="145"/>
      <c r="K423" s="138"/>
      <c r="L423" s="146"/>
      <c r="M423" s="127" t="str">
        <f>IF(B423="","",B423/((Settings!$B$7)/100)^2)</f>
        <v/>
      </c>
      <c r="N423" s="25">
        <f>Settings!$B$6</f>
        <v>100</v>
      </c>
      <c r="O423" s="3" t="e">
        <f t="shared" si="36"/>
        <v>#N/A</v>
      </c>
      <c r="P423" s="3" t="e">
        <f t="shared" si="37"/>
        <v>#N/A</v>
      </c>
      <c r="Q423" s="3" t="e">
        <f t="shared" si="38"/>
        <v>#N/A</v>
      </c>
      <c r="R423" s="131">
        <f t="shared" si="39"/>
        <v>46695</v>
      </c>
      <c r="S423" s="3" t="e">
        <f t="shared" si="40"/>
        <v>#N/A</v>
      </c>
      <c r="T423" s="3" t="e">
        <f t="shared" si="41"/>
        <v>#N/A</v>
      </c>
      <c r="U423" s="3">
        <f>Settings!$B$6</f>
        <v>100</v>
      </c>
    </row>
    <row r="424" spans="1:21" ht="18" customHeight="1" x14ac:dyDescent="0.3">
      <c r="A424" s="124">
        <f>A423+1</f>
        <v>46696</v>
      </c>
      <c r="B424" s="137"/>
      <c r="C424" s="126" t="str" cm="1">
        <f t="array" ref="C424">IF(B424="","",B424-IFERROR(LOOKUP(2,1/($B$6:B423&lt;&gt;""),$B$6:B423),Settings!$B$5))</f>
        <v/>
      </c>
      <c r="D424" s="127" t="str">
        <f>IF(B424="","",AVERAGE(B418:B424))</f>
        <v/>
      </c>
      <c r="E424" s="139"/>
      <c r="F424" s="140"/>
      <c r="G424" s="137"/>
      <c r="H424" s="139"/>
      <c r="I424" s="140"/>
      <c r="J424" s="141"/>
      <c r="K424" s="137"/>
      <c r="L424" s="142"/>
      <c r="M424" s="127" t="str">
        <f>IF(B424="","",B424/((Settings!$B$7)/100)^2)</f>
        <v/>
      </c>
      <c r="N424" s="25">
        <f>Settings!$B$6</f>
        <v>100</v>
      </c>
      <c r="O424" s="3" t="e">
        <f t="shared" si="36"/>
        <v>#N/A</v>
      </c>
      <c r="P424" s="3" t="e">
        <f t="shared" si="37"/>
        <v>#N/A</v>
      </c>
      <c r="Q424" s="3" t="e">
        <f t="shared" si="38"/>
        <v>#N/A</v>
      </c>
      <c r="R424" s="131">
        <f t="shared" si="39"/>
        <v>46696</v>
      </c>
      <c r="S424" s="3" t="e">
        <f t="shared" si="40"/>
        <v>#N/A</v>
      </c>
      <c r="T424" s="3" t="e">
        <f t="shared" si="41"/>
        <v>#N/A</v>
      </c>
      <c r="U424" s="3">
        <f>Settings!$B$6</f>
        <v>100</v>
      </c>
    </row>
    <row r="425" spans="1:21" ht="18" customHeight="1" x14ac:dyDescent="0.3">
      <c r="A425" s="132">
        <f>A424+1</f>
        <v>46697</v>
      </c>
      <c r="B425" s="138"/>
      <c r="C425" s="126" t="str" cm="1">
        <f t="array" ref="C425">IF(B425="","",B425-IFERROR(LOOKUP(2,1/($B$6:B424&lt;&gt;""),$B$6:B424),Settings!$B$5))</f>
        <v/>
      </c>
      <c r="D425" s="127" t="str">
        <f>IF(B425="","",AVERAGE(B419:B425))</f>
        <v/>
      </c>
      <c r="E425" s="143"/>
      <c r="F425" s="144"/>
      <c r="G425" s="138"/>
      <c r="H425" s="143"/>
      <c r="I425" s="144"/>
      <c r="J425" s="145"/>
      <c r="K425" s="138"/>
      <c r="L425" s="146"/>
      <c r="M425" s="127" t="str">
        <f>IF(B425="","",B425/((Settings!$B$7)/100)^2)</f>
        <v/>
      </c>
      <c r="N425" s="25">
        <f>Settings!$B$6</f>
        <v>100</v>
      </c>
      <c r="O425" s="3" t="e">
        <f t="shared" si="36"/>
        <v>#N/A</v>
      </c>
      <c r="P425" s="3" t="e">
        <f t="shared" si="37"/>
        <v>#N/A</v>
      </c>
      <c r="Q425" s="3" t="e">
        <f t="shared" si="38"/>
        <v>#N/A</v>
      </c>
      <c r="R425" s="131">
        <f t="shared" si="39"/>
        <v>46697</v>
      </c>
      <c r="S425" s="3" t="e">
        <f t="shared" si="40"/>
        <v>#N/A</v>
      </c>
      <c r="T425" s="3" t="e">
        <f t="shared" si="41"/>
        <v>#N/A</v>
      </c>
      <c r="U425" s="3">
        <f>Settings!$B$6</f>
        <v>100</v>
      </c>
    </row>
    <row r="426" spans="1:21" ht="18" customHeight="1" x14ac:dyDescent="0.3">
      <c r="A426" s="124">
        <f>A425+1</f>
        <v>46698</v>
      </c>
      <c r="B426" s="137"/>
      <c r="C426" s="126" t="str" cm="1">
        <f t="array" ref="C426">IF(B426="","",B426-IFERROR(LOOKUP(2,1/($B$6:B425&lt;&gt;""),$B$6:B425),Settings!$B$5))</f>
        <v/>
      </c>
      <c r="D426" s="127" t="str">
        <f>IF(B426="","",AVERAGE(B420:B426))</f>
        <v/>
      </c>
      <c r="E426" s="139"/>
      <c r="F426" s="140"/>
      <c r="G426" s="137"/>
      <c r="H426" s="139"/>
      <c r="I426" s="140"/>
      <c r="J426" s="141"/>
      <c r="K426" s="137"/>
      <c r="L426" s="142"/>
      <c r="M426" s="127" t="str">
        <f>IF(B426="","",B426/((Settings!$B$7)/100)^2)</f>
        <v/>
      </c>
      <c r="N426" s="25">
        <f>Settings!$B$6</f>
        <v>100</v>
      </c>
      <c r="O426" s="3" t="e">
        <f t="shared" si="36"/>
        <v>#N/A</v>
      </c>
      <c r="P426" s="3" t="e">
        <f t="shared" si="37"/>
        <v>#N/A</v>
      </c>
      <c r="Q426" s="3" t="e">
        <f t="shared" si="38"/>
        <v>#N/A</v>
      </c>
      <c r="R426" s="131">
        <f t="shared" si="39"/>
        <v>46698</v>
      </c>
      <c r="S426" s="3" t="e">
        <f t="shared" si="40"/>
        <v>#N/A</v>
      </c>
      <c r="T426" s="3" t="e">
        <f t="shared" si="41"/>
        <v>#N/A</v>
      </c>
      <c r="U426" s="3">
        <f>Settings!$B$6</f>
        <v>100</v>
      </c>
    </row>
    <row r="427" spans="1:21" ht="18" customHeight="1" x14ac:dyDescent="0.3">
      <c r="A427" s="132">
        <f>A426+1</f>
        <v>46699</v>
      </c>
      <c r="B427" s="138"/>
      <c r="C427" s="126" t="str" cm="1">
        <f t="array" ref="C427">IF(B427="","",B427-IFERROR(LOOKUP(2,1/($B$6:B426&lt;&gt;""),$B$6:B426),Settings!$B$5))</f>
        <v/>
      </c>
      <c r="D427" s="127" t="str">
        <f>IF(B427="","",AVERAGE(B421:B427))</f>
        <v/>
      </c>
      <c r="E427" s="143"/>
      <c r="F427" s="144"/>
      <c r="G427" s="138"/>
      <c r="H427" s="143"/>
      <c r="I427" s="144"/>
      <c r="J427" s="145"/>
      <c r="K427" s="138"/>
      <c r="L427" s="146"/>
      <c r="M427" s="127" t="str">
        <f>IF(B427="","",B427/((Settings!$B$7)/100)^2)</f>
        <v/>
      </c>
      <c r="N427" s="25">
        <f>Settings!$B$6</f>
        <v>100</v>
      </c>
      <c r="O427" s="3" t="e">
        <f t="shared" si="36"/>
        <v>#N/A</v>
      </c>
      <c r="P427" s="3" t="e">
        <f t="shared" si="37"/>
        <v>#N/A</v>
      </c>
      <c r="Q427" s="3" t="e">
        <f t="shared" si="38"/>
        <v>#N/A</v>
      </c>
      <c r="R427" s="131">
        <f t="shared" si="39"/>
        <v>46699</v>
      </c>
      <c r="S427" s="3" t="e">
        <f t="shared" si="40"/>
        <v>#N/A</v>
      </c>
      <c r="T427" s="3" t="e">
        <f t="shared" si="41"/>
        <v>#N/A</v>
      </c>
      <c r="U427" s="3">
        <f>Settings!$B$6</f>
        <v>100</v>
      </c>
    </row>
    <row r="428" spans="1:21" ht="18" customHeight="1" x14ac:dyDescent="0.3">
      <c r="A428" s="124">
        <f>A427+1</f>
        <v>46700</v>
      </c>
      <c r="B428" s="137"/>
      <c r="C428" s="126" t="str" cm="1">
        <f t="array" ref="C428">IF(B428="","",B428-IFERROR(LOOKUP(2,1/($B$6:B427&lt;&gt;""),$B$6:B427),Settings!$B$5))</f>
        <v/>
      </c>
      <c r="D428" s="127" t="str">
        <f>IF(B428="","",AVERAGE(B422:B428))</f>
        <v/>
      </c>
      <c r="E428" s="139"/>
      <c r="F428" s="140"/>
      <c r="G428" s="137"/>
      <c r="H428" s="139"/>
      <c r="I428" s="140"/>
      <c r="J428" s="141"/>
      <c r="K428" s="137"/>
      <c r="L428" s="142"/>
      <c r="M428" s="127" t="str">
        <f>IF(B428="","",B428/((Settings!$B$7)/100)^2)</f>
        <v/>
      </c>
      <c r="N428" s="25">
        <f>Settings!$B$6</f>
        <v>100</v>
      </c>
      <c r="O428" s="3" t="e">
        <f t="shared" si="36"/>
        <v>#N/A</v>
      </c>
      <c r="P428" s="3" t="e">
        <f t="shared" si="37"/>
        <v>#N/A</v>
      </c>
      <c r="Q428" s="3" t="e">
        <f t="shared" si="38"/>
        <v>#N/A</v>
      </c>
      <c r="R428" s="131">
        <f t="shared" si="39"/>
        <v>46700</v>
      </c>
      <c r="S428" s="3" t="e">
        <f t="shared" si="40"/>
        <v>#N/A</v>
      </c>
      <c r="T428" s="3" t="e">
        <f t="shared" si="41"/>
        <v>#N/A</v>
      </c>
      <c r="U428" s="3">
        <f>Settings!$B$6</f>
        <v>100</v>
      </c>
    </row>
    <row r="429" spans="1:21" ht="18" customHeight="1" x14ac:dyDescent="0.3">
      <c r="A429" s="132">
        <f>A428+1</f>
        <v>46701</v>
      </c>
      <c r="B429" s="138"/>
      <c r="C429" s="126" t="str" cm="1">
        <f t="array" ref="C429">IF(B429="","",B429-IFERROR(LOOKUP(2,1/($B$6:B428&lt;&gt;""),$B$6:B428),Settings!$B$5))</f>
        <v/>
      </c>
      <c r="D429" s="127" t="str">
        <f>IF(B429="","",AVERAGE(B423:B429))</f>
        <v/>
      </c>
      <c r="E429" s="143"/>
      <c r="F429" s="144"/>
      <c r="G429" s="138"/>
      <c r="H429" s="143"/>
      <c r="I429" s="144"/>
      <c r="J429" s="145"/>
      <c r="K429" s="138"/>
      <c r="L429" s="146"/>
      <c r="M429" s="127" t="str">
        <f>IF(B429="","",B429/((Settings!$B$7)/100)^2)</f>
        <v/>
      </c>
      <c r="N429" s="25">
        <f>Settings!$B$6</f>
        <v>100</v>
      </c>
      <c r="O429" s="3" t="e">
        <f t="shared" si="36"/>
        <v>#N/A</v>
      </c>
      <c r="P429" s="3" t="e">
        <f t="shared" si="37"/>
        <v>#N/A</v>
      </c>
      <c r="Q429" s="3" t="e">
        <f t="shared" si="38"/>
        <v>#N/A</v>
      </c>
      <c r="R429" s="131">
        <f t="shared" si="39"/>
        <v>46701</v>
      </c>
      <c r="S429" s="3" t="e">
        <f t="shared" si="40"/>
        <v>#N/A</v>
      </c>
      <c r="T429" s="3" t="e">
        <f t="shared" si="41"/>
        <v>#N/A</v>
      </c>
      <c r="U429" s="3">
        <f>Settings!$B$6</f>
        <v>100</v>
      </c>
    </row>
    <row r="430" spans="1:21" ht="18" customHeight="1" x14ac:dyDescent="0.3">
      <c r="A430" s="124">
        <f>A429+1</f>
        <v>46702</v>
      </c>
      <c r="B430" s="137"/>
      <c r="C430" s="126" t="str" cm="1">
        <f t="array" ref="C430">IF(B430="","",B430-IFERROR(LOOKUP(2,1/($B$6:B429&lt;&gt;""),$B$6:B429),Settings!$B$5))</f>
        <v/>
      </c>
      <c r="D430" s="127" t="str">
        <f>IF(B430="","",AVERAGE(B424:B430))</f>
        <v/>
      </c>
      <c r="E430" s="139"/>
      <c r="F430" s="140"/>
      <c r="G430" s="137"/>
      <c r="H430" s="139"/>
      <c r="I430" s="140"/>
      <c r="J430" s="141"/>
      <c r="K430" s="137"/>
      <c r="L430" s="142"/>
      <c r="M430" s="127" t="str">
        <f>IF(B430="","",B430/((Settings!$B$7)/100)^2)</f>
        <v/>
      </c>
      <c r="N430" s="25">
        <f>Settings!$B$6</f>
        <v>100</v>
      </c>
      <c r="O430" s="3" t="e">
        <f t="shared" si="36"/>
        <v>#N/A</v>
      </c>
      <c r="P430" s="3" t="e">
        <f t="shared" si="37"/>
        <v>#N/A</v>
      </c>
      <c r="Q430" s="3" t="e">
        <f t="shared" si="38"/>
        <v>#N/A</v>
      </c>
      <c r="R430" s="131">
        <f t="shared" si="39"/>
        <v>46702</v>
      </c>
      <c r="S430" s="3" t="e">
        <f t="shared" si="40"/>
        <v>#N/A</v>
      </c>
      <c r="T430" s="3" t="e">
        <f t="shared" si="41"/>
        <v>#N/A</v>
      </c>
      <c r="U430" s="3">
        <f>Settings!$B$6</f>
        <v>100</v>
      </c>
    </row>
    <row r="431" spans="1:21" ht="18" customHeight="1" x14ac:dyDescent="0.3">
      <c r="A431" s="132">
        <f>A430+1</f>
        <v>46703</v>
      </c>
      <c r="B431" s="138"/>
      <c r="C431" s="126" t="str" cm="1">
        <f t="array" ref="C431">IF(B431="","",B431-IFERROR(LOOKUP(2,1/($B$6:B430&lt;&gt;""),$B$6:B430),Settings!$B$5))</f>
        <v/>
      </c>
      <c r="D431" s="127" t="str">
        <f>IF(B431="","",AVERAGE(B425:B431))</f>
        <v/>
      </c>
      <c r="E431" s="143"/>
      <c r="F431" s="144"/>
      <c r="G431" s="138"/>
      <c r="H431" s="143"/>
      <c r="I431" s="144"/>
      <c r="J431" s="145"/>
      <c r="K431" s="138"/>
      <c r="L431" s="146"/>
      <c r="M431" s="127" t="str">
        <f>IF(B431="","",B431/((Settings!$B$7)/100)^2)</f>
        <v/>
      </c>
      <c r="N431" s="25">
        <f>Settings!$B$6</f>
        <v>100</v>
      </c>
      <c r="O431" s="3" t="e">
        <f t="shared" si="36"/>
        <v>#N/A</v>
      </c>
      <c r="P431" s="3" t="e">
        <f t="shared" si="37"/>
        <v>#N/A</v>
      </c>
      <c r="Q431" s="3" t="e">
        <f t="shared" si="38"/>
        <v>#N/A</v>
      </c>
      <c r="R431" s="131">
        <f t="shared" si="39"/>
        <v>46703</v>
      </c>
      <c r="S431" s="3" t="e">
        <f t="shared" si="40"/>
        <v>#N/A</v>
      </c>
      <c r="T431" s="3" t="e">
        <f t="shared" si="41"/>
        <v>#N/A</v>
      </c>
      <c r="U431" s="3">
        <f>Settings!$B$6</f>
        <v>100</v>
      </c>
    </row>
    <row r="432" spans="1:21" ht="18" customHeight="1" x14ac:dyDescent="0.3">
      <c r="A432" s="124">
        <f>A431+1</f>
        <v>46704</v>
      </c>
      <c r="B432" s="137"/>
      <c r="C432" s="126" t="str" cm="1">
        <f t="array" ref="C432">IF(B432="","",B432-IFERROR(LOOKUP(2,1/($B$6:B431&lt;&gt;""),$B$6:B431),Settings!$B$5))</f>
        <v/>
      </c>
      <c r="D432" s="127" t="str">
        <f>IF(B432="","",AVERAGE(B426:B432))</f>
        <v/>
      </c>
      <c r="E432" s="139"/>
      <c r="F432" s="140"/>
      <c r="G432" s="137"/>
      <c r="H432" s="139"/>
      <c r="I432" s="140"/>
      <c r="J432" s="141"/>
      <c r="K432" s="137"/>
      <c r="L432" s="142"/>
      <c r="M432" s="127" t="str">
        <f>IF(B432="","",B432/((Settings!$B$7)/100)^2)</f>
        <v/>
      </c>
      <c r="N432" s="25">
        <f>Settings!$B$6</f>
        <v>100</v>
      </c>
      <c r="O432" s="3" t="e">
        <f t="shared" si="36"/>
        <v>#N/A</v>
      </c>
      <c r="P432" s="3" t="e">
        <f t="shared" si="37"/>
        <v>#N/A</v>
      </c>
      <c r="Q432" s="3" t="e">
        <f t="shared" si="38"/>
        <v>#N/A</v>
      </c>
      <c r="R432" s="131">
        <f t="shared" si="39"/>
        <v>46704</v>
      </c>
      <c r="S432" s="3" t="e">
        <f t="shared" si="40"/>
        <v>#N/A</v>
      </c>
      <c r="T432" s="3" t="e">
        <f t="shared" si="41"/>
        <v>#N/A</v>
      </c>
      <c r="U432" s="3">
        <f>Settings!$B$6</f>
        <v>100</v>
      </c>
    </row>
    <row r="433" spans="1:21" ht="18" customHeight="1" x14ac:dyDescent="0.3">
      <c r="A433" s="132">
        <f>A432+1</f>
        <v>46705</v>
      </c>
      <c r="B433" s="138"/>
      <c r="C433" s="126" t="str" cm="1">
        <f t="array" ref="C433">IF(B433="","",B433-IFERROR(LOOKUP(2,1/($B$6:B432&lt;&gt;""),$B$6:B432),Settings!$B$5))</f>
        <v/>
      </c>
      <c r="D433" s="127" t="str">
        <f>IF(B433="","",AVERAGE(B427:B433))</f>
        <v/>
      </c>
      <c r="E433" s="143"/>
      <c r="F433" s="144"/>
      <c r="G433" s="138"/>
      <c r="H433" s="143"/>
      <c r="I433" s="144"/>
      <c r="J433" s="145"/>
      <c r="K433" s="138"/>
      <c r="L433" s="146"/>
      <c r="M433" s="127" t="str">
        <f>IF(B433="","",B433/((Settings!$B$7)/100)^2)</f>
        <v/>
      </c>
      <c r="N433" s="25">
        <f>Settings!$B$6</f>
        <v>100</v>
      </c>
      <c r="O433" s="3" t="e">
        <f t="shared" si="36"/>
        <v>#N/A</v>
      </c>
      <c r="P433" s="3" t="e">
        <f t="shared" si="37"/>
        <v>#N/A</v>
      </c>
      <c r="Q433" s="3" t="e">
        <f t="shared" si="38"/>
        <v>#N/A</v>
      </c>
      <c r="R433" s="131">
        <f t="shared" si="39"/>
        <v>46705</v>
      </c>
      <c r="S433" s="3" t="e">
        <f t="shared" si="40"/>
        <v>#N/A</v>
      </c>
      <c r="T433" s="3" t="e">
        <f t="shared" si="41"/>
        <v>#N/A</v>
      </c>
      <c r="U433" s="3">
        <f>Settings!$B$6</f>
        <v>100</v>
      </c>
    </row>
    <row r="434" spans="1:21" ht="18" customHeight="1" x14ac:dyDescent="0.3">
      <c r="A434" s="124">
        <f>A433+1</f>
        <v>46706</v>
      </c>
      <c r="B434" s="137"/>
      <c r="C434" s="126" t="str" cm="1">
        <f t="array" ref="C434">IF(B434="","",B434-IFERROR(LOOKUP(2,1/($B$6:B433&lt;&gt;""),$B$6:B433),Settings!$B$5))</f>
        <v/>
      </c>
      <c r="D434" s="127" t="str">
        <f>IF(B434="","",AVERAGE(B428:B434))</f>
        <v/>
      </c>
      <c r="E434" s="139"/>
      <c r="F434" s="140"/>
      <c r="G434" s="137"/>
      <c r="H434" s="139"/>
      <c r="I434" s="140"/>
      <c r="J434" s="141"/>
      <c r="K434" s="137"/>
      <c r="L434" s="142"/>
      <c r="M434" s="127" t="str">
        <f>IF(B434="","",B434/((Settings!$B$7)/100)^2)</f>
        <v/>
      </c>
      <c r="N434" s="25">
        <f>Settings!$B$6</f>
        <v>100</v>
      </c>
      <c r="O434" s="3" t="e">
        <f t="shared" si="36"/>
        <v>#N/A</v>
      </c>
      <c r="P434" s="3" t="e">
        <f t="shared" si="37"/>
        <v>#N/A</v>
      </c>
      <c r="Q434" s="3" t="e">
        <f t="shared" si="38"/>
        <v>#N/A</v>
      </c>
      <c r="R434" s="131">
        <f t="shared" si="39"/>
        <v>46706</v>
      </c>
      <c r="S434" s="3" t="e">
        <f t="shared" si="40"/>
        <v>#N/A</v>
      </c>
      <c r="T434" s="3" t="e">
        <f t="shared" si="41"/>
        <v>#N/A</v>
      </c>
      <c r="U434" s="3">
        <f>Settings!$B$6</f>
        <v>100</v>
      </c>
    </row>
    <row r="435" spans="1:21" ht="18" customHeight="1" x14ac:dyDescent="0.3">
      <c r="A435" s="132">
        <f>A434+1</f>
        <v>46707</v>
      </c>
      <c r="B435" s="138"/>
      <c r="C435" s="126" t="str" cm="1">
        <f t="array" ref="C435">IF(B435="","",B435-IFERROR(LOOKUP(2,1/($B$6:B434&lt;&gt;""),$B$6:B434),Settings!$B$5))</f>
        <v/>
      </c>
      <c r="D435" s="127" t="str">
        <f>IF(B435="","",AVERAGE(B429:B435))</f>
        <v/>
      </c>
      <c r="E435" s="143"/>
      <c r="F435" s="144"/>
      <c r="G435" s="138"/>
      <c r="H435" s="143"/>
      <c r="I435" s="144"/>
      <c r="J435" s="145"/>
      <c r="K435" s="138"/>
      <c r="L435" s="146"/>
      <c r="M435" s="127" t="str">
        <f>IF(B435="","",B435/((Settings!$B$7)/100)^2)</f>
        <v/>
      </c>
      <c r="N435" s="25">
        <f>Settings!$B$6</f>
        <v>100</v>
      </c>
      <c r="O435" s="3" t="e">
        <f t="shared" si="36"/>
        <v>#N/A</v>
      </c>
      <c r="P435" s="3" t="e">
        <f t="shared" si="37"/>
        <v>#N/A</v>
      </c>
      <c r="Q435" s="3" t="e">
        <f t="shared" si="38"/>
        <v>#N/A</v>
      </c>
      <c r="R435" s="131">
        <f t="shared" si="39"/>
        <v>46707</v>
      </c>
      <c r="S435" s="3" t="e">
        <f t="shared" si="40"/>
        <v>#N/A</v>
      </c>
      <c r="T435" s="3" t="e">
        <f t="shared" si="41"/>
        <v>#N/A</v>
      </c>
      <c r="U435" s="3">
        <f>Settings!$B$6</f>
        <v>100</v>
      </c>
    </row>
    <row r="436" spans="1:21" ht="18" customHeight="1" x14ac:dyDescent="0.3">
      <c r="A436" s="124">
        <f>A435+1</f>
        <v>46708</v>
      </c>
      <c r="B436" s="137"/>
      <c r="C436" s="126" t="str" cm="1">
        <f t="array" ref="C436">IF(B436="","",B436-IFERROR(LOOKUP(2,1/($B$6:B435&lt;&gt;""),$B$6:B435),Settings!$B$5))</f>
        <v/>
      </c>
      <c r="D436" s="127" t="str">
        <f>IF(B436="","",AVERAGE(B430:B436))</f>
        <v/>
      </c>
      <c r="E436" s="139"/>
      <c r="F436" s="140"/>
      <c r="G436" s="137"/>
      <c r="H436" s="139"/>
      <c r="I436" s="140"/>
      <c r="J436" s="141"/>
      <c r="K436" s="137"/>
      <c r="L436" s="142"/>
      <c r="M436" s="127" t="str">
        <f>IF(B436="","",B436/((Settings!$B$7)/100)^2)</f>
        <v/>
      </c>
      <c r="N436" s="25">
        <f>Settings!$B$6</f>
        <v>100</v>
      </c>
      <c r="O436" s="3" t="e">
        <f t="shared" si="36"/>
        <v>#N/A</v>
      </c>
      <c r="P436" s="3" t="e">
        <f t="shared" si="37"/>
        <v>#N/A</v>
      </c>
      <c r="Q436" s="3" t="e">
        <f t="shared" si="38"/>
        <v>#N/A</v>
      </c>
      <c r="R436" s="131">
        <f t="shared" si="39"/>
        <v>46708</v>
      </c>
      <c r="S436" s="3" t="e">
        <f t="shared" si="40"/>
        <v>#N/A</v>
      </c>
      <c r="T436" s="3" t="e">
        <f t="shared" si="41"/>
        <v>#N/A</v>
      </c>
      <c r="U436" s="3">
        <f>Settings!$B$6</f>
        <v>100</v>
      </c>
    </row>
    <row r="437" spans="1:21" ht="18" customHeight="1" x14ac:dyDescent="0.3">
      <c r="A437" s="132">
        <f>A436+1</f>
        <v>46709</v>
      </c>
      <c r="B437" s="138"/>
      <c r="C437" s="126" t="str" cm="1">
        <f t="array" ref="C437">IF(B437="","",B437-IFERROR(LOOKUP(2,1/($B$6:B436&lt;&gt;""),$B$6:B436),Settings!$B$5))</f>
        <v/>
      </c>
      <c r="D437" s="127" t="str">
        <f>IF(B437="","",AVERAGE(B431:B437))</f>
        <v/>
      </c>
      <c r="E437" s="143"/>
      <c r="F437" s="144"/>
      <c r="G437" s="138"/>
      <c r="H437" s="143"/>
      <c r="I437" s="144"/>
      <c r="J437" s="145"/>
      <c r="K437" s="138"/>
      <c r="L437" s="146"/>
      <c r="M437" s="127" t="str">
        <f>IF(B437="","",B437/((Settings!$B$7)/100)^2)</f>
        <v/>
      </c>
      <c r="N437" s="25">
        <f>Settings!$B$6</f>
        <v>100</v>
      </c>
      <c r="O437" s="3" t="e">
        <f t="shared" si="36"/>
        <v>#N/A</v>
      </c>
      <c r="P437" s="3" t="e">
        <f t="shared" si="37"/>
        <v>#N/A</v>
      </c>
      <c r="Q437" s="3" t="e">
        <f t="shared" si="38"/>
        <v>#N/A</v>
      </c>
      <c r="R437" s="131">
        <f t="shared" si="39"/>
        <v>46709</v>
      </c>
      <c r="S437" s="3" t="e">
        <f t="shared" si="40"/>
        <v>#N/A</v>
      </c>
      <c r="T437" s="3" t="e">
        <f t="shared" si="41"/>
        <v>#N/A</v>
      </c>
      <c r="U437" s="3">
        <f>Settings!$B$6</f>
        <v>100</v>
      </c>
    </row>
    <row r="438" spans="1:21" ht="18" customHeight="1" x14ac:dyDescent="0.3">
      <c r="A438" s="124">
        <f>A437+1</f>
        <v>46710</v>
      </c>
      <c r="B438" s="137"/>
      <c r="C438" s="126" t="str" cm="1">
        <f t="array" ref="C438">IF(B438="","",B438-IFERROR(LOOKUP(2,1/($B$6:B437&lt;&gt;""),$B$6:B437),Settings!$B$5))</f>
        <v/>
      </c>
      <c r="D438" s="127" t="str">
        <f>IF(B438="","",AVERAGE(B432:B438))</f>
        <v/>
      </c>
      <c r="E438" s="139"/>
      <c r="F438" s="140"/>
      <c r="G438" s="137"/>
      <c r="H438" s="139"/>
      <c r="I438" s="140"/>
      <c r="J438" s="141"/>
      <c r="K438" s="137"/>
      <c r="L438" s="142"/>
      <c r="M438" s="127" t="str">
        <f>IF(B438="","",B438/((Settings!$B$7)/100)^2)</f>
        <v/>
      </c>
      <c r="N438" s="25">
        <f>Settings!$B$6</f>
        <v>100</v>
      </c>
      <c r="O438" s="3" t="e">
        <f t="shared" si="36"/>
        <v>#N/A</v>
      </c>
      <c r="P438" s="3" t="e">
        <f t="shared" si="37"/>
        <v>#N/A</v>
      </c>
      <c r="Q438" s="3" t="e">
        <f t="shared" si="38"/>
        <v>#N/A</v>
      </c>
      <c r="R438" s="131">
        <f t="shared" si="39"/>
        <v>46710</v>
      </c>
      <c r="S438" s="3" t="e">
        <f t="shared" si="40"/>
        <v>#N/A</v>
      </c>
      <c r="T438" s="3" t="e">
        <f t="shared" si="41"/>
        <v>#N/A</v>
      </c>
      <c r="U438" s="3">
        <f>Settings!$B$6</f>
        <v>100</v>
      </c>
    </row>
    <row r="439" spans="1:21" ht="18" customHeight="1" x14ac:dyDescent="0.3">
      <c r="A439" s="132">
        <f>A438+1</f>
        <v>46711</v>
      </c>
      <c r="B439" s="138"/>
      <c r="C439" s="126" t="str" cm="1">
        <f t="array" ref="C439">IF(B439="","",B439-IFERROR(LOOKUP(2,1/($B$6:B438&lt;&gt;""),$B$6:B438),Settings!$B$5))</f>
        <v/>
      </c>
      <c r="D439" s="127" t="str">
        <f>IF(B439="","",AVERAGE(B433:B439))</f>
        <v/>
      </c>
      <c r="E439" s="143"/>
      <c r="F439" s="144"/>
      <c r="G439" s="138"/>
      <c r="H439" s="143"/>
      <c r="I439" s="144"/>
      <c r="J439" s="145"/>
      <c r="K439" s="138"/>
      <c r="L439" s="146"/>
      <c r="M439" s="127" t="str">
        <f>IF(B439="","",B439/((Settings!$B$7)/100)^2)</f>
        <v/>
      </c>
      <c r="N439" s="25">
        <f>Settings!$B$6</f>
        <v>100</v>
      </c>
      <c r="O439" s="3" t="e">
        <f t="shared" si="36"/>
        <v>#N/A</v>
      </c>
      <c r="P439" s="3" t="e">
        <f t="shared" si="37"/>
        <v>#N/A</v>
      </c>
      <c r="Q439" s="3" t="e">
        <f t="shared" si="38"/>
        <v>#N/A</v>
      </c>
      <c r="R439" s="131">
        <f t="shared" si="39"/>
        <v>46711</v>
      </c>
      <c r="S439" s="3" t="e">
        <f t="shared" si="40"/>
        <v>#N/A</v>
      </c>
      <c r="T439" s="3" t="e">
        <f t="shared" si="41"/>
        <v>#N/A</v>
      </c>
      <c r="U439" s="3">
        <f>Settings!$B$6</f>
        <v>100</v>
      </c>
    </row>
    <row r="440" spans="1:21" ht="18" customHeight="1" x14ac:dyDescent="0.3">
      <c r="A440" s="124">
        <f>A439+1</f>
        <v>46712</v>
      </c>
      <c r="B440" s="137"/>
      <c r="C440" s="126" t="str" cm="1">
        <f t="array" ref="C440">IF(B440="","",B440-IFERROR(LOOKUP(2,1/($B$6:B439&lt;&gt;""),$B$6:B439),Settings!$B$5))</f>
        <v/>
      </c>
      <c r="D440" s="127" t="str">
        <f>IF(B440="","",AVERAGE(B434:B440))</f>
        <v/>
      </c>
      <c r="E440" s="139"/>
      <c r="F440" s="140"/>
      <c r="G440" s="137"/>
      <c r="H440" s="139"/>
      <c r="I440" s="140"/>
      <c r="J440" s="141"/>
      <c r="K440" s="137"/>
      <c r="L440" s="142"/>
      <c r="M440" s="127" t="str">
        <f>IF(B440="","",B440/((Settings!$B$7)/100)^2)</f>
        <v/>
      </c>
      <c r="N440" s="25">
        <f>Settings!$B$6</f>
        <v>100</v>
      </c>
      <c r="O440" s="3" t="e">
        <f t="shared" si="36"/>
        <v>#N/A</v>
      </c>
      <c r="P440" s="3" t="e">
        <f t="shared" si="37"/>
        <v>#N/A</v>
      </c>
      <c r="Q440" s="3" t="e">
        <f t="shared" si="38"/>
        <v>#N/A</v>
      </c>
      <c r="R440" s="131">
        <f t="shared" si="39"/>
        <v>46712</v>
      </c>
      <c r="S440" s="3" t="e">
        <f t="shared" si="40"/>
        <v>#N/A</v>
      </c>
      <c r="T440" s="3" t="e">
        <f t="shared" si="41"/>
        <v>#N/A</v>
      </c>
      <c r="U440" s="3">
        <f>Settings!$B$6</f>
        <v>100</v>
      </c>
    </row>
    <row r="441" spans="1:21" ht="18" customHeight="1" x14ac:dyDescent="0.3">
      <c r="A441" s="132">
        <f>A440+1</f>
        <v>46713</v>
      </c>
      <c r="B441" s="138"/>
      <c r="C441" s="126" t="str" cm="1">
        <f t="array" ref="C441">IF(B441="","",B441-IFERROR(LOOKUP(2,1/($B$6:B440&lt;&gt;""),$B$6:B440),Settings!$B$5))</f>
        <v/>
      </c>
      <c r="D441" s="127" t="str">
        <f>IF(B441="","",AVERAGE(B435:B441))</f>
        <v/>
      </c>
      <c r="E441" s="143"/>
      <c r="F441" s="144"/>
      <c r="G441" s="138"/>
      <c r="H441" s="143"/>
      <c r="I441" s="144"/>
      <c r="J441" s="145"/>
      <c r="K441" s="138"/>
      <c r="L441" s="146"/>
      <c r="M441" s="127" t="str">
        <f>IF(B441="","",B441/((Settings!$B$7)/100)^2)</f>
        <v/>
      </c>
      <c r="N441" s="25">
        <f>Settings!$B$6</f>
        <v>100</v>
      </c>
      <c r="O441" s="3" t="e">
        <f t="shared" si="36"/>
        <v>#N/A</v>
      </c>
      <c r="P441" s="3" t="e">
        <f t="shared" si="37"/>
        <v>#N/A</v>
      </c>
      <c r="Q441" s="3" t="e">
        <f t="shared" si="38"/>
        <v>#N/A</v>
      </c>
      <c r="R441" s="131">
        <f t="shared" si="39"/>
        <v>46713</v>
      </c>
      <c r="S441" s="3" t="e">
        <f t="shared" si="40"/>
        <v>#N/A</v>
      </c>
      <c r="T441" s="3" t="e">
        <f t="shared" si="41"/>
        <v>#N/A</v>
      </c>
      <c r="U441" s="3">
        <f>Settings!$B$6</f>
        <v>100</v>
      </c>
    </row>
    <row r="442" spans="1:21" ht="18" customHeight="1" x14ac:dyDescent="0.3">
      <c r="A442" s="124">
        <f>A441+1</f>
        <v>46714</v>
      </c>
      <c r="B442" s="137"/>
      <c r="C442" s="126" t="str" cm="1">
        <f t="array" ref="C442">IF(B442="","",B442-IFERROR(LOOKUP(2,1/($B$6:B441&lt;&gt;""),$B$6:B441),Settings!$B$5))</f>
        <v/>
      </c>
      <c r="D442" s="127" t="str">
        <f>IF(B442="","",AVERAGE(B436:B442))</f>
        <v/>
      </c>
      <c r="E442" s="139"/>
      <c r="F442" s="140"/>
      <c r="G442" s="137"/>
      <c r="H442" s="139"/>
      <c r="I442" s="140"/>
      <c r="J442" s="141"/>
      <c r="K442" s="137"/>
      <c r="L442" s="142"/>
      <c r="M442" s="127" t="str">
        <f>IF(B442="","",B442/((Settings!$B$7)/100)^2)</f>
        <v/>
      </c>
      <c r="N442" s="25">
        <f>Settings!$B$6</f>
        <v>100</v>
      </c>
      <c r="O442" s="3" t="e">
        <f t="shared" si="36"/>
        <v>#N/A</v>
      </c>
      <c r="P442" s="3" t="e">
        <f t="shared" si="37"/>
        <v>#N/A</v>
      </c>
      <c r="Q442" s="3" t="e">
        <f t="shared" si="38"/>
        <v>#N/A</v>
      </c>
      <c r="R442" s="131">
        <f t="shared" si="39"/>
        <v>46714</v>
      </c>
      <c r="S442" s="3" t="e">
        <f t="shared" si="40"/>
        <v>#N/A</v>
      </c>
      <c r="T442" s="3" t="e">
        <f t="shared" si="41"/>
        <v>#N/A</v>
      </c>
      <c r="U442" s="3">
        <f>Settings!$B$6</f>
        <v>100</v>
      </c>
    </row>
    <row r="443" spans="1:21" ht="18" customHeight="1" x14ac:dyDescent="0.3">
      <c r="A443" s="132">
        <f>A442+1</f>
        <v>46715</v>
      </c>
      <c r="B443" s="138"/>
      <c r="C443" s="126" t="str" cm="1">
        <f t="array" ref="C443">IF(B443="","",B443-IFERROR(LOOKUP(2,1/($B$6:B442&lt;&gt;""),$B$6:B442),Settings!$B$5))</f>
        <v/>
      </c>
      <c r="D443" s="127" t="str">
        <f>IF(B443="","",AVERAGE(B437:B443))</f>
        <v/>
      </c>
      <c r="E443" s="143"/>
      <c r="F443" s="144"/>
      <c r="G443" s="138"/>
      <c r="H443" s="143"/>
      <c r="I443" s="144"/>
      <c r="J443" s="145"/>
      <c r="K443" s="138"/>
      <c r="L443" s="146"/>
      <c r="M443" s="127" t="str">
        <f>IF(B443="","",B443/((Settings!$B$7)/100)^2)</f>
        <v/>
      </c>
      <c r="N443" s="25">
        <f>Settings!$B$6</f>
        <v>100</v>
      </c>
      <c r="O443" s="3" t="e">
        <f t="shared" si="36"/>
        <v>#N/A</v>
      </c>
      <c r="P443" s="3" t="e">
        <f t="shared" si="37"/>
        <v>#N/A</v>
      </c>
      <c r="Q443" s="3" t="e">
        <f t="shared" si="38"/>
        <v>#N/A</v>
      </c>
      <c r="R443" s="131">
        <f t="shared" si="39"/>
        <v>46715</v>
      </c>
      <c r="S443" s="3" t="e">
        <f t="shared" si="40"/>
        <v>#N/A</v>
      </c>
      <c r="T443" s="3" t="e">
        <f t="shared" si="41"/>
        <v>#N/A</v>
      </c>
      <c r="U443" s="3">
        <f>Settings!$B$6</f>
        <v>100</v>
      </c>
    </row>
    <row r="444" spans="1:21" ht="18" customHeight="1" x14ac:dyDescent="0.3">
      <c r="A444" s="124">
        <f>A443+1</f>
        <v>46716</v>
      </c>
      <c r="B444" s="137"/>
      <c r="C444" s="126" t="str" cm="1">
        <f t="array" ref="C444">IF(B444="","",B444-IFERROR(LOOKUP(2,1/($B$6:B443&lt;&gt;""),$B$6:B443),Settings!$B$5))</f>
        <v/>
      </c>
      <c r="D444" s="127" t="str">
        <f>IF(B444="","",AVERAGE(B438:B444))</f>
        <v/>
      </c>
      <c r="E444" s="139"/>
      <c r="F444" s="140"/>
      <c r="G444" s="137"/>
      <c r="H444" s="139"/>
      <c r="I444" s="140"/>
      <c r="J444" s="141"/>
      <c r="K444" s="137"/>
      <c r="L444" s="142"/>
      <c r="M444" s="127" t="str">
        <f>IF(B444="","",B444/((Settings!$B$7)/100)^2)</f>
        <v/>
      </c>
      <c r="N444" s="25">
        <f>Settings!$B$6</f>
        <v>100</v>
      </c>
      <c r="O444" s="3" t="e">
        <f t="shared" si="36"/>
        <v>#N/A</v>
      </c>
      <c r="P444" s="3" t="e">
        <f t="shared" si="37"/>
        <v>#N/A</v>
      </c>
      <c r="Q444" s="3" t="e">
        <f t="shared" si="38"/>
        <v>#N/A</v>
      </c>
      <c r="R444" s="131">
        <f t="shared" si="39"/>
        <v>46716</v>
      </c>
      <c r="S444" s="3" t="e">
        <f t="shared" si="40"/>
        <v>#N/A</v>
      </c>
      <c r="T444" s="3" t="e">
        <f t="shared" si="41"/>
        <v>#N/A</v>
      </c>
      <c r="U444" s="3">
        <f>Settings!$B$6</f>
        <v>100</v>
      </c>
    </row>
    <row r="445" spans="1:21" ht="18" customHeight="1" x14ac:dyDescent="0.3">
      <c r="A445" s="132">
        <f>A444+1</f>
        <v>46717</v>
      </c>
      <c r="B445" s="138"/>
      <c r="C445" s="126" t="str" cm="1">
        <f t="array" ref="C445">IF(B445="","",B445-IFERROR(LOOKUP(2,1/($B$6:B444&lt;&gt;""),$B$6:B444),Settings!$B$5))</f>
        <v/>
      </c>
      <c r="D445" s="127" t="str">
        <f>IF(B445="","",AVERAGE(B439:B445))</f>
        <v/>
      </c>
      <c r="E445" s="143"/>
      <c r="F445" s="144"/>
      <c r="G445" s="138"/>
      <c r="H445" s="143"/>
      <c r="I445" s="144"/>
      <c r="J445" s="145"/>
      <c r="K445" s="138"/>
      <c r="L445" s="146"/>
      <c r="M445" s="127" t="str">
        <f>IF(B445="","",B445/((Settings!$B$7)/100)^2)</f>
        <v/>
      </c>
      <c r="N445" s="25">
        <f>Settings!$B$6</f>
        <v>100</v>
      </c>
      <c r="O445" s="3" t="e">
        <f t="shared" si="36"/>
        <v>#N/A</v>
      </c>
      <c r="P445" s="3" t="e">
        <f t="shared" si="37"/>
        <v>#N/A</v>
      </c>
      <c r="Q445" s="3" t="e">
        <f t="shared" si="38"/>
        <v>#N/A</v>
      </c>
      <c r="R445" s="131">
        <f t="shared" si="39"/>
        <v>46717</v>
      </c>
      <c r="S445" s="3" t="e">
        <f t="shared" si="40"/>
        <v>#N/A</v>
      </c>
      <c r="T445" s="3" t="e">
        <f t="shared" si="41"/>
        <v>#N/A</v>
      </c>
      <c r="U445" s="3">
        <f>Settings!$B$6</f>
        <v>100</v>
      </c>
    </row>
    <row r="446" spans="1:21" ht="18" customHeight="1" x14ac:dyDescent="0.3">
      <c r="A446" s="124">
        <f>A445+1</f>
        <v>46718</v>
      </c>
      <c r="B446" s="137"/>
      <c r="C446" s="126" t="str" cm="1">
        <f t="array" ref="C446">IF(B446="","",B446-IFERROR(LOOKUP(2,1/($B$6:B445&lt;&gt;""),$B$6:B445),Settings!$B$5))</f>
        <v/>
      </c>
      <c r="D446" s="127" t="str">
        <f>IF(B446="","",AVERAGE(B440:B446))</f>
        <v/>
      </c>
      <c r="E446" s="139"/>
      <c r="F446" s="140"/>
      <c r="G446" s="137"/>
      <c r="H446" s="139"/>
      <c r="I446" s="140"/>
      <c r="J446" s="141"/>
      <c r="K446" s="137"/>
      <c r="L446" s="142"/>
      <c r="M446" s="127" t="str">
        <f>IF(B446="","",B446/((Settings!$B$7)/100)^2)</f>
        <v/>
      </c>
      <c r="N446" s="25">
        <f>Settings!$B$6</f>
        <v>100</v>
      </c>
      <c r="O446" s="3" t="e">
        <f t="shared" si="36"/>
        <v>#N/A</v>
      </c>
      <c r="P446" s="3" t="e">
        <f t="shared" si="37"/>
        <v>#N/A</v>
      </c>
      <c r="Q446" s="3" t="e">
        <f t="shared" si="38"/>
        <v>#N/A</v>
      </c>
      <c r="R446" s="131">
        <f t="shared" si="39"/>
        <v>46718</v>
      </c>
      <c r="S446" s="3" t="e">
        <f t="shared" si="40"/>
        <v>#N/A</v>
      </c>
      <c r="T446" s="3" t="e">
        <f t="shared" si="41"/>
        <v>#N/A</v>
      </c>
      <c r="U446" s="3">
        <f>Settings!$B$6</f>
        <v>100</v>
      </c>
    </row>
    <row r="447" spans="1:21" ht="18" customHeight="1" x14ac:dyDescent="0.3">
      <c r="A447" s="132">
        <f>A446+1</f>
        <v>46719</v>
      </c>
      <c r="B447" s="138"/>
      <c r="C447" s="126" t="str" cm="1">
        <f t="array" ref="C447">IF(B447="","",B447-IFERROR(LOOKUP(2,1/($B$6:B446&lt;&gt;""),$B$6:B446),Settings!$B$5))</f>
        <v/>
      </c>
      <c r="D447" s="127" t="str">
        <f>IF(B447="","",AVERAGE(B441:B447))</f>
        <v/>
      </c>
      <c r="E447" s="143"/>
      <c r="F447" s="144"/>
      <c r="G447" s="138"/>
      <c r="H447" s="143"/>
      <c r="I447" s="144"/>
      <c r="J447" s="145"/>
      <c r="K447" s="138"/>
      <c r="L447" s="146"/>
      <c r="M447" s="127" t="str">
        <f>IF(B447="","",B447/((Settings!$B$7)/100)^2)</f>
        <v/>
      </c>
      <c r="N447" s="25">
        <f>Settings!$B$6</f>
        <v>100</v>
      </c>
      <c r="O447" s="3" t="e">
        <f t="shared" si="36"/>
        <v>#N/A</v>
      </c>
      <c r="P447" s="3" t="e">
        <f t="shared" si="37"/>
        <v>#N/A</v>
      </c>
      <c r="Q447" s="3" t="e">
        <f t="shared" si="38"/>
        <v>#N/A</v>
      </c>
      <c r="R447" s="131">
        <f t="shared" si="39"/>
        <v>46719</v>
      </c>
      <c r="S447" s="3" t="e">
        <f t="shared" si="40"/>
        <v>#N/A</v>
      </c>
      <c r="T447" s="3" t="e">
        <f t="shared" si="41"/>
        <v>#N/A</v>
      </c>
      <c r="U447" s="3">
        <f>Settings!$B$6</f>
        <v>100</v>
      </c>
    </row>
    <row r="448" spans="1:21" ht="18" customHeight="1" x14ac:dyDescent="0.3">
      <c r="A448" s="124">
        <f>A447+1</f>
        <v>46720</v>
      </c>
      <c r="B448" s="137"/>
      <c r="C448" s="126" t="str" cm="1">
        <f t="array" ref="C448">IF(B448="","",B448-IFERROR(LOOKUP(2,1/($B$6:B447&lt;&gt;""),$B$6:B447),Settings!$B$5))</f>
        <v/>
      </c>
      <c r="D448" s="127" t="str">
        <f>IF(B448="","",AVERAGE(B442:B448))</f>
        <v/>
      </c>
      <c r="E448" s="139"/>
      <c r="F448" s="140"/>
      <c r="G448" s="137"/>
      <c r="H448" s="139"/>
      <c r="I448" s="140"/>
      <c r="J448" s="141"/>
      <c r="K448" s="137"/>
      <c r="L448" s="142"/>
      <c r="M448" s="127" t="str">
        <f>IF(B448="","",B448/((Settings!$B$7)/100)^2)</f>
        <v/>
      </c>
      <c r="N448" s="25">
        <f>Settings!$B$6</f>
        <v>100</v>
      </c>
      <c r="O448" s="3" t="e">
        <f t="shared" si="36"/>
        <v>#N/A</v>
      </c>
      <c r="P448" s="3" t="e">
        <f t="shared" si="37"/>
        <v>#N/A</v>
      </c>
      <c r="Q448" s="3" t="e">
        <f t="shared" si="38"/>
        <v>#N/A</v>
      </c>
      <c r="R448" s="131">
        <f t="shared" si="39"/>
        <v>46720</v>
      </c>
      <c r="S448" s="3" t="e">
        <f t="shared" si="40"/>
        <v>#N/A</v>
      </c>
      <c r="T448" s="3" t="e">
        <f t="shared" si="41"/>
        <v>#N/A</v>
      </c>
      <c r="U448" s="3">
        <f>Settings!$B$6</f>
        <v>100</v>
      </c>
    </row>
    <row r="449" spans="1:21" ht="18" customHeight="1" x14ac:dyDescent="0.3">
      <c r="A449" s="132">
        <f>A448+1</f>
        <v>46721</v>
      </c>
      <c r="B449" s="138"/>
      <c r="C449" s="126" t="str" cm="1">
        <f t="array" ref="C449">IF(B449="","",B449-IFERROR(LOOKUP(2,1/($B$6:B448&lt;&gt;""),$B$6:B448),Settings!$B$5))</f>
        <v/>
      </c>
      <c r="D449" s="127" t="str">
        <f>IF(B449="","",AVERAGE(B443:B449))</f>
        <v/>
      </c>
      <c r="E449" s="143"/>
      <c r="F449" s="144"/>
      <c r="G449" s="138"/>
      <c r="H449" s="143"/>
      <c r="I449" s="144"/>
      <c r="J449" s="145"/>
      <c r="K449" s="138"/>
      <c r="L449" s="146"/>
      <c r="M449" s="127" t="str">
        <f>IF(B449="","",B449/((Settings!$B$7)/100)^2)</f>
        <v/>
      </c>
      <c r="N449" s="25">
        <f>Settings!$B$6</f>
        <v>100</v>
      </c>
      <c r="O449" s="3" t="e">
        <f t="shared" si="36"/>
        <v>#N/A</v>
      </c>
      <c r="P449" s="3" t="e">
        <f t="shared" si="37"/>
        <v>#N/A</v>
      </c>
      <c r="Q449" s="3" t="e">
        <f t="shared" si="38"/>
        <v>#N/A</v>
      </c>
      <c r="R449" s="131">
        <f t="shared" si="39"/>
        <v>46721</v>
      </c>
      <c r="S449" s="3" t="e">
        <f t="shared" si="40"/>
        <v>#N/A</v>
      </c>
      <c r="T449" s="3" t="e">
        <f t="shared" si="41"/>
        <v>#N/A</v>
      </c>
      <c r="U449" s="3">
        <f>Settings!$B$6</f>
        <v>100</v>
      </c>
    </row>
    <row r="450" spans="1:21" ht="18" customHeight="1" x14ac:dyDescent="0.3">
      <c r="A450" s="124">
        <f>A449+1</f>
        <v>46722</v>
      </c>
      <c r="B450" s="137"/>
      <c r="C450" s="126" t="str" cm="1">
        <f t="array" ref="C450">IF(B450="","",B450-IFERROR(LOOKUP(2,1/($B$6:B449&lt;&gt;""),$B$6:B449),Settings!$B$5))</f>
        <v/>
      </c>
      <c r="D450" s="127" t="str">
        <f>IF(B450="","",AVERAGE(B444:B450))</f>
        <v/>
      </c>
      <c r="E450" s="139"/>
      <c r="F450" s="140"/>
      <c r="G450" s="137"/>
      <c r="H450" s="139"/>
      <c r="I450" s="140"/>
      <c r="J450" s="141"/>
      <c r="K450" s="137"/>
      <c r="L450" s="142"/>
      <c r="M450" s="127" t="str">
        <f>IF(B450="","",B450/((Settings!$B$7)/100)^2)</f>
        <v/>
      </c>
      <c r="N450" s="25">
        <f>Settings!$B$6</f>
        <v>100</v>
      </c>
      <c r="O450" s="3" t="e">
        <f t="shared" si="36"/>
        <v>#N/A</v>
      </c>
      <c r="P450" s="3" t="e">
        <f t="shared" si="37"/>
        <v>#N/A</v>
      </c>
      <c r="Q450" s="3" t="e">
        <f t="shared" si="38"/>
        <v>#N/A</v>
      </c>
      <c r="R450" s="131">
        <f t="shared" si="39"/>
        <v>46722</v>
      </c>
      <c r="S450" s="3" t="e">
        <f t="shared" si="40"/>
        <v>#N/A</v>
      </c>
      <c r="T450" s="3" t="e">
        <f t="shared" si="41"/>
        <v>#N/A</v>
      </c>
      <c r="U450" s="3">
        <f>Settings!$B$6</f>
        <v>100</v>
      </c>
    </row>
    <row r="451" spans="1:21" ht="18" customHeight="1" x14ac:dyDescent="0.3">
      <c r="A451" s="132">
        <f>A450+1</f>
        <v>46723</v>
      </c>
      <c r="B451" s="138"/>
      <c r="C451" s="126" t="str" cm="1">
        <f t="array" ref="C451">IF(B451="","",B451-IFERROR(LOOKUP(2,1/($B$6:B450&lt;&gt;""),$B$6:B450),Settings!$B$5))</f>
        <v/>
      </c>
      <c r="D451" s="127" t="str">
        <f>IF(B451="","",AVERAGE(B445:B451))</f>
        <v/>
      </c>
      <c r="E451" s="143"/>
      <c r="F451" s="144"/>
      <c r="G451" s="138"/>
      <c r="H451" s="143"/>
      <c r="I451" s="144"/>
      <c r="J451" s="145"/>
      <c r="K451" s="138"/>
      <c r="L451" s="146"/>
      <c r="M451" s="127" t="str">
        <f>IF(B451="","",B451/((Settings!$B$7)/100)^2)</f>
        <v/>
      </c>
      <c r="N451" s="25">
        <f>Settings!$B$6</f>
        <v>100</v>
      </c>
      <c r="O451" s="3" t="e">
        <f t="shared" si="36"/>
        <v>#N/A</v>
      </c>
      <c r="P451" s="3" t="e">
        <f t="shared" si="37"/>
        <v>#N/A</v>
      </c>
      <c r="Q451" s="3" t="e">
        <f t="shared" si="38"/>
        <v>#N/A</v>
      </c>
      <c r="R451" s="131">
        <f t="shared" si="39"/>
        <v>46723</v>
      </c>
      <c r="S451" s="3" t="e">
        <f t="shared" si="40"/>
        <v>#N/A</v>
      </c>
      <c r="T451" s="3" t="e">
        <f t="shared" si="41"/>
        <v>#N/A</v>
      </c>
      <c r="U451" s="3">
        <f>Settings!$B$6</f>
        <v>100</v>
      </c>
    </row>
    <row r="452" spans="1:21" ht="18" customHeight="1" x14ac:dyDescent="0.3">
      <c r="A452" s="124">
        <f>A451+1</f>
        <v>46724</v>
      </c>
      <c r="B452" s="137"/>
      <c r="C452" s="126" t="str" cm="1">
        <f t="array" ref="C452">IF(B452="","",B452-IFERROR(LOOKUP(2,1/($B$6:B451&lt;&gt;""),$B$6:B451),Settings!$B$5))</f>
        <v/>
      </c>
      <c r="D452" s="127" t="str">
        <f>IF(B452="","",AVERAGE(B446:B452))</f>
        <v/>
      </c>
      <c r="E452" s="139"/>
      <c r="F452" s="140"/>
      <c r="G452" s="137"/>
      <c r="H452" s="139"/>
      <c r="I452" s="140"/>
      <c r="J452" s="141"/>
      <c r="K452" s="137"/>
      <c r="L452" s="142"/>
      <c r="M452" s="127" t="str">
        <f>IF(B452="","",B452/((Settings!$B$7)/100)^2)</f>
        <v/>
      </c>
      <c r="N452" s="25">
        <f>Settings!$B$6</f>
        <v>100</v>
      </c>
      <c r="O452" s="3" t="e">
        <f t="shared" si="36"/>
        <v>#N/A</v>
      </c>
      <c r="P452" s="3" t="e">
        <f t="shared" si="37"/>
        <v>#N/A</v>
      </c>
      <c r="Q452" s="3" t="e">
        <f t="shared" si="38"/>
        <v>#N/A</v>
      </c>
      <c r="R452" s="131">
        <f t="shared" si="39"/>
        <v>46724</v>
      </c>
      <c r="S452" s="3" t="e">
        <f t="shared" si="40"/>
        <v>#N/A</v>
      </c>
      <c r="T452" s="3" t="e">
        <f t="shared" si="41"/>
        <v>#N/A</v>
      </c>
      <c r="U452" s="3">
        <f>Settings!$B$6</f>
        <v>100</v>
      </c>
    </row>
    <row r="453" spans="1:21" ht="18" customHeight="1" x14ac:dyDescent="0.3">
      <c r="A453" s="132">
        <f>A452+1</f>
        <v>46725</v>
      </c>
      <c r="B453" s="138"/>
      <c r="C453" s="126" t="str" cm="1">
        <f t="array" ref="C453">IF(B453="","",B453-IFERROR(LOOKUP(2,1/($B$6:B452&lt;&gt;""),$B$6:B452),Settings!$B$5))</f>
        <v/>
      </c>
      <c r="D453" s="127" t="str">
        <f>IF(B453="","",AVERAGE(B447:B453))</f>
        <v/>
      </c>
      <c r="E453" s="143"/>
      <c r="F453" s="144"/>
      <c r="G453" s="138"/>
      <c r="H453" s="143"/>
      <c r="I453" s="144"/>
      <c r="J453" s="145"/>
      <c r="K453" s="138"/>
      <c r="L453" s="146"/>
      <c r="M453" s="127" t="str">
        <f>IF(B453="","",B453/((Settings!$B$7)/100)^2)</f>
        <v/>
      </c>
      <c r="N453" s="25">
        <f>Settings!$B$6</f>
        <v>100</v>
      </c>
      <c r="O453" s="3" t="e">
        <f t="shared" si="36"/>
        <v>#N/A</v>
      </c>
      <c r="P453" s="3" t="e">
        <f t="shared" si="37"/>
        <v>#N/A</v>
      </c>
      <c r="Q453" s="3" t="e">
        <f t="shared" si="38"/>
        <v>#N/A</v>
      </c>
      <c r="R453" s="131">
        <f t="shared" si="39"/>
        <v>46725</v>
      </c>
      <c r="S453" s="3" t="e">
        <f t="shared" si="40"/>
        <v>#N/A</v>
      </c>
      <c r="T453" s="3" t="e">
        <f t="shared" si="41"/>
        <v>#N/A</v>
      </c>
      <c r="U453" s="3">
        <f>Settings!$B$6</f>
        <v>100</v>
      </c>
    </row>
    <row r="454" spans="1:21" ht="18" customHeight="1" x14ac:dyDescent="0.3">
      <c r="A454" s="124">
        <f>A453+1</f>
        <v>46726</v>
      </c>
      <c r="B454" s="137"/>
      <c r="C454" s="126" t="str" cm="1">
        <f t="array" ref="C454">IF(B454="","",B454-IFERROR(LOOKUP(2,1/($B$6:B453&lt;&gt;""),$B$6:B453),Settings!$B$5))</f>
        <v/>
      </c>
      <c r="D454" s="127" t="str">
        <f>IF(B454="","",AVERAGE(B448:B454))</f>
        <v/>
      </c>
      <c r="E454" s="139"/>
      <c r="F454" s="140"/>
      <c r="G454" s="137"/>
      <c r="H454" s="139"/>
      <c r="I454" s="140"/>
      <c r="J454" s="141"/>
      <c r="K454" s="137"/>
      <c r="L454" s="142"/>
      <c r="M454" s="127" t="str">
        <f>IF(B454="","",B454/((Settings!$B$7)/100)^2)</f>
        <v/>
      </c>
      <c r="N454" s="25">
        <f>Settings!$B$6</f>
        <v>100</v>
      </c>
      <c r="O454" s="3" t="e">
        <f t="shared" si="36"/>
        <v>#N/A</v>
      </c>
      <c r="P454" s="3" t="e">
        <f t="shared" si="37"/>
        <v>#N/A</v>
      </c>
      <c r="Q454" s="3" t="e">
        <f t="shared" si="38"/>
        <v>#N/A</v>
      </c>
      <c r="R454" s="131">
        <f t="shared" si="39"/>
        <v>46726</v>
      </c>
      <c r="S454" s="3" t="e">
        <f t="shared" si="40"/>
        <v>#N/A</v>
      </c>
      <c r="T454" s="3" t="e">
        <f t="shared" si="41"/>
        <v>#N/A</v>
      </c>
      <c r="U454" s="3">
        <f>Settings!$B$6</f>
        <v>100</v>
      </c>
    </row>
    <row r="455" spans="1:21" ht="18" customHeight="1" x14ac:dyDescent="0.3">
      <c r="A455" s="132">
        <f>A454+1</f>
        <v>46727</v>
      </c>
      <c r="B455" s="138"/>
      <c r="C455" s="126" t="str" cm="1">
        <f t="array" ref="C455">IF(B455="","",B455-IFERROR(LOOKUP(2,1/($B$6:B454&lt;&gt;""),$B$6:B454),Settings!$B$5))</f>
        <v/>
      </c>
      <c r="D455" s="127" t="str">
        <f>IF(B455="","",AVERAGE(B449:B455))</f>
        <v/>
      </c>
      <c r="E455" s="143"/>
      <c r="F455" s="144"/>
      <c r="G455" s="138"/>
      <c r="H455" s="143"/>
      <c r="I455" s="144"/>
      <c r="J455" s="145"/>
      <c r="K455" s="138"/>
      <c r="L455" s="146"/>
      <c r="M455" s="127" t="str">
        <f>IF(B455="","",B455/((Settings!$B$7)/100)^2)</f>
        <v/>
      </c>
      <c r="N455" s="25">
        <f>Settings!$B$6</f>
        <v>100</v>
      </c>
      <c r="O455" s="3" t="e">
        <f t="shared" ref="O455:O518" si="42">IF($B455="",NA(),$B455)</f>
        <v>#N/A</v>
      </c>
      <c r="P455" s="3" t="e">
        <f t="shared" ref="P455:P518" si="43">IF($D455="",NA(),$D455)</f>
        <v>#N/A</v>
      </c>
      <c r="Q455" s="3" t="e">
        <f t="shared" ref="Q455:Q518" si="44">IF($M455="",NA(),$M455)</f>
        <v>#N/A</v>
      </c>
      <c r="R455" s="131">
        <f t="shared" ref="R455:R518" si="45">A455</f>
        <v>46727</v>
      </c>
      <c r="S455" s="3" t="e">
        <f t="shared" ref="S455:S518" si="46">IF($B455="",NA(),$B455)</f>
        <v>#N/A</v>
      </c>
      <c r="T455" s="3" t="e">
        <f t="shared" ref="T455:T518" si="47">IF($D455="",NA(),$D455)</f>
        <v>#N/A</v>
      </c>
      <c r="U455" s="3">
        <f>Settings!$B$6</f>
        <v>100</v>
      </c>
    </row>
    <row r="456" spans="1:21" ht="18" customHeight="1" x14ac:dyDescent="0.3">
      <c r="A456" s="124">
        <f>A455+1</f>
        <v>46728</v>
      </c>
      <c r="B456" s="137"/>
      <c r="C456" s="126" t="str" cm="1">
        <f t="array" ref="C456">IF(B456="","",B456-IFERROR(LOOKUP(2,1/($B$6:B455&lt;&gt;""),$B$6:B455),Settings!$B$5))</f>
        <v/>
      </c>
      <c r="D456" s="127" t="str">
        <f>IF(B456="","",AVERAGE(B450:B456))</f>
        <v/>
      </c>
      <c r="E456" s="139"/>
      <c r="F456" s="140"/>
      <c r="G456" s="137"/>
      <c r="H456" s="139"/>
      <c r="I456" s="140"/>
      <c r="J456" s="141"/>
      <c r="K456" s="137"/>
      <c r="L456" s="142"/>
      <c r="M456" s="127" t="str">
        <f>IF(B456="","",B456/((Settings!$B$7)/100)^2)</f>
        <v/>
      </c>
      <c r="N456" s="25">
        <f>Settings!$B$6</f>
        <v>100</v>
      </c>
      <c r="O456" s="3" t="e">
        <f t="shared" si="42"/>
        <v>#N/A</v>
      </c>
      <c r="P456" s="3" t="e">
        <f t="shared" si="43"/>
        <v>#N/A</v>
      </c>
      <c r="Q456" s="3" t="e">
        <f t="shared" si="44"/>
        <v>#N/A</v>
      </c>
      <c r="R456" s="131">
        <f t="shared" si="45"/>
        <v>46728</v>
      </c>
      <c r="S456" s="3" t="e">
        <f t="shared" si="46"/>
        <v>#N/A</v>
      </c>
      <c r="T456" s="3" t="e">
        <f t="shared" si="47"/>
        <v>#N/A</v>
      </c>
      <c r="U456" s="3">
        <f>Settings!$B$6</f>
        <v>100</v>
      </c>
    </row>
    <row r="457" spans="1:21" ht="18" customHeight="1" x14ac:dyDescent="0.3">
      <c r="A457" s="132">
        <f>A456+1</f>
        <v>46729</v>
      </c>
      <c r="B457" s="138"/>
      <c r="C457" s="126" t="str" cm="1">
        <f t="array" ref="C457">IF(B457="","",B457-IFERROR(LOOKUP(2,1/($B$6:B456&lt;&gt;""),$B$6:B456),Settings!$B$5))</f>
        <v/>
      </c>
      <c r="D457" s="127" t="str">
        <f>IF(B457="","",AVERAGE(B451:B457))</f>
        <v/>
      </c>
      <c r="E457" s="143"/>
      <c r="F457" s="144"/>
      <c r="G457" s="138"/>
      <c r="H457" s="143"/>
      <c r="I457" s="144"/>
      <c r="J457" s="145"/>
      <c r="K457" s="138"/>
      <c r="L457" s="146"/>
      <c r="M457" s="127" t="str">
        <f>IF(B457="","",B457/((Settings!$B$7)/100)^2)</f>
        <v/>
      </c>
      <c r="N457" s="25">
        <f>Settings!$B$6</f>
        <v>100</v>
      </c>
      <c r="O457" s="3" t="e">
        <f t="shared" si="42"/>
        <v>#N/A</v>
      </c>
      <c r="P457" s="3" t="e">
        <f t="shared" si="43"/>
        <v>#N/A</v>
      </c>
      <c r="Q457" s="3" t="e">
        <f t="shared" si="44"/>
        <v>#N/A</v>
      </c>
      <c r="R457" s="131">
        <f t="shared" si="45"/>
        <v>46729</v>
      </c>
      <c r="S457" s="3" t="e">
        <f t="shared" si="46"/>
        <v>#N/A</v>
      </c>
      <c r="T457" s="3" t="e">
        <f t="shared" si="47"/>
        <v>#N/A</v>
      </c>
      <c r="U457" s="3">
        <f>Settings!$B$6</f>
        <v>100</v>
      </c>
    </row>
    <row r="458" spans="1:21" ht="18" customHeight="1" x14ac:dyDescent="0.3">
      <c r="A458" s="124">
        <f>A457+1</f>
        <v>46730</v>
      </c>
      <c r="B458" s="137"/>
      <c r="C458" s="126" t="str" cm="1">
        <f t="array" ref="C458">IF(B458="","",B458-IFERROR(LOOKUP(2,1/($B$6:B457&lt;&gt;""),$B$6:B457),Settings!$B$5))</f>
        <v/>
      </c>
      <c r="D458" s="127" t="str">
        <f>IF(B458="","",AVERAGE(B452:B458))</f>
        <v/>
      </c>
      <c r="E458" s="139"/>
      <c r="F458" s="140"/>
      <c r="G458" s="137"/>
      <c r="H458" s="139"/>
      <c r="I458" s="140"/>
      <c r="J458" s="141"/>
      <c r="K458" s="137"/>
      <c r="L458" s="142"/>
      <c r="M458" s="127" t="str">
        <f>IF(B458="","",B458/((Settings!$B$7)/100)^2)</f>
        <v/>
      </c>
      <c r="N458" s="25">
        <f>Settings!$B$6</f>
        <v>100</v>
      </c>
      <c r="O458" s="3" t="e">
        <f t="shared" si="42"/>
        <v>#N/A</v>
      </c>
      <c r="P458" s="3" t="e">
        <f t="shared" si="43"/>
        <v>#N/A</v>
      </c>
      <c r="Q458" s="3" t="e">
        <f t="shared" si="44"/>
        <v>#N/A</v>
      </c>
      <c r="R458" s="131">
        <f t="shared" si="45"/>
        <v>46730</v>
      </c>
      <c r="S458" s="3" t="e">
        <f t="shared" si="46"/>
        <v>#N/A</v>
      </c>
      <c r="T458" s="3" t="e">
        <f t="shared" si="47"/>
        <v>#N/A</v>
      </c>
      <c r="U458" s="3">
        <f>Settings!$B$6</f>
        <v>100</v>
      </c>
    </row>
    <row r="459" spans="1:21" ht="18" customHeight="1" x14ac:dyDescent="0.3">
      <c r="A459" s="132">
        <f>A458+1</f>
        <v>46731</v>
      </c>
      <c r="B459" s="138"/>
      <c r="C459" s="126" t="str" cm="1">
        <f t="array" ref="C459">IF(B459="","",B459-IFERROR(LOOKUP(2,1/($B$6:B458&lt;&gt;""),$B$6:B458),Settings!$B$5))</f>
        <v/>
      </c>
      <c r="D459" s="127" t="str">
        <f>IF(B459="","",AVERAGE(B453:B459))</f>
        <v/>
      </c>
      <c r="E459" s="143"/>
      <c r="F459" s="144"/>
      <c r="G459" s="138"/>
      <c r="H459" s="143"/>
      <c r="I459" s="144"/>
      <c r="J459" s="145"/>
      <c r="K459" s="138"/>
      <c r="L459" s="146"/>
      <c r="M459" s="127" t="str">
        <f>IF(B459="","",B459/((Settings!$B$7)/100)^2)</f>
        <v/>
      </c>
      <c r="N459" s="25">
        <f>Settings!$B$6</f>
        <v>100</v>
      </c>
      <c r="O459" s="3" t="e">
        <f t="shared" si="42"/>
        <v>#N/A</v>
      </c>
      <c r="P459" s="3" t="e">
        <f t="shared" si="43"/>
        <v>#N/A</v>
      </c>
      <c r="Q459" s="3" t="e">
        <f t="shared" si="44"/>
        <v>#N/A</v>
      </c>
      <c r="R459" s="131">
        <f t="shared" si="45"/>
        <v>46731</v>
      </c>
      <c r="S459" s="3" t="e">
        <f t="shared" si="46"/>
        <v>#N/A</v>
      </c>
      <c r="T459" s="3" t="e">
        <f t="shared" si="47"/>
        <v>#N/A</v>
      </c>
      <c r="U459" s="3">
        <f>Settings!$B$6</f>
        <v>100</v>
      </c>
    </row>
    <row r="460" spans="1:21" ht="18" customHeight="1" x14ac:dyDescent="0.3">
      <c r="A460" s="124">
        <f>A459+1</f>
        <v>46732</v>
      </c>
      <c r="B460" s="137"/>
      <c r="C460" s="126" t="str" cm="1">
        <f t="array" ref="C460">IF(B460="","",B460-IFERROR(LOOKUP(2,1/($B$6:B459&lt;&gt;""),$B$6:B459),Settings!$B$5))</f>
        <v/>
      </c>
      <c r="D460" s="127" t="str">
        <f>IF(B460="","",AVERAGE(B454:B460))</f>
        <v/>
      </c>
      <c r="E460" s="139"/>
      <c r="F460" s="140"/>
      <c r="G460" s="137"/>
      <c r="H460" s="139"/>
      <c r="I460" s="140"/>
      <c r="J460" s="141"/>
      <c r="K460" s="137"/>
      <c r="L460" s="142"/>
      <c r="M460" s="127" t="str">
        <f>IF(B460="","",B460/((Settings!$B$7)/100)^2)</f>
        <v/>
      </c>
      <c r="N460" s="25">
        <f>Settings!$B$6</f>
        <v>100</v>
      </c>
      <c r="O460" s="3" t="e">
        <f t="shared" si="42"/>
        <v>#N/A</v>
      </c>
      <c r="P460" s="3" t="e">
        <f t="shared" si="43"/>
        <v>#N/A</v>
      </c>
      <c r="Q460" s="3" t="e">
        <f t="shared" si="44"/>
        <v>#N/A</v>
      </c>
      <c r="R460" s="131">
        <f t="shared" si="45"/>
        <v>46732</v>
      </c>
      <c r="S460" s="3" t="e">
        <f t="shared" si="46"/>
        <v>#N/A</v>
      </c>
      <c r="T460" s="3" t="e">
        <f t="shared" si="47"/>
        <v>#N/A</v>
      </c>
      <c r="U460" s="3">
        <f>Settings!$B$6</f>
        <v>100</v>
      </c>
    </row>
    <row r="461" spans="1:21" ht="18" customHeight="1" x14ac:dyDescent="0.3">
      <c r="A461" s="132">
        <f>A460+1</f>
        <v>46733</v>
      </c>
      <c r="B461" s="138"/>
      <c r="C461" s="126" t="str" cm="1">
        <f t="array" ref="C461">IF(B461="","",B461-IFERROR(LOOKUP(2,1/($B$6:B460&lt;&gt;""),$B$6:B460),Settings!$B$5))</f>
        <v/>
      </c>
      <c r="D461" s="127" t="str">
        <f>IF(B461="","",AVERAGE(B455:B461))</f>
        <v/>
      </c>
      <c r="E461" s="143"/>
      <c r="F461" s="144"/>
      <c r="G461" s="138"/>
      <c r="H461" s="143"/>
      <c r="I461" s="144"/>
      <c r="J461" s="145"/>
      <c r="K461" s="138"/>
      <c r="L461" s="146"/>
      <c r="M461" s="127" t="str">
        <f>IF(B461="","",B461/((Settings!$B$7)/100)^2)</f>
        <v/>
      </c>
      <c r="N461" s="25">
        <f>Settings!$B$6</f>
        <v>100</v>
      </c>
      <c r="O461" s="3" t="e">
        <f t="shared" si="42"/>
        <v>#N/A</v>
      </c>
      <c r="P461" s="3" t="e">
        <f t="shared" si="43"/>
        <v>#N/A</v>
      </c>
      <c r="Q461" s="3" t="e">
        <f t="shared" si="44"/>
        <v>#N/A</v>
      </c>
      <c r="R461" s="131">
        <f t="shared" si="45"/>
        <v>46733</v>
      </c>
      <c r="S461" s="3" t="e">
        <f t="shared" si="46"/>
        <v>#N/A</v>
      </c>
      <c r="T461" s="3" t="e">
        <f t="shared" si="47"/>
        <v>#N/A</v>
      </c>
      <c r="U461" s="3">
        <f>Settings!$B$6</f>
        <v>100</v>
      </c>
    </row>
    <row r="462" spans="1:21" ht="18" customHeight="1" x14ac:dyDescent="0.3">
      <c r="A462" s="124">
        <f>A461+1</f>
        <v>46734</v>
      </c>
      <c r="B462" s="137"/>
      <c r="C462" s="126" t="str" cm="1">
        <f t="array" ref="C462">IF(B462="","",B462-IFERROR(LOOKUP(2,1/($B$6:B461&lt;&gt;""),$B$6:B461),Settings!$B$5))</f>
        <v/>
      </c>
      <c r="D462" s="127" t="str">
        <f>IF(B462="","",AVERAGE(B456:B462))</f>
        <v/>
      </c>
      <c r="E462" s="139"/>
      <c r="F462" s="140"/>
      <c r="G462" s="137"/>
      <c r="H462" s="139"/>
      <c r="I462" s="140"/>
      <c r="J462" s="141"/>
      <c r="K462" s="137"/>
      <c r="L462" s="142"/>
      <c r="M462" s="127" t="str">
        <f>IF(B462="","",B462/((Settings!$B$7)/100)^2)</f>
        <v/>
      </c>
      <c r="N462" s="25">
        <f>Settings!$B$6</f>
        <v>100</v>
      </c>
      <c r="O462" s="3" t="e">
        <f t="shared" si="42"/>
        <v>#N/A</v>
      </c>
      <c r="P462" s="3" t="e">
        <f t="shared" si="43"/>
        <v>#N/A</v>
      </c>
      <c r="Q462" s="3" t="e">
        <f t="shared" si="44"/>
        <v>#N/A</v>
      </c>
      <c r="R462" s="131">
        <f t="shared" si="45"/>
        <v>46734</v>
      </c>
      <c r="S462" s="3" t="e">
        <f t="shared" si="46"/>
        <v>#N/A</v>
      </c>
      <c r="T462" s="3" t="e">
        <f t="shared" si="47"/>
        <v>#N/A</v>
      </c>
      <c r="U462" s="3">
        <f>Settings!$B$6</f>
        <v>100</v>
      </c>
    </row>
    <row r="463" spans="1:21" ht="18" customHeight="1" x14ac:dyDescent="0.3">
      <c r="A463" s="132">
        <f>A462+1</f>
        <v>46735</v>
      </c>
      <c r="B463" s="138"/>
      <c r="C463" s="126" t="str" cm="1">
        <f t="array" ref="C463">IF(B463="","",B463-IFERROR(LOOKUP(2,1/($B$6:B462&lt;&gt;""),$B$6:B462),Settings!$B$5))</f>
        <v/>
      </c>
      <c r="D463" s="127" t="str">
        <f>IF(B463="","",AVERAGE(B457:B463))</f>
        <v/>
      </c>
      <c r="E463" s="143"/>
      <c r="F463" s="144"/>
      <c r="G463" s="138"/>
      <c r="H463" s="143"/>
      <c r="I463" s="144"/>
      <c r="J463" s="145"/>
      <c r="K463" s="138"/>
      <c r="L463" s="146"/>
      <c r="M463" s="127" t="str">
        <f>IF(B463="","",B463/((Settings!$B$7)/100)^2)</f>
        <v/>
      </c>
      <c r="N463" s="25">
        <f>Settings!$B$6</f>
        <v>100</v>
      </c>
      <c r="O463" s="3" t="e">
        <f t="shared" si="42"/>
        <v>#N/A</v>
      </c>
      <c r="P463" s="3" t="e">
        <f t="shared" si="43"/>
        <v>#N/A</v>
      </c>
      <c r="Q463" s="3" t="e">
        <f t="shared" si="44"/>
        <v>#N/A</v>
      </c>
      <c r="R463" s="131">
        <f t="shared" si="45"/>
        <v>46735</v>
      </c>
      <c r="S463" s="3" t="e">
        <f t="shared" si="46"/>
        <v>#N/A</v>
      </c>
      <c r="T463" s="3" t="e">
        <f t="shared" si="47"/>
        <v>#N/A</v>
      </c>
      <c r="U463" s="3">
        <f>Settings!$B$6</f>
        <v>100</v>
      </c>
    </row>
    <row r="464" spans="1:21" ht="18" customHeight="1" x14ac:dyDescent="0.3">
      <c r="A464" s="124">
        <f>A463+1</f>
        <v>46736</v>
      </c>
      <c r="B464" s="137"/>
      <c r="C464" s="126" t="str" cm="1">
        <f t="array" ref="C464">IF(B464="","",B464-IFERROR(LOOKUP(2,1/($B$6:B463&lt;&gt;""),$B$6:B463),Settings!$B$5))</f>
        <v/>
      </c>
      <c r="D464" s="127" t="str">
        <f>IF(B464="","",AVERAGE(B458:B464))</f>
        <v/>
      </c>
      <c r="E464" s="139"/>
      <c r="F464" s="140"/>
      <c r="G464" s="137"/>
      <c r="H464" s="139"/>
      <c r="I464" s="140"/>
      <c r="J464" s="141"/>
      <c r="K464" s="137"/>
      <c r="L464" s="142"/>
      <c r="M464" s="127" t="str">
        <f>IF(B464="","",B464/((Settings!$B$7)/100)^2)</f>
        <v/>
      </c>
      <c r="N464" s="25">
        <f>Settings!$B$6</f>
        <v>100</v>
      </c>
      <c r="O464" s="3" t="e">
        <f t="shared" si="42"/>
        <v>#N/A</v>
      </c>
      <c r="P464" s="3" t="e">
        <f t="shared" si="43"/>
        <v>#N/A</v>
      </c>
      <c r="Q464" s="3" t="e">
        <f t="shared" si="44"/>
        <v>#N/A</v>
      </c>
      <c r="R464" s="131">
        <f t="shared" si="45"/>
        <v>46736</v>
      </c>
      <c r="S464" s="3" t="e">
        <f t="shared" si="46"/>
        <v>#N/A</v>
      </c>
      <c r="T464" s="3" t="e">
        <f t="shared" si="47"/>
        <v>#N/A</v>
      </c>
      <c r="U464" s="3">
        <f>Settings!$B$6</f>
        <v>100</v>
      </c>
    </row>
    <row r="465" spans="1:21" ht="18" customHeight="1" x14ac:dyDescent="0.3">
      <c r="A465" s="132">
        <f>A464+1</f>
        <v>46737</v>
      </c>
      <c r="B465" s="138"/>
      <c r="C465" s="126" t="str" cm="1">
        <f t="array" ref="C465">IF(B465="","",B465-IFERROR(LOOKUP(2,1/($B$6:B464&lt;&gt;""),$B$6:B464),Settings!$B$5))</f>
        <v/>
      </c>
      <c r="D465" s="127" t="str">
        <f>IF(B465="","",AVERAGE(B459:B465))</f>
        <v/>
      </c>
      <c r="E465" s="143"/>
      <c r="F465" s="144"/>
      <c r="G465" s="138"/>
      <c r="H465" s="143"/>
      <c r="I465" s="144"/>
      <c r="J465" s="145"/>
      <c r="K465" s="138"/>
      <c r="L465" s="146"/>
      <c r="M465" s="127" t="str">
        <f>IF(B465="","",B465/((Settings!$B$7)/100)^2)</f>
        <v/>
      </c>
      <c r="N465" s="25">
        <f>Settings!$B$6</f>
        <v>100</v>
      </c>
      <c r="O465" s="3" t="e">
        <f t="shared" si="42"/>
        <v>#N/A</v>
      </c>
      <c r="P465" s="3" t="e">
        <f t="shared" si="43"/>
        <v>#N/A</v>
      </c>
      <c r="Q465" s="3" t="e">
        <f t="shared" si="44"/>
        <v>#N/A</v>
      </c>
      <c r="R465" s="131">
        <f t="shared" si="45"/>
        <v>46737</v>
      </c>
      <c r="S465" s="3" t="e">
        <f t="shared" si="46"/>
        <v>#N/A</v>
      </c>
      <c r="T465" s="3" t="e">
        <f t="shared" si="47"/>
        <v>#N/A</v>
      </c>
      <c r="U465" s="3">
        <f>Settings!$B$6</f>
        <v>100</v>
      </c>
    </row>
    <row r="466" spans="1:21" ht="18" customHeight="1" x14ac:dyDescent="0.3">
      <c r="A466" s="124">
        <f>A465+1</f>
        <v>46738</v>
      </c>
      <c r="B466" s="137"/>
      <c r="C466" s="126" t="str" cm="1">
        <f t="array" ref="C466">IF(B466="","",B466-IFERROR(LOOKUP(2,1/($B$6:B465&lt;&gt;""),$B$6:B465),Settings!$B$5))</f>
        <v/>
      </c>
      <c r="D466" s="127" t="str">
        <f>IF(B466="","",AVERAGE(B460:B466))</f>
        <v/>
      </c>
      <c r="E466" s="139"/>
      <c r="F466" s="140"/>
      <c r="G466" s="137"/>
      <c r="H466" s="139"/>
      <c r="I466" s="140"/>
      <c r="J466" s="141"/>
      <c r="K466" s="137"/>
      <c r="L466" s="142"/>
      <c r="M466" s="127" t="str">
        <f>IF(B466="","",B466/((Settings!$B$7)/100)^2)</f>
        <v/>
      </c>
      <c r="N466" s="25">
        <f>Settings!$B$6</f>
        <v>100</v>
      </c>
      <c r="O466" s="3" t="e">
        <f t="shared" si="42"/>
        <v>#N/A</v>
      </c>
      <c r="P466" s="3" t="e">
        <f t="shared" si="43"/>
        <v>#N/A</v>
      </c>
      <c r="Q466" s="3" t="e">
        <f t="shared" si="44"/>
        <v>#N/A</v>
      </c>
      <c r="R466" s="131">
        <f t="shared" si="45"/>
        <v>46738</v>
      </c>
      <c r="S466" s="3" t="e">
        <f t="shared" si="46"/>
        <v>#N/A</v>
      </c>
      <c r="T466" s="3" t="e">
        <f t="shared" si="47"/>
        <v>#N/A</v>
      </c>
      <c r="U466" s="3">
        <f>Settings!$B$6</f>
        <v>100</v>
      </c>
    </row>
    <row r="467" spans="1:21" ht="18" customHeight="1" x14ac:dyDescent="0.3">
      <c r="A467" s="132">
        <f>A466+1</f>
        <v>46739</v>
      </c>
      <c r="B467" s="138"/>
      <c r="C467" s="126" t="str" cm="1">
        <f t="array" ref="C467">IF(B467="","",B467-IFERROR(LOOKUP(2,1/($B$6:B466&lt;&gt;""),$B$6:B466),Settings!$B$5))</f>
        <v/>
      </c>
      <c r="D467" s="127" t="str">
        <f>IF(B467="","",AVERAGE(B461:B467))</f>
        <v/>
      </c>
      <c r="E467" s="143"/>
      <c r="F467" s="144"/>
      <c r="G467" s="138"/>
      <c r="H467" s="143"/>
      <c r="I467" s="144"/>
      <c r="J467" s="145"/>
      <c r="K467" s="138"/>
      <c r="L467" s="146"/>
      <c r="M467" s="127" t="str">
        <f>IF(B467="","",B467/((Settings!$B$7)/100)^2)</f>
        <v/>
      </c>
      <c r="N467" s="25">
        <f>Settings!$B$6</f>
        <v>100</v>
      </c>
      <c r="O467" s="3" t="e">
        <f t="shared" si="42"/>
        <v>#N/A</v>
      </c>
      <c r="P467" s="3" t="e">
        <f t="shared" si="43"/>
        <v>#N/A</v>
      </c>
      <c r="Q467" s="3" t="e">
        <f t="shared" si="44"/>
        <v>#N/A</v>
      </c>
      <c r="R467" s="131">
        <f t="shared" si="45"/>
        <v>46739</v>
      </c>
      <c r="S467" s="3" t="e">
        <f t="shared" si="46"/>
        <v>#N/A</v>
      </c>
      <c r="T467" s="3" t="e">
        <f t="shared" si="47"/>
        <v>#N/A</v>
      </c>
      <c r="U467" s="3">
        <f>Settings!$B$6</f>
        <v>100</v>
      </c>
    </row>
    <row r="468" spans="1:21" ht="18" customHeight="1" x14ac:dyDescent="0.3">
      <c r="A468" s="124">
        <f>A467+1</f>
        <v>46740</v>
      </c>
      <c r="B468" s="137"/>
      <c r="C468" s="126" t="str" cm="1">
        <f t="array" ref="C468">IF(B468="","",B468-IFERROR(LOOKUP(2,1/($B$6:B467&lt;&gt;""),$B$6:B467),Settings!$B$5))</f>
        <v/>
      </c>
      <c r="D468" s="127" t="str">
        <f>IF(B468="","",AVERAGE(B462:B468))</f>
        <v/>
      </c>
      <c r="E468" s="139"/>
      <c r="F468" s="140"/>
      <c r="G468" s="137"/>
      <c r="H468" s="139"/>
      <c r="I468" s="140"/>
      <c r="J468" s="141"/>
      <c r="K468" s="137"/>
      <c r="L468" s="142"/>
      <c r="M468" s="127" t="str">
        <f>IF(B468="","",B468/((Settings!$B$7)/100)^2)</f>
        <v/>
      </c>
      <c r="N468" s="25">
        <f>Settings!$B$6</f>
        <v>100</v>
      </c>
      <c r="O468" s="3" t="e">
        <f t="shared" si="42"/>
        <v>#N/A</v>
      </c>
      <c r="P468" s="3" t="e">
        <f t="shared" si="43"/>
        <v>#N/A</v>
      </c>
      <c r="Q468" s="3" t="e">
        <f t="shared" si="44"/>
        <v>#N/A</v>
      </c>
      <c r="R468" s="131">
        <f t="shared" si="45"/>
        <v>46740</v>
      </c>
      <c r="S468" s="3" t="e">
        <f t="shared" si="46"/>
        <v>#N/A</v>
      </c>
      <c r="T468" s="3" t="e">
        <f t="shared" si="47"/>
        <v>#N/A</v>
      </c>
      <c r="U468" s="3">
        <f>Settings!$B$6</f>
        <v>100</v>
      </c>
    </row>
    <row r="469" spans="1:21" ht="18" customHeight="1" x14ac:dyDescent="0.3">
      <c r="A469" s="132">
        <f>A468+1</f>
        <v>46741</v>
      </c>
      <c r="B469" s="138"/>
      <c r="C469" s="126" t="str" cm="1">
        <f t="array" ref="C469">IF(B469="","",B469-IFERROR(LOOKUP(2,1/($B$6:B468&lt;&gt;""),$B$6:B468),Settings!$B$5))</f>
        <v/>
      </c>
      <c r="D469" s="127" t="str">
        <f>IF(B469="","",AVERAGE(B463:B469))</f>
        <v/>
      </c>
      <c r="E469" s="143"/>
      <c r="F469" s="144"/>
      <c r="G469" s="138"/>
      <c r="H469" s="143"/>
      <c r="I469" s="144"/>
      <c r="J469" s="145"/>
      <c r="K469" s="138"/>
      <c r="L469" s="146"/>
      <c r="M469" s="127" t="str">
        <f>IF(B469="","",B469/((Settings!$B$7)/100)^2)</f>
        <v/>
      </c>
      <c r="N469" s="25">
        <f>Settings!$B$6</f>
        <v>100</v>
      </c>
      <c r="O469" s="3" t="e">
        <f t="shared" si="42"/>
        <v>#N/A</v>
      </c>
      <c r="P469" s="3" t="e">
        <f t="shared" si="43"/>
        <v>#N/A</v>
      </c>
      <c r="Q469" s="3" t="e">
        <f t="shared" si="44"/>
        <v>#N/A</v>
      </c>
      <c r="R469" s="131">
        <f t="shared" si="45"/>
        <v>46741</v>
      </c>
      <c r="S469" s="3" t="e">
        <f t="shared" si="46"/>
        <v>#N/A</v>
      </c>
      <c r="T469" s="3" t="e">
        <f t="shared" si="47"/>
        <v>#N/A</v>
      </c>
      <c r="U469" s="3">
        <f>Settings!$B$6</f>
        <v>100</v>
      </c>
    </row>
    <row r="470" spans="1:21" ht="18" customHeight="1" x14ac:dyDescent="0.3">
      <c r="A470" s="124">
        <f>A469+1</f>
        <v>46742</v>
      </c>
      <c r="B470" s="137"/>
      <c r="C470" s="126" t="str" cm="1">
        <f t="array" ref="C470">IF(B470="","",B470-IFERROR(LOOKUP(2,1/($B$6:B469&lt;&gt;""),$B$6:B469),Settings!$B$5))</f>
        <v/>
      </c>
      <c r="D470" s="127" t="str">
        <f>IF(B470="","",AVERAGE(B464:B470))</f>
        <v/>
      </c>
      <c r="E470" s="139"/>
      <c r="F470" s="140"/>
      <c r="G470" s="137"/>
      <c r="H470" s="139"/>
      <c r="I470" s="140"/>
      <c r="J470" s="141"/>
      <c r="K470" s="137"/>
      <c r="L470" s="142"/>
      <c r="M470" s="127" t="str">
        <f>IF(B470="","",B470/((Settings!$B$7)/100)^2)</f>
        <v/>
      </c>
      <c r="N470" s="25">
        <f>Settings!$B$6</f>
        <v>100</v>
      </c>
      <c r="O470" s="3" t="e">
        <f t="shared" si="42"/>
        <v>#N/A</v>
      </c>
      <c r="P470" s="3" t="e">
        <f t="shared" si="43"/>
        <v>#N/A</v>
      </c>
      <c r="Q470" s="3" t="e">
        <f t="shared" si="44"/>
        <v>#N/A</v>
      </c>
      <c r="R470" s="131">
        <f t="shared" si="45"/>
        <v>46742</v>
      </c>
      <c r="S470" s="3" t="e">
        <f t="shared" si="46"/>
        <v>#N/A</v>
      </c>
      <c r="T470" s="3" t="e">
        <f t="shared" si="47"/>
        <v>#N/A</v>
      </c>
      <c r="U470" s="3">
        <f>Settings!$B$6</f>
        <v>100</v>
      </c>
    </row>
    <row r="471" spans="1:21" ht="18" customHeight="1" x14ac:dyDescent="0.3">
      <c r="A471" s="132">
        <f>A470+1</f>
        <v>46743</v>
      </c>
      <c r="B471" s="138"/>
      <c r="C471" s="126" t="str" cm="1">
        <f t="array" ref="C471">IF(B471="","",B471-IFERROR(LOOKUP(2,1/($B$6:B470&lt;&gt;""),$B$6:B470),Settings!$B$5))</f>
        <v/>
      </c>
      <c r="D471" s="127" t="str">
        <f>IF(B471="","",AVERAGE(B465:B471))</f>
        <v/>
      </c>
      <c r="E471" s="143"/>
      <c r="F471" s="144"/>
      <c r="G471" s="138"/>
      <c r="H471" s="143"/>
      <c r="I471" s="144"/>
      <c r="J471" s="145"/>
      <c r="K471" s="138"/>
      <c r="L471" s="146"/>
      <c r="M471" s="127" t="str">
        <f>IF(B471="","",B471/((Settings!$B$7)/100)^2)</f>
        <v/>
      </c>
      <c r="N471" s="25">
        <f>Settings!$B$6</f>
        <v>100</v>
      </c>
      <c r="O471" s="3" t="e">
        <f t="shared" si="42"/>
        <v>#N/A</v>
      </c>
      <c r="P471" s="3" t="e">
        <f t="shared" si="43"/>
        <v>#N/A</v>
      </c>
      <c r="Q471" s="3" t="e">
        <f t="shared" si="44"/>
        <v>#N/A</v>
      </c>
      <c r="R471" s="131">
        <f t="shared" si="45"/>
        <v>46743</v>
      </c>
      <c r="S471" s="3" t="e">
        <f t="shared" si="46"/>
        <v>#N/A</v>
      </c>
      <c r="T471" s="3" t="e">
        <f t="shared" si="47"/>
        <v>#N/A</v>
      </c>
      <c r="U471" s="3">
        <f>Settings!$B$6</f>
        <v>100</v>
      </c>
    </row>
    <row r="472" spans="1:21" ht="18" customHeight="1" x14ac:dyDescent="0.3">
      <c r="A472" s="124">
        <f>A471+1</f>
        <v>46744</v>
      </c>
      <c r="B472" s="137"/>
      <c r="C472" s="126" t="str" cm="1">
        <f t="array" ref="C472">IF(B472="","",B472-IFERROR(LOOKUP(2,1/($B$6:B471&lt;&gt;""),$B$6:B471),Settings!$B$5))</f>
        <v/>
      </c>
      <c r="D472" s="127" t="str">
        <f>IF(B472="","",AVERAGE(B466:B472))</f>
        <v/>
      </c>
      <c r="E472" s="139"/>
      <c r="F472" s="140"/>
      <c r="G472" s="137"/>
      <c r="H472" s="139"/>
      <c r="I472" s="140"/>
      <c r="J472" s="141"/>
      <c r="K472" s="137"/>
      <c r="L472" s="142"/>
      <c r="M472" s="127" t="str">
        <f>IF(B472="","",B472/((Settings!$B$7)/100)^2)</f>
        <v/>
      </c>
      <c r="N472" s="25">
        <f>Settings!$B$6</f>
        <v>100</v>
      </c>
      <c r="O472" s="3" t="e">
        <f t="shared" si="42"/>
        <v>#N/A</v>
      </c>
      <c r="P472" s="3" t="e">
        <f t="shared" si="43"/>
        <v>#N/A</v>
      </c>
      <c r="Q472" s="3" t="e">
        <f t="shared" si="44"/>
        <v>#N/A</v>
      </c>
      <c r="R472" s="131">
        <f t="shared" si="45"/>
        <v>46744</v>
      </c>
      <c r="S472" s="3" t="e">
        <f t="shared" si="46"/>
        <v>#N/A</v>
      </c>
      <c r="T472" s="3" t="e">
        <f t="shared" si="47"/>
        <v>#N/A</v>
      </c>
      <c r="U472" s="3">
        <f>Settings!$B$6</f>
        <v>100</v>
      </c>
    </row>
    <row r="473" spans="1:21" ht="18" customHeight="1" x14ac:dyDescent="0.3">
      <c r="A473" s="132">
        <f>A472+1</f>
        <v>46745</v>
      </c>
      <c r="B473" s="138"/>
      <c r="C473" s="126" t="str" cm="1">
        <f t="array" ref="C473">IF(B473="","",B473-IFERROR(LOOKUP(2,1/($B$6:B472&lt;&gt;""),$B$6:B472),Settings!$B$5))</f>
        <v/>
      </c>
      <c r="D473" s="127" t="str">
        <f>IF(B473="","",AVERAGE(B467:B473))</f>
        <v/>
      </c>
      <c r="E473" s="143"/>
      <c r="F473" s="144"/>
      <c r="G473" s="138"/>
      <c r="H473" s="143"/>
      <c r="I473" s="144"/>
      <c r="J473" s="145"/>
      <c r="K473" s="138"/>
      <c r="L473" s="146"/>
      <c r="M473" s="127" t="str">
        <f>IF(B473="","",B473/((Settings!$B$7)/100)^2)</f>
        <v/>
      </c>
      <c r="N473" s="25">
        <f>Settings!$B$6</f>
        <v>100</v>
      </c>
      <c r="O473" s="3" t="e">
        <f t="shared" si="42"/>
        <v>#N/A</v>
      </c>
      <c r="P473" s="3" t="e">
        <f t="shared" si="43"/>
        <v>#N/A</v>
      </c>
      <c r="Q473" s="3" t="e">
        <f t="shared" si="44"/>
        <v>#N/A</v>
      </c>
      <c r="R473" s="131">
        <f t="shared" si="45"/>
        <v>46745</v>
      </c>
      <c r="S473" s="3" t="e">
        <f t="shared" si="46"/>
        <v>#N/A</v>
      </c>
      <c r="T473" s="3" t="e">
        <f t="shared" si="47"/>
        <v>#N/A</v>
      </c>
      <c r="U473" s="3">
        <f>Settings!$B$6</f>
        <v>100</v>
      </c>
    </row>
    <row r="474" spans="1:21" ht="18" customHeight="1" x14ac:dyDescent="0.3">
      <c r="A474" s="124">
        <f>A473+1</f>
        <v>46746</v>
      </c>
      <c r="B474" s="137"/>
      <c r="C474" s="126" t="str" cm="1">
        <f t="array" ref="C474">IF(B474="","",B474-IFERROR(LOOKUP(2,1/($B$6:B473&lt;&gt;""),$B$6:B473),Settings!$B$5))</f>
        <v/>
      </c>
      <c r="D474" s="127" t="str">
        <f>IF(B474="","",AVERAGE(B468:B474))</f>
        <v/>
      </c>
      <c r="E474" s="139"/>
      <c r="F474" s="140"/>
      <c r="G474" s="137"/>
      <c r="H474" s="139"/>
      <c r="I474" s="140"/>
      <c r="J474" s="141"/>
      <c r="K474" s="137"/>
      <c r="L474" s="142"/>
      <c r="M474" s="127" t="str">
        <f>IF(B474="","",B474/((Settings!$B$7)/100)^2)</f>
        <v/>
      </c>
      <c r="N474" s="25">
        <f>Settings!$B$6</f>
        <v>100</v>
      </c>
      <c r="O474" s="3" t="e">
        <f t="shared" si="42"/>
        <v>#N/A</v>
      </c>
      <c r="P474" s="3" t="e">
        <f t="shared" si="43"/>
        <v>#N/A</v>
      </c>
      <c r="Q474" s="3" t="e">
        <f t="shared" si="44"/>
        <v>#N/A</v>
      </c>
      <c r="R474" s="131">
        <f t="shared" si="45"/>
        <v>46746</v>
      </c>
      <c r="S474" s="3" t="e">
        <f t="shared" si="46"/>
        <v>#N/A</v>
      </c>
      <c r="T474" s="3" t="e">
        <f t="shared" si="47"/>
        <v>#N/A</v>
      </c>
      <c r="U474" s="3">
        <f>Settings!$B$6</f>
        <v>100</v>
      </c>
    </row>
    <row r="475" spans="1:21" ht="18" customHeight="1" x14ac:dyDescent="0.3">
      <c r="A475" s="132">
        <f>A474+1</f>
        <v>46747</v>
      </c>
      <c r="B475" s="138"/>
      <c r="C475" s="126" t="str" cm="1">
        <f t="array" ref="C475">IF(B475="","",B475-IFERROR(LOOKUP(2,1/($B$6:B474&lt;&gt;""),$B$6:B474),Settings!$B$5))</f>
        <v/>
      </c>
      <c r="D475" s="127" t="str">
        <f>IF(B475="","",AVERAGE(B469:B475))</f>
        <v/>
      </c>
      <c r="E475" s="143"/>
      <c r="F475" s="144"/>
      <c r="G475" s="138"/>
      <c r="H475" s="143"/>
      <c r="I475" s="144"/>
      <c r="J475" s="145"/>
      <c r="K475" s="138"/>
      <c r="L475" s="146"/>
      <c r="M475" s="127" t="str">
        <f>IF(B475="","",B475/((Settings!$B$7)/100)^2)</f>
        <v/>
      </c>
      <c r="N475" s="25">
        <f>Settings!$B$6</f>
        <v>100</v>
      </c>
      <c r="O475" s="3" t="e">
        <f t="shared" si="42"/>
        <v>#N/A</v>
      </c>
      <c r="P475" s="3" t="e">
        <f t="shared" si="43"/>
        <v>#N/A</v>
      </c>
      <c r="Q475" s="3" t="e">
        <f t="shared" si="44"/>
        <v>#N/A</v>
      </c>
      <c r="R475" s="131">
        <f t="shared" si="45"/>
        <v>46747</v>
      </c>
      <c r="S475" s="3" t="e">
        <f t="shared" si="46"/>
        <v>#N/A</v>
      </c>
      <c r="T475" s="3" t="e">
        <f t="shared" si="47"/>
        <v>#N/A</v>
      </c>
      <c r="U475" s="3">
        <f>Settings!$B$6</f>
        <v>100</v>
      </c>
    </row>
    <row r="476" spans="1:21" ht="18" customHeight="1" x14ac:dyDescent="0.3">
      <c r="A476" s="124">
        <f>A475+1</f>
        <v>46748</v>
      </c>
      <c r="B476" s="137"/>
      <c r="C476" s="126" t="str" cm="1">
        <f t="array" ref="C476">IF(B476="","",B476-IFERROR(LOOKUP(2,1/($B$6:B475&lt;&gt;""),$B$6:B475),Settings!$B$5))</f>
        <v/>
      </c>
      <c r="D476" s="127" t="str">
        <f>IF(B476="","",AVERAGE(B470:B476))</f>
        <v/>
      </c>
      <c r="E476" s="139"/>
      <c r="F476" s="140"/>
      <c r="G476" s="137"/>
      <c r="H476" s="139"/>
      <c r="I476" s="140"/>
      <c r="J476" s="141"/>
      <c r="K476" s="137"/>
      <c r="L476" s="142"/>
      <c r="M476" s="127" t="str">
        <f>IF(B476="","",B476/((Settings!$B$7)/100)^2)</f>
        <v/>
      </c>
      <c r="N476" s="25">
        <f>Settings!$B$6</f>
        <v>100</v>
      </c>
      <c r="O476" s="3" t="e">
        <f t="shared" si="42"/>
        <v>#N/A</v>
      </c>
      <c r="P476" s="3" t="e">
        <f t="shared" si="43"/>
        <v>#N/A</v>
      </c>
      <c r="Q476" s="3" t="e">
        <f t="shared" si="44"/>
        <v>#N/A</v>
      </c>
      <c r="R476" s="131">
        <f t="shared" si="45"/>
        <v>46748</v>
      </c>
      <c r="S476" s="3" t="e">
        <f t="shared" si="46"/>
        <v>#N/A</v>
      </c>
      <c r="T476" s="3" t="e">
        <f t="shared" si="47"/>
        <v>#N/A</v>
      </c>
      <c r="U476" s="3">
        <f>Settings!$B$6</f>
        <v>100</v>
      </c>
    </row>
    <row r="477" spans="1:21" ht="18" customHeight="1" x14ac:dyDescent="0.3">
      <c r="A477" s="132">
        <f>A476+1</f>
        <v>46749</v>
      </c>
      <c r="B477" s="138"/>
      <c r="C477" s="126" t="str" cm="1">
        <f t="array" ref="C477">IF(B477="","",B477-IFERROR(LOOKUP(2,1/($B$6:B476&lt;&gt;""),$B$6:B476),Settings!$B$5))</f>
        <v/>
      </c>
      <c r="D477" s="127" t="str">
        <f>IF(B477="","",AVERAGE(B471:B477))</f>
        <v/>
      </c>
      <c r="E477" s="143"/>
      <c r="F477" s="144"/>
      <c r="G477" s="138"/>
      <c r="H477" s="143"/>
      <c r="I477" s="144"/>
      <c r="J477" s="145"/>
      <c r="K477" s="138"/>
      <c r="L477" s="146"/>
      <c r="M477" s="127" t="str">
        <f>IF(B477="","",B477/((Settings!$B$7)/100)^2)</f>
        <v/>
      </c>
      <c r="N477" s="25">
        <f>Settings!$B$6</f>
        <v>100</v>
      </c>
      <c r="O477" s="3" t="e">
        <f t="shared" si="42"/>
        <v>#N/A</v>
      </c>
      <c r="P477" s="3" t="e">
        <f t="shared" si="43"/>
        <v>#N/A</v>
      </c>
      <c r="Q477" s="3" t="e">
        <f t="shared" si="44"/>
        <v>#N/A</v>
      </c>
      <c r="R477" s="131">
        <f t="shared" si="45"/>
        <v>46749</v>
      </c>
      <c r="S477" s="3" t="e">
        <f t="shared" si="46"/>
        <v>#N/A</v>
      </c>
      <c r="T477" s="3" t="e">
        <f t="shared" si="47"/>
        <v>#N/A</v>
      </c>
      <c r="U477" s="3">
        <f>Settings!$B$6</f>
        <v>100</v>
      </c>
    </row>
    <row r="478" spans="1:21" ht="18" customHeight="1" x14ac:dyDescent="0.3">
      <c r="A478" s="124">
        <f>A477+1</f>
        <v>46750</v>
      </c>
      <c r="B478" s="137"/>
      <c r="C478" s="126" t="str" cm="1">
        <f t="array" ref="C478">IF(B478="","",B478-IFERROR(LOOKUP(2,1/($B$6:B477&lt;&gt;""),$B$6:B477),Settings!$B$5))</f>
        <v/>
      </c>
      <c r="D478" s="127" t="str">
        <f>IF(B478="","",AVERAGE(B472:B478))</f>
        <v/>
      </c>
      <c r="E478" s="139"/>
      <c r="F478" s="140"/>
      <c r="G478" s="137"/>
      <c r="H478" s="139"/>
      <c r="I478" s="140"/>
      <c r="J478" s="141"/>
      <c r="K478" s="137"/>
      <c r="L478" s="142"/>
      <c r="M478" s="127" t="str">
        <f>IF(B478="","",B478/((Settings!$B$7)/100)^2)</f>
        <v/>
      </c>
      <c r="N478" s="25">
        <f>Settings!$B$6</f>
        <v>100</v>
      </c>
      <c r="O478" s="3" t="e">
        <f t="shared" si="42"/>
        <v>#N/A</v>
      </c>
      <c r="P478" s="3" t="e">
        <f t="shared" si="43"/>
        <v>#N/A</v>
      </c>
      <c r="Q478" s="3" t="e">
        <f t="shared" si="44"/>
        <v>#N/A</v>
      </c>
      <c r="R478" s="131">
        <f t="shared" si="45"/>
        <v>46750</v>
      </c>
      <c r="S478" s="3" t="e">
        <f t="shared" si="46"/>
        <v>#N/A</v>
      </c>
      <c r="T478" s="3" t="e">
        <f t="shared" si="47"/>
        <v>#N/A</v>
      </c>
      <c r="U478" s="3">
        <f>Settings!$B$6</f>
        <v>100</v>
      </c>
    </row>
    <row r="479" spans="1:21" ht="18" customHeight="1" x14ac:dyDescent="0.3">
      <c r="A479" s="132">
        <f>A478+1</f>
        <v>46751</v>
      </c>
      <c r="B479" s="138"/>
      <c r="C479" s="126" t="str" cm="1">
        <f t="array" ref="C479">IF(B479="","",B479-IFERROR(LOOKUP(2,1/($B$6:B478&lt;&gt;""),$B$6:B478),Settings!$B$5))</f>
        <v/>
      </c>
      <c r="D479" s="127" t="str">
        <f>IF(B479="","",AVERAGE(B473:B479))</f>
        <v/>
      </c>
      <c r="E479" s="143"/>
      <c r="F479" s="144"/>
      <c r="G479" s="138"/>
      <c r="H479" s="143"/>
      <c r="I479" s="144"/>
      <c r="J479" s="145"/>
      <c r="K479" s="138"/>
      <c r="L479" s="146"/>
      <c r="M479" s="127" t="str">
        <f>IF(B479="","",B479/((Settings!$B$7)/100)^2)</f>
        <v/>
      </c>
      <c r="N479" s="25">
        <f>Settings!$B$6</f>
        <v>100</v>
      </c>
      <c r="O479" s="3" t="e">
        <f t="shared" si="42"/>
        <v>#N/A</v>
      </c>
      <c r="P479" s="3" t="e">
        <f t="shared" si="43"/>
        <v>#N/A</v>
      </c>
      <c r="Q479" s="3" t="e">
        <f t="shared" si="44"/>
        <v>#N/A</v>
      </c>
      <c r="R479" s="131">
        <f t="shared" si="45"/>
        <v>46751</v>
      </c>
      <c r="S479" s="3" t="e">
        <f t="shared" si="46"/>
        <v>#N/A</v>
      </c>
      <c r="T479" s="3" t="e">
        <f t="shared" si="47"/>
        <v>#N/A</v>
      </c>
      <c r="U479" s="3">
        <f>Settings!$B$6</f>
        <v>100</v>
      </c>
    </row>
    <row r="480" spans="1:21" ht="18" customHeight="1" x14ac:dyDescent="0.3">
      <c r="A480" s="124">
        <f>A479+1</f>
        <v>46752</v>
      </c>
      <c r="B480" s="137"/>
      <c r="C480" s="126" t="str" cm="1">
        <f t="array" ref="C480">IF(B480="","",B480-IFERROR(LOOKUP(2,1/($B$6:B479&lt;&gt;""),$B$6:B479),Settings!$B$5))</f>
        <v/>
      </c>
      <c r="D480" s="127" t="str">
        <f>IF(B480="","",AVERAGE(B474:B480))</f>
        <v/>
      </c>
      <c r="E480" s="139"/>
      <c r="F480" s="140"/>
      <c r="G480" s="137"/>
      <c r="H480" s="139"/>
      <c r="I480" s="140"/>
      <c r="J480" s="141"/>
      <c r="K480" s="137"/>
      <c r="L480" s="142"/>
      <c r="M480" s="127" t="str">
        <f>IF(B480="","",B480/((Settings!$B$7)/100)^2)</f>
        <v/>
      </c>
      <c r="N480" s="25">
        <f>Settings!$B$6</f>
        <v>100</v>
      </c>
      <c r="O480" s="3" t="e">
        <f t="shared" si="42"/>
        <v>#N/A</v>
      </c>
      <c r="P480" s="3" t="e">
        <f t="shared" si="43"/>
        <v>#N/A</v>
      </c>
      <c r="Q480" s="3" t="e">
        <f t="shared" si="44"/>
        <v>#N/A</v>
      </c>
      <c r="R480" s="131">
        <f t="shared" si="45"/>
        <v>46752</v>
      </c>
      <c r="S480" s="3" t="e">
        <f t="shared" si="46"/>
        <v>#N/A</v>
      </c>
      <c r="T480" s="3" t="e">
        <f t="shared" si="47"/>
        <v>#N/A</v>
      </c>
      <c r="U480" s="3">
        <f>Settings!$B$6</f>
        <v>100</v>
      </c>
    </row>
    <row r="481" spans="1:21" ht="18" customHeight="1" x14ac:dyDescent="0.3">
      <c r="A481" s="132">
        <f>A480+1</f>
        <v>46753</v>
      </c>
      <c r="B481" s="138"/>
      <c r="C481" s="126" t="str" cm="1">
        <f t="array" ref="C481">IF(B481="","",B481-IFERROR(LOOKUP(2,1/($B$6:B480&lt;&gt;""),$B$6:B480),Settings!$B$5))</f>
        <v/>
      </c>
      <c r="D481" s="127" t="str">
        <f>IF(B481="","",AVERAGE(B475:B481))</f>
        <v/>
      </c>
      <c r="E481" s="143"/>
      <c r="F481" s="144"/>
      <c r="G481" s="138"/>
      <c r="H481" s="143"/>
      <c r="I481" s="144"/>
      <c r="J481" s="145"/>
      <c r="K481" s="138"/>
      <c r="L481" s="146"/>
      <c r="M481" s="127" t="str">
        <f>IF(B481="","",B481/((Settings!$B$7)/100)^2)</f>
        <v/>
      </c>
      <c r="N481" s="25">
        <f>Settings!$B$6</f>
        <v>100</v>
      </c>
      <c r="O481" s="3" t="e">
        <f t="shared" si="42"/>
        <v>#N/A</v>
      </c>
      <c r="P481" s="3" t="e">
        <f t="shared" si="43"/>
        <v>#N/A</v>
      </c>
      <c r="Q481" s="3" t="e">
        <f t="shared" si="44"/>
        <v>#N/A</v>
      </c>
      <c r="R481" s="131">
        <f t="shared" si="45"/>
        <v>46753</v>
      </c>
      <c r="S481" s="3" t="e">
        <f t="shared" si="46"/>
        <v>#N/A</v>
      </c>
      <c r="T481" s="3" t="e">
        <f t="shared" si="47"/>
        <v>#N/A</v>
      </c>
      <c r="U481" s="3">
        <f>Settings!$B$6</f>
        <v>100</v>
      </c>
    </row>
    <row r="482" spans="1:21" ht="18" customHeight="1" x14ac:dyDescent="0.3">
      <c r="A482" s="124">
        <f>A481+1</f>
        <v>46754</v>
      </c>
      <c r="B482" s="137"/>
      <c r="C482" s="126" t="str" cm="1">
        <f t="array" ref="C482">IF(B482="","",B482-IFERROR(LOOKUP(2,1/($B$6:B481&lt;&gt;""),$B$6:B481),Settings!$B$5))</f>
        <v/>
      </c>
      <c r="D482" s="127" t="str">
        <f>IF(B482="","",AVERAGE(B476:B482))</f>
        <v/>
      </c>
      <c r="E482" s="139"/>
      <c r="F482" s="140"/>
      <c r="G482" s="137"/>
      <c r="H482" s="139"/>
      <c r="I482" s="140"/>
      <c r="J482" s="141"/>
      <c r="K482" s="137"/>
      <c r="L482" s="142"/>
      <c r="M482" s="127" t="str">
        <f>IF(B482="","",B482/((Settings!$B$7)/100)^2)</f>
        <v/>
      </c>
      <c r="N482" s="25">
        <f>Settings!$B$6</f>
        <v>100</v>
      </c>
      <c r="O482" s="3" t="e">
        <f t="shared" si="42"/>
        <v>#N/A</v>
      </c>
      <c r="P482" s="3" t="e">
        <f t="shared" si="43"/>
        <v>#N/A</v>
      </c>
      <c r="Q482" s="3" t="e">
        <f t="shared" si="44"/>
        <v>#N/A</v>
      </c>
      <c r="R482" s="131">
        <f t="shared" si="45"/>
        <v>46754</v>
      </c>
      <c r="S482" s="3" t="e">
        <f t="shared" si="46"/>
        <v>#N/A</v>
      </c>
      <c r="T482" s="3" t="e">
        <f t="shared" si="47"/>
        <v>#N/A</v>
      </c>
      <c r="U482" s="3">
        <f>Settings!$B$6</f>
        <v>100</v>
      </c>
    </row>
    <row r="483" spans="1:21" ht="18" customHeight="1" x14ac:dyDescent="0.3">
      <c r="A483" s="132">
        <f>A482+1</f>
        <v>46755</v>
      </c>
      <c r="B483" s="138"/>
      <c r="C483" s="126" t="str" cm="1">
        <f t="array" ref="C483">IF(B483="","",B483-IFERROR(LOOKUP(2,1/($B$6:B482&lt;&gt;""),$B$6:B482),Settings!$B$5))</f>
        <v/>
      </c>
      <c r="D483" s="127" t="str">
        <f>IF(B483="","",AVERAGE(B477:B483))</f>
        <v/>
      </c>
      <c r="E483" s="143"/>
      <c r="F483" s="144"/>
      <c r="G483" s="138"/>
      <c r="H483" s="143"/>
      <c r="I483" s="144"/>
      <c r="J483" s="145"/>
      <c r="K483" s="138"/>
      <c r="L483" s="146"/>
      <c r="M483" s="127" t="str">
        <f>IF(B483="","",B483/((Settings!$B$7)/100)^2)</f>
        <v/>
      </c>
      <c r="N483" s="25">
        <f>Settings!$B$6</f>
        <v>100</v>
      </c>
      <c r="O483" s="3" t="e">
        <f t="shared" si="42"/>
        <v>#N/A</v>
      </c>
      <c r="P483" s="3" t="e">
        <f t="shared" si="43"/>
        <v>#N/A</v>
      </c>
      <c r="Q483" s="3" t="e">
        <f t="shared" si="44"/>
        <v>#N/A</v>
      </c>
      <c r="R483" s="131">
        <f t="shared" si="45"/>
        <v>46755</v>
      </c>
      <c r="S483" s="3" t="e">
        <f t="shared" si="46"/>
        <v>#N/A</v>
      </c>
      <c r="T483" s="3" t="e">
        <f t="shared" si="47"/>
        <v>#N/A</v>
      </c>
      <c r="U483" s="3">
        <f>Settings!$B$6</f>
        <v>100</v>
      </c>
    </row>
    <row r="484" spans="1:21" ht="18" customHeight="1" x14ac:dyDescent="0.3">
      <c r="A484" s="124">
        <f>A483+1</f>
        <v>46756</v>
      </c>
      <c r="B484" s="137"/>
      <c r="C484" s="126" t="str" cm="1">
        <f t="array" ref="C484">IF(B484="","",B484-IFERROR(LOOKUP(2,1/($B$6:B483&lt;&gt;""),$B$6:B483),Settings!$B$5))</f>
        <v/>
      </c>
      <c r="D484" s="127" t="str">
        <f>IF(B484="","",AVERAGE(B478:B484))</f>
        <v/>
      </c>
      <c r="E484" s="139"/>
      <c r="F484" s="140"/>
      <c r="G484" s="137"/>
      <c r="H484" s="139"/>
      <c r="I484" s="140"/>
      <c r="J484" s="141"/>
      <c r="K484" s="137"/>
      <c r="L484" s="142"/>
      <c r="M484" s="127" t="str">
        <f>IF(B484="","",B484/((Settings!$B$7)/100)^2)</f>
        <v/>
      </c>
      <c r="N484" s="25">
        <f>Settings!$B$6</f>
        <v>100</v>
      </c>
      <c r="O484" s="3" t="e">
        <f t="shared" si="42"/>
        <v>#N/A</v>
      </c>
      <c r="P484" s="3" t="e">
        <f t="shared" si="43"/>
        <v>#N/A</v>
      </c>
      <c r="Q484" s="3" t="e">
        <f t="shared" si="44"/>
        <v>#N/A</v>
      </c>
      <c r="R484" s="131">
        <f t="shared" si="45"/>
        <v>46756</v>
      </c>
      <c r="S484" s="3" t="e">
        <f t="shared" si="46"/>
        <v>#N/A</v>
      </c>
      <c r="T484" s="3" t="e">
        <f t="shared" si="47"/>
        <v>#N/A</v>
      </c>
      <c r="U484" s="3">
        <f>Settings!$B$6</f>
        <v>100</v>
      </c>
    </row>
    <row r="485" spans="1:21" ht="18" customHeight="1" x14ac:dyDescent="0.3">
      <c r="A485" s="132">
        <f>A484+1</f>
        <v>46757</v>
      </c>
      <c r="B485" s="138"/>
      <c r="C485" s="126" t="str" cm="1">
        <f t="array" ref="C485">IF(B485="","",B485-IFERROR(LOOKUP(2,1/($B$6:B484&lt;&gt;""),$B$6:B484),Settings!$B$5))</f>
        <v/>
      </c>
      <c r="D485" s="127" t="str">
        <f>IF(B485="","",AVERAGE(B479:B485))</f>
        <v/>
      </c>
      <c r="E485" s="143"/>
      <c r="F485" s="144"/>
      <c r="G485" s="138"/>
      <c r="H485" s="143"/>
      <c r="I485" s="144"/>
      <c r="J485" s="145"/>
      <c r="K485" s="138"/>
      <c r="L485" s="146"/>
      <c r="M485" s="127" t="str">
        <f>IF(B485="","",B485/((Settings!$B$7)/100)^2)</f>
        <v/>
      </c>
      <c r="N485" s="25">
        <f>Settings!$B$6</f>
        <v>100</v>
      </c>
      <c r="O485" s="3" t="e">
        <f t="shared" si="42"/>
        <v>#N/A</v>
      </c>
      <c r="P485" s="3" t="e">
        <f t="shared" si="43"/>
        <v>#N/A</v>
      </c>
      <c r="Q485" s="3" t="e">
        <f t="shared" si="44"/>
        <v>#N/A</v>
      </c>
      <c r="R485" s="131">
        <f t="shared" si="45"/>
        <v>46757</v>
      </c>
      <c r="S485" s="3" t="e">
        <f t="shared" si="46"/>
        <v>#N/A</v>
      </c>
      <c r="T485" s="3" t="e">
        <f t="shared" si="47"/>
        <v>#N/A</v>
      </c>
      <c r="U485" s="3">
        <f>Settings!$B$6</f>
        <v>100</v>
      </c>
    </row>
    <row r="486" spans="1:21" ht="18" customHeight="1" x14ac:dyDescent="0.3">
      <c r="A486" s="124">
        <f>A485+1</f>
        <v>46758</v>
      </c>
      <c r="B486" s="137"/>
      <c r="C486" s="126" t="str" cm="1">
        <f t="array" ref="C486">IF(B486="","",B486-IFERROR(LOOKUP(2,1/($B$6:B485&lt;&gt;""),$B$6:B485),Settings!$B$5))</f>
        <v/>
      </c>
      <c r="D486" s="127" t="str">
        <f>IF(B486="","",AVERAGE(B480:B486))</f>
        <v/>
      </c>
      <c r="E486" s="139"/>
      <c r="F486" s="140"/>
      <c r="G486" s="137"/>
      <c r="H486" s="139"/>
      <c r="I486" s="140"/>
      <c r="J486" s="141"/>
      <c r="K486" s="137"/>
      <c r="L486" s="142"/>
      <c r="M486" s="127" t="str">
        <f>IF(B486="","",B486/((Settings!$B$7)/100)^2)</f>
        <v/>
      </c>
      <c r="N486" s="25">
        <f>Settings!$B$6</f>
        <v>100</v>
      </c>
      <c r="O486" s="3" t="e">
        <f t="shared" si="42"/>
        <v>#N/A</v>
      </c>
      <c r="P486" s="3" t="e">
        <f t="shared" si="43"/>
        <v>#N/A</v>
      </c>
      <c r="Q486" s="3" t="e">
        <f t="shared" si="44"/>
        <v>#N/A</v>
      </c>
      <c r="R486" s="131">
        <f t="shared" si="45"/>
        <v>46758</v>
      </c>
      <c r="S486" s="3" t="e">
        <f t="shared" si="46"/>
        <v>#N/A</v>
      </c>
      <c r="T486" s="3" t="e">
        <f t="shared" si="47"/>
        <v>#N/A</v>
      </c>
      <c r="U486" s="3">
        <f>Settings!$B$6</f>
        <v>100</v>
      </c>
    </row>
    <row r="487" spans="1:21" ht="18" customHeight="1" x14ac:dyDescent="0.3">
      <c r="A487" s="132">
        <f>A486+1</f>
        <v>46759</v>
      </c>
      <c r="B487" s="138"/>
      <c r="C487" s="126" t="str" cm="1">
        <f t="array" ref="C487">IF(B487="","",B487-IFERROR(LOOKUP(2,1/($B$6:B486&lt;&gt;""),$B$6:B486),Settings!$B$5))</f>
        <v/>
      </c>
      <c r="D487" s="127" t="str">
        <f>IF(B487="","",AVERAGE(B481:B487))</f>
        <v/>
      </c>
      <c r="E487" s="143"/>
      <c r="F487" s="144"/>
      <c r="G487" s="138"/>
      <c r="H487" s="143"/>
      <c r="I487" s="144"/>
      <c r="J487" s="145"/>
      <c r="K487" s="138"/>
      <c r="L487" s="146"/>
      <c r="M487" s="127" t="str">
        <f>IF(B487="","",B487/((Settings!$B$7)/100)^2)</f>
        <v/>
      </c>
      <c r="N487" s="25">
        <f>Settings!$B$6</f>
        <v>100</v>
      </c>
      <c r="O487" s="3" t="e">
        <f t="shared" si="42"/>
        <v>#N/A</v>
      </c>
      <c r="P487" s="3" t="e">
        <f t="shared" si="43"/>
        <v>#N/A</v>
      </c>
      <c r="Q487" s="3" t="e">
        <f t="shared" si="44"/>
        <v>#N/A</v>
      </c>
      <c r="R487" s="131">
        <f t="shared" si="45"/>
        <v>46759</v>
      </c>
      <c r="S487" s="3" t="e">
        <f t="shared" si="46"/>
        <v>#N/A</v>
      </c>
      <c r="T487" s="3" t="e">
        <f t="shared" si="47"/>
        <v>#N/A</v>
      </c>
      <c r="U487" s="3">
        <f>Settings!$B$6</f>
        <v>100</v>
      </c>
    </row>
    <row r="488" spans="1:21" ht="18" customHeight="1" x14ac:dyDescent="0.3">
      <c r="A488" s="124">
        <f>A487+1</f>
        <v>46760</v>
      </c>
      <c r="B488" s="137"/>
      <c r="C488" s="126" t="str" cm="1">
        <f t="array" ref="C488">IF(B488="","",B488-IFERROR(LOOKUP(2,1/($B$6:B487&lt;&gt;""),$B$6:B487),Settings!$B$5))</f>
        <v/>
      </c>
      <c r="D488" s="127" t="str">
        <f>IF(B488="","",AVERAGE(B482:B488))</f>
        <v/>
      </c>
      <c r="E488" s="139"/>
      <c r="F488" s="140"/>
      <c r="G488" s="137"/>
      <c r="H488" s="139"/>
      <c r="I488" s="140"/>
      <c r="J488" s="141"/>
      <c r="K488" s="137"/>
      <c r="L488" s="142"/>
      <c r="M488" s="127" t="str">
        <f>IF(B488="","",B488/((Settings!$B$7)/100)^2)</f>
        <v/>
      </c>
      <c r="N488" s="25">
        <f>Settings!$B$6</f>
        <v>100</v>
      </c>
      <c r="O488" s="3" t="e">
        <f t="shared" si="42"/>
        <v>#N/A</v>
      </c>
      <c r="P488" s="3" t="e">
        <f t="shared" si="43"/>
        <v>#N/A</v>
      </c>
      <c r="Q488" s="3" t="e">
        <f t="shared" si="44"/>
        <v>#N/A</v>
      </c>
      <c r="R488" s="131">
        <f t="shared" si="45"/>
        <v>46760</v>
      </c>
      <c r="S488" s="3" t="e">
        <f t="shared" si="46"/>
        <v>#N/A</v>
      </c>
      <c r="T488" s="3" t="e">
        <f t="shared" si="47"/>
        <v>#N/A</v>
      </c>
      <c r="U488" s="3">
        <f>Settings!$B$6</f>
        <v>100</v>
      </c>
    </row>
    <row r="489" spans="1:21" ht="18" customHeight="1" x14ac:dyDescent="0.3">
      <c r="A489" s="132">
        <f>A488+1</f>
        <v>46761</v>
      </c>
      <c r="B489" s="138"/>
      <c r="C489" s="126" t="str" cm="1">
        <f t="array" ref="C489">IF(B489="","",B489-IFERROR(LOOKUP(2,1/($B$6:B488&lt;&gt;""),$B$6:B488),Settings!$B$5))</f>
        <v/>
      </c>
      <c r="D489" s="127" t="str">
        <f>IF(B489="","",AVERAGE(B483:B489))</f>
        <v/>
      </c>
      <c r="E489" s="143"/>
      <c r="F489" s="144"/>
      <c r="G489" s="138"/>
      <c r="H489" s="143"/>
      <c r="I489" s="144"/>
      <c r="J489" s="145"/>
      <c r="K489" s="138"/>
      <c r="L489" s="146"/>
      <c r="M489" s="127" t="str">
        <f>IF(B489="","",B489/((Settings!$B$7)/100)^2)</f>
        <v/>
      </c>
      <c r="N489" s="25">
        <f>Settings!$B$6</f>
        <v>100</v>
      </c>
      <c r="O489" s="3" t="e">
        <f t="shared" si="42"/>
        <v>#N/A</v>
      </c>
      <c r="P489" s="3" t="e">
        <f t="shared" si="43"/>
        <v>#N/A</v>
      </c>
      <c r="Q489" s="3" t="e">
        <f t="shared" si="44"/>
        <v>#N/A</v>
      </c>
      <c r="R489" s="131">
        <f t="shared" si="45"/>
        <v>46761</v>
      </c>
      <c r="S489" s="3" t="e">
        <f t="shared" si="46"/>
        <v>#N/A</v>
      </c>
      <c r="T489" s="3" t="e">
        <f t="shared" si="47"/>
        <v>#N/A</v>
      </c>
      <c r="U489" s="3">
        <f>Settings!$B$6</f>
        <v>100</v>
      </c>
    </row>
    <row r="490" spans="1:21" ht="18" customHeight="1" x14ac:dyDescent="0.3">
      <c r="A490" s="124">
        <f>A489+1</f>
        <v>46762</v>
      </c>
      <c r="B490" s="137"/>
      <c r="C490" s="126" t="str" cm="1">
        <f t="array" ref="C490">IF(B490="","",B490-IFERROR(LOOKUP(2,1/($B$6:B489&lt;&gt;""),$B$6:B489),Settings!$B$5))</f>
        <v/>
      </c>
      <c r="D490" s="127" t="str">
        <f>IF(B490="","",AVERAGE(B484:B490))</f>
        <v/>
      </c>
      <c r="E490" s="139"/>
      <c r="F490" s="140"/>
      <c r="G490" s="137"/>
      <c r="H490" s="139"/>
      <c r="I490" s="140"/>
      <c r="J490" s="141"/>
      <c r="K490" s="137"/>
      <c r="L490" s="142"/>
      <c r="M490" s="127" t="str">
        <f>IF(B490="","",B490/((Settings!$B$7)/100)^2)</f>
        <v/>
      </c>
      <c r="N490" s="25">
        <f>Settings!$B$6</f>
        <v>100</v>
      </c>
      <c r="O490" s="3" t="e">
        <f t="shared" si="42"/>
        <v>#N/A</v>
      </c>
      <c r="P490" s="3" t="e">
        <f t="shared" si="43"/>
        <v>#N/A</v>
      </c>
      <c r="Q490" s="3" t="e">
        <f t="shared" si="44"/>
        <v>#N/A</v>
      </c>
      <c r="R490" s="131">
        <f t="shared" si="45"/>
        <v>46762</v>
      </c>
      <c r="S490" s="3" t="e">
        <f t="shared" si="46"/>
        <v>#N/A</v>
      </c>
      <c r="T490" s="3" t="e">
        <f t="shared" si="47"/>
        <v>#N/A</v>
      </c>
      <c r="U490" s="3">
        <f>Settings!$B$6</f>
        <v>100</v>
      </c>
    </row>
    <row r="491" spans="1:21" ht="18" customHeight="1" x14ac:dyDescent="0.3">
      <c r="A491" s="132">
        <f>A490+1</f>
        <v>46763</v>
      </c>
      <c r="B491" s="138"/>
      <c r="C491" s="126" t="str" cm="1">
        <f t="array" ref="C491">IF(B491="","",B491-IFERROR(LOOKUP(2,1/($B$6:B490&lt;&gt;""),$B$6:B490),Settings!$B$5))</f>
        <v/>
      </c>
      <c r="D491" s="127" t="str">
        <f>IF(B491="","",AVERAGE(B485:B491))</f>
        <v/>
      </c>
      <c r="E491" s="143"/>
      <c r="F491" s="144"/>
      <c r="G491" s="138"/>
      <c r="H491" s="143"/>
      <c r="I491" s="144"/>
      <c r="J491" s="145"/>
      <c r="K491" s="138"/>
      <c r="L491" s="146"/>
      <c r="M491" s="127" t="str">
        <f>IF(B491="","",B491/((Settings!$B$7)/100)^2)</f>
        <v/>
      </c>
      <c r="N491" s="25">
        <f>Settings!$B$6</f>
        <v>100</v>
      </c>
      <c r="O491" s="3" t="e">
        <f t="shared" si="42"/>
        <v>#N/A</v>
      </c>
      <c r="P491" s="3" t="e">
        <f t="shared" si="43"/>
        <v>#N/A</v>
      </c>
      <c r="Q491" s="3" t="e">
        <f t="shared" si="44"/>
        <v>#N/A</v>
      </c>
      <c r="R491" s="131">
        <f t="shared" si="45"/>
        <v>46763</v>
      </c>
      <c r="S491" s="3" t="e">
        <f t="shared" si="46"/>
        <v>#N/A</v>
      </c>
      <c r="T491" s="3" t="e">
        <f t="shared" si="47"/>
        <v>#N/A</v>
      </c>
      <c r="U491" s="3">
        <f>Settings!$B$6</f>
        <v>100</v>
      </c>
    </row>
    <row r="492" spans="1:21" ht="18" customHeight="1" x14ac:dyDescent="0.3">
      <c r="A492" s="124">
        <f>A491+1</f>
        <v>46764</v>
      </c>
      <c r="B492" s="137"/>
      <c r="C492" s="126" t="str" cm="1">
        <f t="array" ref="C492">IF(B492="","",B492-IFERROR(LOOKUP(2,1/($B$6:B491&lt;&gt;""),$B$6:B491),Settings!$B$5))</f>
        <v/>
      </c>
      <c r="D492" s="127" t="str">
        <f>IF(B492="","",AVERAGE(B486:B492))</f>
        <v/>
      </c>
      <c r="E492" s="139"/>
      <c r="F492" s="140"/>
      <c r="G492" s="137"/>
      <c r="H492" s="139"/>
      <c r="I492" s="140"/>
      <c r="J492" s="141"/>
      <c r="K492" s="137"/>
      <c r="L492" s="142"/>
      <c r="M492" s="127" t="str">
        <f>IF(B492="","",B492/((Settings!$B$7)/100)^2)</f>
        <v/>
      </c>
      <c r="N492" s="25">
        <f>Settings!$B$6</f>
        <v>100</v>
      </c>
      <c r="O492" s="3" t="e">
        <f t="shared" si="42"/>
        <v>#N/A</v>
      </c>
      <c r="P492" s="3" t="e">
        <f t="shared" si="43"/>
        <v>#N/A</v>
      </c>
      <c r="Q492" s="3" t="e">
        <f t="shared" si="44"/>
        <v>#N/A</v>
      </c>
      <c r="R492" s="131">
        <f t="shared" si="45"/>
        <v>46764</v>
      </c>
      <c r="S492" s="3" t="e">
        <f t="shared" si="46"/>
        <v>#N/A</v>
      </c>
      <c r="T492" s="3" t="e">
        <f t="shared" si="47"/>
        <v>#N/A</v>
      </c>
      <c r="U492" s="3">
        <f>Settings!$B$6</f>
        <v>100</v>
      </c>
    </row>
    <row r="493" spans="1:21" ht="18" customHeight="1" x14ac:dyDescent="0.3">
      <c r="A493" s="132">
        <f>A492+1</f>
        <v>46765</v>
      </c>
      <c r="B493" s="138"/>
      <c r="C493" s="126" t="str" cm="1">
        <f t="array" ref="C493">IF(B493="","",B493-IFERROR(LOOKUP(2,1/($B$6:B492&lt;&gt;""),$B$6:B492),Settings!$B$5))</f>
        <v/>
      </c>
      <c r="D493" s="127" t="str">
        <f>IF(B493="","",AVERAGE(B487:B493))</f>
        <v/>
      </c>
      <c r="E493" s="143"/>
      <c r="F493" s="144"/>
      <c r="G493" s="138"/>
      <c r="H493" s="143"/>
      <c r="I493" s="144"/>
      <c r="J493" s="145"/>
      <c r="K493" s="138"/>
      <c r="L493" s="146"/>
      <c r="M493" s="127" t="str">
        <f>IF(B493="","",B493/((Settings!$B$7)/100)^2)</f>
        <v/>
      </c>
      <c r="N493" s="25">
        <f>Settings!$B$6</f>
        <v>100</v>
      </c>
      <c r="O493" s="3" t="e">
        <f t="shared" si="42"/>
        <v>#N/A</v>
      </c>
      <c r="P493" s="3" t="e">
        <f t="shared" si="43"/>
        <v>#N/A</v>
      </c>
      <c r="Q493" s="3" t="e">
        <f t="shared" si="44"/>
        <v>#N/A</v>
      </c>
      <c r="R493" s="131">
        <f t="shared" si="45"/>
        <v>46765</v>
      </c>
      <c r="S493" s="3" t="e">
        <f t="shared" si="46"/>
        <v>#N/A</v>
      </c>
      <c r="T493" s="3" t="e">
        <f t="shared" si="47"/>
        <v>#N/A</v>
      </c>
      <c r="U493" s="3">
        <f>Settings!$B$6</f>
        <v>100</v>
      </c>
    </row>
    <row r="494" spans="1:21" ht="18" customHeight="1" x14ac:dyDescent="0.3">
      <c r="A494" s="124">
        <f>A493+1</f>
        <v>46766</v>
      </c>
      <c r="B494" s="137"/>
      <c r="C494" s="126" t="str" cm="1">
        <f t="array" ref="C494">IF(B494="","",B494-IFERROR(LOOKUP(2,1/($B$6:B493&lt;&gt;""),$B$6:B493),Settings!$B$5))</f>
        <v/>
      </c>
      <c r="D494" s="127" t="str">
        <f>IF(B494="","",AVERAGE(B488:B494))</f>
        <v/>
      </c>
      <c r="E494" s="139"/>
      <c r="F494" s="140"/>
      <c r="G494" s="137"/>
      <c r="H494" s="139"/>
      <c r="I494" s="140"/>
      <c r="J494" s="141"/>
      <c r="K494" s="137"/>
      <c r="L494" s="142"/>
      <c r="M494" s="127" t="str">
        <f>IF(B494="","",B494/((Settings!$B$7)/100)^2)</f>
        <v/>
      </c>
      <c r="N494" s="25">
        <f>Settings!$B$6</f>
        <v>100</v>
      </c>
      <c r="O494" s="3" t="e">
        <f t="shared" si="42"/>
        <v>#N/A</v>
      </c>
      <c r="P494" s="3" t="e">
        <f t="shared" si="43"/>
        <v>#N/A</v>
      </c>
      <c r="Q494" s="3" t="e">
        <f t="shared" si="44"/>
        <v>#N/A</v>
      </c>
      <c r="R494" s="131">
        <f t="shared" si="45"/>
        <v>46766</v>
      </c>
      <c r="S494" s="3" t="e">
        <f t="shared" si="46"/>
        <v>#N/A</v>
      </c>
      <c r="T494" s="3" t="e">
        <f t="shared" si="47"/>
        <v>#N/A</v>
      </c>
      <c r="U494" s="3">
        <f>Settings!$B$6</f>
        <v>100</v>
      </c>
    </row>
    <row r="495" spans="1:21" ht="18" customHeight="1" x14ac:dyDescent="0.3">
      <c r="A495" s="132">
        <f>A494+1</f>
        <v>46767</v>
      </c>
      <c r="B495" s="138"/>
      <c r="C495" s="126" t="str" cm="1">
        <f t="array" ref="C495">IF(B495="","",B495-IFERROR(LOOKUP(2,1/($B$6:B494&lt;&gt;""),$B$6:B494),Settings!$B$5))</f>
        <v/>
      </c>
      <c r="D495" s="127" t="str">
        <f>IF(B495="","",AVERAGE(B489:B495))</f>
        <v/>
      </c>
      <c r="E495" s="143"/>
      <c r="F495" s="144"/>
      <c r="G495" s="138"/>
      <c r="H495" s="143"/>
      <c r="I495" s="144"/>
      <c r="J495" s="145"/>
      <c r="K495" s="138"/>
      <c r="L495" s="146"/>
      <c r="M495" s="127" t="str">
        <f>IF(B495="","",B495/((Settings!$B$7)/100)^2)</f>
        <v/>
      </c>
      <c r="N495" s="25">
        <f>Settings!$B$6</f>
        <v>100</v>
      </c>
      <c r="O495" s="3" t="e">
        <f t="shared" si="42"/>
        <v>#N/A</v>
      </c>
      <c r="P495" s="3" t="e">
        <f t="shared" si="43"/>
        <v>#N/A</v>
      </c>
      <c r="Q495" s="3" t="e">
        <f t="shared" si="44"/>
        <v>#N/A</v>
      </c>
      <c r="R495" s="131">
        <f t="shared" si="45"/>
        <v>46767</v>
      </c>
      <c r="S495" s="3" t="e">
        <f t="shared" si="46"/>
        <v>#N/A</v>
      </c>
      <c r="T495" s="3" t="e">
        <f t="shared" si="47"/>
        <v>#N/A</v>
      </c>
      <c r="U495" s="3">
        <f>Settings!$B$6</f>
        <v>100</v>
      </c>
    </row>
    <row r="496" spans="1:21" ht="18" customHeight="1" x14ac:dyDescent="0.3">
      <c r="A496" s="124">
        <f>A495+1</f>
        <v>46768</v>
      </c>
      <c r="B496" s="137"/>
      <c r="C496" s="126" t="str" cm="1">
        <f t="array" ref="C496">IF(B496="","",B496-IFERROR(LOOKUP(2,1/($B$6:B495&lt;&gt;""),$B$6:B495),Settings!$B$5))</f>
        <v/>
      </c>
      <c r="D496" s="127" t="str">
        <f>IF(B496="","",AVERAGE(B490:B496))</f>
        <v/>
      </c>
      <c r="E496" s="139"/>
      <c r="F496" s="140"/>
      <c r="G496" s="137"/>
      <c r="H496" s="139"/>
      <c r="I496" s="140"/>
      <c r="J496" s="141"/>
      <c r="K496" s="137"/>
      <c r="L496" s="142"/>
      <c r="M496" s="127" t="str">
        <f>IF(B496="","",B496/((Settings!$B$7)/100)^2)</f>
        <v/>
      </c>
      <c r="N496" s="25">
        <f>Settings!$B$6</f>
        <v>100</v>
      </c>
      <c r="O496" s="3" t="e">
        <f t="shared" si="42"/>
        <v>#N/A</v>
      </c>
      <c r="P496" s="3" t="e">
        <f t="shared" si="43"/>
        <v>#N/A</v>
      </c>
      <c r="Q496" s="3" t="e">
        <f t="shared" si="44"/>
        <v>#N/A</v>
      </c>
      <c r="R496" s="131">
        <f t="shared" si="45"/>
        <v>46768</v>
      </c>
      <c r="S496" s="3" t="e">
        <f t="shared" si="46"/>
        <v>#N/A</v>
      </c>
      <c r="T496" s="3" t="e">
        <f t="shared" si="47"/>
        <v>#N/A</v>
      </c>
      <c r="U496" s="3">
        <f>Settings!$B$6</f>
        <v>100</v>
      </c>
    </row>
    <row r="497" spans="1:21" ht="18" customHeight="1" x14ac:dyDescent="0.3">
      <c r="A497" s="132">
        <f>A496+1</f>
        <v>46769</v>
      </c>
      <c r="B497" s="138"/>
      <c r="C497" s="126" t="str" cm="1">
        <f t="array" ref="C497">IF(B497="","",B497-IFERROR(LOOKUP(2,1/($B$6:B496&lt;&gt;""),$B$6:B496),Settings!$B$5))</f>
        <v/>
      </c>
      <c r="D497" s="127" t="str">
        <f>IF(B497="","",AVERAGE(B491:B497))</f>
        <v/>
      </c>
      <c r="E497" s="143"/>
      <c r="F497" s="144"/>
      <c r="G497" s="138"/>
      <c r="H497" s="143"/>
      <c r="I497" s="144"/>
      <c r="J497" s="145"/>
      <c r="K497" s="138"/>
      <c r="L497" s="146"/>
      <c r="M497" s="127" t="str">
        <f>IF(B497="","",B497/((Settings!$B$7)/100)^2)</f>
        <v/>
      </c>
      <c r="N497" s="25">
        <f>Settings!$B$6</f>
        <v>100</v>
      </c>
      <c r="O497" s="3" t="e">
        <f t="shared" si="42"/>
        <v>#N/A</v>
      </c>
      <c r="P497" s="3" t="e">
        <f t="shared" si="43"/>
        <v>#N/A</v>
      </c>
      <c r="Q497" s="3" t="e">
        <f t="shared" si="44"/>
        <v>#N/A</v>
      </c>
      <c r="R497" s="131">
        <f t="shared" si="45"/>
        <v>46769</v>
      </c>
      <c r="S497" s="3" t="e">
        <f t="shared" si="46"/>
        <v>#N/A</v>
      </c>
      <c r="T497" s="3" t="e">
        <f t="shared" si="47"/>
        <v>#N/A</v>
      </c>
      <c r="U497" s="3">
        <f>Settings!$B$6</f>
        <v>100</v>
      </c>
    </row>
    <row r="498" spans="1:21" ht="18" customHeight="1" x14ac:dyDescent="0.3">
      <c r="A498" s="124">
        <f>A497+1</f>
        <v>46770</v>
      </c>
      <c r="B498" s="137"/>
      <c r="C498" s="126" t="str" cm="1">
        <f t="array" ref="C498">IF(B498="","",B498-IFERROR(LOOKUP(2,1/($B$6:B497&lt;&gt;""),$B$6:B497),Settings!$B$5))</f>
        <v/>
      </c>
      <c r="D498" s="127" t="str">
        <f>IF(B498="","",AVERAGE(B492:B498))</f>
        <v/>
      </c>
      <c r="E498" s="139"/>
      <c r="F498" s="140"/>
      <c r="G498" s="137"/>
      <c r="H498" s="139"/>
      <c r="I498" s="140"/>
      <c r="J498" s="141"/>
      <c r="K498" s="137"/>
      <c r="L498" s="142"/>
      <c r="M498" s="127" t="str">
        <f>IF(B498="","",B498/((Settings!$B$7)/100)^2)</f>
        <v/>
      </c>
      <c r="N498" s="25">
        <f>Settings!$B$6</f>
        <v>100</v>
      </c>
      <c r="O498" s="3" t="e">
        <f t="shared" si="42"/>
        <v>#N/A</v>
      </c>
      <c r="P498" s="3" t="e">
        <f t="shared" si="43"/>
        <v>#N/A</v>
      </c>
      <c r="Q498" s="3" t="e">
        <f t="shared" si="44"/>
        <v>#N/A</v>
      </c>
      <c r="R498" s="131">
        <f t="shared" si="45"/>
        <v>46770</v>
      </c>
      <c r="S498" s="3" t="e">
        <f t="shared" si="46"/>
        <v>#N/A</v>
      </c>
      <c r="T498" s="3" t="e">
        <f t="shared" si="47"/>
        <v>#N/A</v>
      </c>
      <c r="U498" s="3">
        <f>Settings!$B$6</f>
        <v>100</v>
      </c>
    </row>
    <row r="499" spans="1:21" ht="18" customHeight="1" x14ac:dyDescent="0.3">
      <c r="A499" s="132">
        <f>A498+1</f>
        <v>46771</v>
      </c>
      <c r="B499" s="138"/>
      <c r="C499" s="126" t="str" cm="1">
        <f t="array" ref="C499">IF(B499="","",B499-IFERROR(LOOKUP(2,1/($B$6:B498&lt;&gt;""),$B$6:B498),Settings!$B$5))</f>
        <v/>
      </c>
      <c r="D499" s="127" t="str">
        <f>IF(B499="","",AVERAGE(B493:B499))</f>
        <v/>
      </c>
      <c r="E499" s="143"/>
      <c r="F499" s="144"/>
      <c r="G499" s="138"/>
      <c r="H499" s="143"/>
      <c r="I499" s="144"/>
      <c r="J499" s="145"/>
      <c r="K499" s="138"/>
      <c r="L499" s="146"/>
      <c r="M499" s="127" t="str">
        <f>IF(B499="","",B499/((Settings!$B$7)/100)^2)</f>
        <v/>
      </c>
      <c r="N499" s="25">
        <f>Settings!$B$6</f>
        <v>100</v>
      </c>
      <c r="O499" s="3" t="e">
        <f t="shared" si="42"/>
        <v>#N/A</v>
      </c>
      <c r="P499" s="3" t="e">
        <f t="shared" si="43"/>
        <v>#N/A</v>
      </c>
      <c r="Q499" s="3" t="e">
        <f t="shared" si="44"/>
        <v>#N/A</v>
      </c>
      <c r="R499" s="131">
        <f t="shared" si="45"/>
        <v>46771</v>
      </c>
      <c r="S499" s="3" t="e">
        <f t="shared" si="46"/>
        <v>#N/A</v>
      </c>
      <c r="T499" s="3" t="e">
        <f t="shared" si="47"/>
        <v>#N/A</v>
      </c>
      <c r="U499" s="3">
        <f>Settings!$B$6</f>
        <v>100</v>
      </c>
    </row>
    <row r="500" spans="1:21" ht="18" customHeight="1" x14ac:dyDescent="0.3">
      <c r="A500" s="124">
        <f>A499+1</f>
        <v>46772</v>
      </c>
      <c r="B500" s="137"/>
      <c r="C500" s="126" t="str" cm="1">
        <f t="array" ref="C500">IF(B500="","",B500-IFERROR(LOOKUP(2,1/($B$6:B499&lt;&gt;""),$B$6:B499),Settings!$B$5))</f>
        <v/>
      </c>
      <c r="D500" s="127" t="str">
        <f>IF(B500="","",AVERAGE(B494:B500))</f>
        <v/>
      </c>
      <c r="E500" s="139"/>
      <c r="F500" s="140"/>
      <c r="G500" s="137"/>
      <c r="H500" s="139"/>
      <c r="I500" s="140"/>
      <c r="J500" s="141"/>
      <c r="K500" s="137"/>
      <c r="L500" s="142"/>
      <c r="M500" s="127" t="str">
        <f>IF(B500="","",B500/((Settings!$B$7)/100)^2)</f>
        <v/>
      </c>
      <c r="N500" s="25">
        <f>Settings!$B$6</f>
        <v>100</v>
      </c>
      <c r="O500" s="3" t="e">
        <f t="shared" si="42"/>
        <v>#N/A</v>
      </c>
      <c r="P500" s="3" t="e">
        <f t="shared" si="43"/>
        <v>#N/A</v>
      </c>
      <c r="Q500" s="3" t="e">
        <f t="shared" si="44"/>
        <v>#N/A</v>
      </c>
      <c r="R500" s="131">
        <f t="shared" si="45"/>
        <v>46772</v>
      </c>
      <c r="S500" s="3" t="e">
        <f t="shared" si="46"/>
        <v>#N/A</v>
      </c>
      <c r="T500" s="3" t="e">
        <f t="shared" si="47"/>
        <v>#N/A</v>
      </c>
      <c r="U500" s="3">
        <f>Settings!$B$6</f>
        <v>100</v>
      </c>
    </row>
    <row r="501" spans="1:21" ht="18" customHeight="1" x14ac:dyDescent="0.3">
      <c r="A501" s="132">
        <f>A500+1</f>
        <v>46773</v>
      </c>
      <c r="B501" s="138"/>
      <c r="C501" s="126" t="str" cm="1">
        <f t="array" ref="C501">IF(B501="","",B501-IFERROR(LOOKUP(2,1/($B$6:B500&lt;&gt;""),$B$6:B500),Settings!$B$5))</f>
        <v/>
      </c>
      <c r="D501" s="127" t="str">
        <f>IF(B501="","",AVERAGE(B495:B501))</f>
        <v/>
      </c>
      <c r="E501" s="143"/>
      <c r="F501" s="144"/>
      <c r="G501" s="138"/>
      <c r="H501" s="143"/>
      <c r="I501" s="144"/>
      <c r="J501" s="145"/>
      <c r="K501" s="138"/>
      <c r="L501" s="146"/>
      <c r="M501" s="127" t="str">
        <f>IF(B501="","",B501/((Settings!$B$7)/100)^2)</f>
        <v/>
      </c>
      <c r="N501" s="25">
        <f>Settings!$B$6</f>
        <v>100</v>
      </c>
      <c r="O501" s="3" t="e">
        <f t="shared" si="42"/>
        <v>#N/A</v>
      </c>
      <c r="P501" s="3" t="e">
        <f t="shared" si="43"/>
        <v>#N/A</v>
      </c>
      <c r="Q501" s="3" t="e">
        <f t="shared" si="44"/>
        <v>#N/A</v>
      </c>
      <c r="R501" s="131">
        <f t="shared" si="45"/>
        <v>46773</v>
      </c>
      <c r="S501" s="3" t="e">
        <f t="shared" si="46"/>
        <v>#N/A</v>
      </c>
      <c r="T501" s="3" t="e">
        <f t="shared" si="47"/>
        <v>#N/A</v>
      </c>
      <c r="U501" s="3">
        <f>Settings!$B$6</f>
        <v>100</v>
      </c>
    </row>
    <row r="502" spans="1:21" ht="18" customHeight="1" x14ac:dyDescent="0.3">
      <c r="A502" s="124">
        <f>A501+1</f>
        <v>46774</v>
      </c>
      <c r="B502" s="137"/>
      <c r="C502" s="126" t="str" cm="1">
        <f t="array" ref="C502">IF(B502="","",B502-IFERROR(LOOKUP(2,1/($B$6:B501&lt;&gt;""),$B$6:B501),Settings!$B$5))</f>
        <v/>
      </c>
      <c r="D502" s="127" t="str">
        <f>IF(B502="","",AVERAGE(B496:B502))</f>
        <v/>
      </c>
      <c r="E502" s="139"/>
      <c r="F502" s="140"/>
      <c r="G502" s="137"/>
      <c r="H502" s="139"/>
      <c r="I502" s="140"/>
      <c r="J502" s="141"/>
      <c r="K502" s="137"/>
      <c r="L502" s="142"/>
      <c r="M502" s="127" t="str">
        <f>IF(B502="","",B502/((Settings!$B$7)/100)^2)</f>
        <v/>
      </c>
      <c r="N502" s="25">
        <f>Settings!$B$6</f>
        <v>100</v>
      </c>
      <c r="O502" s="3" t="e">
        <f t="shared" si="42"/>
        <v>#N/A</v>
      </c>
      <c r="P502" s="3" t="e">
        <f t="shared" si="43"/>
        <v>#N/A</v>
      </c>
      <c r="Q502" s="3" t="e">
        <f t="shared" si="44"/>
        <v>#N/A</v>
      </c>
      <c r="R502" s="131">
        <f t="shared" si="45"/>
        <v>46774</v>
      </c>
      <c r="S502" s="3" t="e">
        <f t="shared" si="46"/>
        <v>#N/A</v>
      </c>
      <c r="T502" s="3" t="e">
        <f t="shared" si="47"/>
        <v>#N/A</v>
      </c>
      <c r="U502" s="3">
        <f>Settings!$B$6</f>
        <v>100</v>
      </c>
    </row>
    <row r="503" spans="1:21" ht="18" customHeight="1" x14ac:dyDescent="0.3">
      <c r="A503" s="132">
        <f>A502+1</f>
        <v>46775</v>
      </c>
      <c r="B503" s="138"/>
      <c r="C503" s="126" t="str" cm="1">
        <f t="array" ref="C503">IF(B503="","",B503-IFERROR(LOOKUP(2,1/($B$6:B502&lt;&gt;""),$B$6:B502),Settings!$B$5))</f>
        <v/>
      </c>
      <c r="D503" s="127" t="str">
        <f>IF(B503="","",AVERAGE(B497:B503))</f>
        <v/>
      </c>
      <c r="E503" s="143"/>
      <c r="F503" s="144"/>
      <c r="G503" s="138"/>
      <c r="H503" s="143"/>
      <c r="I503" s="144"/>
      <c r="J503" s="145"/>
      <c r="K503" s="138"/>
      <c r="L503" s="146"/>
      <c r="M503" s="127" t="str">
        <f>IF(B503="","",B503/((Settings!$B$7)/100)^2)</f>
        <v/>
      </c>
      <c r="N503" s="25">
        <f>Settings!$B$6</f>
        <v>100</v>
      </c>
      <c r="O503" s="3" t="e">
        <f t="shared" si="42"/>
        <v>#N/A</v>
      </c>
      <c r="P503" s="3" t="e">
        <f t="shared" si="43"/>
        <v>#N/A</v>
      </c>
      <c r="Q503" s="3" t="e">
        <f t="shared" si="44"/>
        <v>#N/A</v>
      </c>
      <c r="R503" s="131">
        <f t="shared" si="45"/>
        <v>46775</v>
      </c>
      <c r="S503" s="3" t="e">
        <f t="shared" si="46"/>
        <v>#N/A</v>
      </c>
      <c r="T503" s="3" t="e">
        <f t="shared" si="47"/>
        <v>#N/A</v>
      </c>
      <c r="U503" s="3">
        <f>Settings!$B$6</f>
        <v>100</v>
      </c>
    </row>
    <row r="504" spans="1:21" ht="18" customHeight="1" x14ac:dyDescent="0.3">
      <c r="A504" s="124">
        <f>A503+1</f>
        <v>46776</v>
      </c>
      <c r="B504" s="137"/>
      <c r="C504" s="126" t="str" cm="1">
        <f t="array" ref="C504">IF(B504="","",B504-IFERROR(LOOKUP(2,1/($B$6:B503&lt;&gt;""),$B$6:B503),Settings!$B$5))</f>
        <v/>
      </c>
      <c r="D504" s="127" t="str">
        <f>IF(B504="","",AVERAGE(B498:B504))</f>
        <v/>
      </c>
      <c r="E504" s="139"/>
      <c r="F504" s="140"/>
      <c r="G504" s="137"/>
      <c r="H504" s="139"/>
      <c r="I504" s="140"/>
      <c r="J504" s="141"/>
      <c r="K504" s="137"/>
      <c r="L504" s="142"/>
      <c r="M504" s="127" t="str">
        <f>IF(B504="","",B504/((Settings!$B$7)/100)^2)</f>
        <v/>
      </c>
      <c r="N504" s="25">
        <f>Settings!$B$6</f>
        <v>100</v>
      </c>
      <c r="O504" s="3" t="e">
        <f t="shared" si="42"/>
        <v>#N/A</v>
      </c>
      <c r="P504" s="3" t="e">
        <f t="shared" si="43"/>
        <v>#N/A</v>
      </c>
      <c r="Q504" s="3" t="e">
        <f t="shared" si="44"/>
        <v>#N/A</v>
      </c>
      <c r="R504" s="131">
        <f t="shared" si="45"/>
        <v>46776</v>
      </c>
      <c r="S504" s="3" t="e">
        <f t="shared" si="46"/>
        <v>#N/A</v>
      </c>
      <c r="T504" s="3" t="e">
        <f t="shared" si="47"/>
        <v>#N/A</v>
      </c>
      <c r="U504" s="3">
        <f>Settings!$B$6</f>
        <v>100</v>
      </c>
    </row>
    <row r="505" spans="1:21" ht="18" customHeight="1" x14ac:dyDescent="0.3">
      <c r="A505" s="132">
        <f>A504+1</f>
        <v>46777</v>
      </c>
      <c r="B505" s="138"/>
      <c r="C505" s="126" t="str" cm="1">
        <f t="array" ref="C505">IF(B505="","",B505-IFERROR(LOOKUP(2,1/($B$6:B504&lt;&gt;""),$B$6:B504),Settings!$B$5))</f>
        <v/>
      </c>
      <c r="D505" s="127" t="str">
        <f>IF(B505="","",AVERAGE(B499:B505))</f>
        <v/>
      </c>
      <c r="E505" s="143"/>
      <c r="F505" s="144"/>
      <c r="G505" s="138"/>
      <c r="H505" s="143"/>
      <c r="I505" s="144"/>
      <c r="J505" s="145"/>
      <c r="K505" s="138"/>
      <c r="L505" s="146"/>
      <c r="M505" s="127" t="str">
        <f>IF(B505="","",B505/((Settings!$B$7)/100)^2)</f>
        <v/>
      </c>
      <c r="N505" s="25">
        <f>Settings!$B$6</f>
        <v>100</v>
      </c>
      <c r="O505" s="3" t="e">
        <f t="shared" si="42"/>
        <v>#N/A</v>
      </c>
      <c r="P505" s="3" t="e">
        <f t="shared" si="43"/>
        <v>#N/A</v>
      </c>
      <c r="Q505" s="3" t="e">
        <f t="shared" si="44"/>
        <v>#N/A</v>
      </c>
      <c r="R505" s="131">
        <f t="shared" si="45"/>
        <v>46777</v>
      </c>
      <c r="S505" s="3" t="e">
        <f t="shared" si="46"/>
        <v>#N/A</v>
      </c>
      <c r="T505" s="3" t="e">
        <f t="shared" si="47"/>
        <v>#N/A</v>
      </c>
      <c r="U505" s="3">
        <f>Settings!$B$6</f>
        <v>100</v>
      </c>
    </row>
    <row r="506" spans="1:21" ht="18" customHeight="1" x14ac:dyDescent="0.3">
      <c r="A506" s="124">
        <f>A505+1</f>
        <v>46778</v>
      </c>
      <c r="B506" s="137"/>
      <c r="C506" s="126" t="str" cm="1">
        <f t="array" ref="C506">IF(B506="","",B506-IFERROR(LOOKUP(2,1/($B$6:B505&lt;&gt;""),$B$6:B505),Settings!$B$5))</f>
        <v/>
      </c>
      <c r="D506" s="127" t="str">
        <f>IF(B506="","",AVERAGE(B500:B506))</f>
        <v/>
      </c>
      <c r="E506" s="139"/>
      <c r="F506" s="140"/>
      <c r="G506" s="137"/>
      <c r="H506" s="139"/>
      <c r="I506" s="140"/>
      <c r="J506" s="141"/>
      <c r="K506" s="137"/>
      <c r="L506" s="142"/>
      <c r="M506" s="127" t="str">
        <f>IF(B506="","",B506/((Settings!$B$7)/100)^2)</f>
        <v/>
      </c>
      <c r="N506" s="25">
        <f>Settings!$B$6</f>
        <v>100</v>
      </c>
      <c r="O506" s="3" t="e">
        <f t="shared" si="42"/>
        <v>#N/A</v>
      </c>
      <c r="P506" s="3" t="e">
        <f t="shared" si="43"/>
        <v>#N/A</v>
      </c>
      <c r="Q506" s="3" t="e">
        <f t="shared" si="44"/>
        <v>#N/A</v>
      </c>
      <c r="R506" s="131">
        <f t="shared" si="45"/>
        <v>46778</v>
      </c>
      <c r="S506" s="3" t="e">
        <f t="shared" si="46"/>
        <v>#N/A</v>
      </c>
      <c r="T506" s="3" t="e">
        <f t="shared" si="47"/>
        <v>#N/A</v>
      </c>
      <c r="U506" s="3">
        <f>Settings!$B$6</f>
        <v>100</v>
      </c>
    </row>
    <row r="507" spans="1:21" ht="18" customHeight="1" x14ac:dyDescent="0.3">
      <c r="A507" s="132">
        <f>A506+1</f>
        <v>46779</v>
      </c>
      <c r="B507" s="138"/>
      <c r="C507" s="126" t="str" cm="1">
        <f t="array" ref="C507">IF(B507="","",B507-IFERROR(LOOKUP(2,1/($B$6:B506&lt;&gt;""),$B$6:B506),Settings!$B$5))</f>
        <v/>
      </c>
      <c r="D507" s="127" t="str">
        <f>IF(B507="","",AVERAGE(B501:B507))</f>
        <v/>
      </c>
      <c r="E507" s="143"/>
      <c r="F507" s="144"/>
      <c r="G507" s="138"/>
      <c r="H507" s="143"/>
      <c r="I507" s="144"/>
      <c r="J507" s="145"/>
      <c r="K507" s="138"/>
      <c r="L507" s="146"/>
      <c r="M507" s="127" t="str">
        <f>IF(B507="","",B507/((Settings!$B$7)/100)^2)</f>
        <v/>
      </c>
      <c r="N507" s="25">
        <f>Settings!$B$6</f>
        <v>100</v>
      </c>
      <c r="O507" s="3" t="e">
        <f t="shared" si="42"/>
        <v>#N/A</v>
      </c>
      <c r="P507" s="3" t="e">
        <f t="shared" si="43"/>
        <v>#N/A</v>
      </c>
      <c r="Q507" s="3" t="e">
        <f t="shared" si="44"/>
        <v>#N/A</v>
      </c>
      <c r="R507" s="131">
        <f t="shared" si="45"/>
        <v>46779</v>
      </c>
      <c r="S507" s="3" t="e">
        <f t="shared" si="46"/>
        <v>#N/A</v>
      </c>
      <c r="T507" s="3" t="e">
        <f t="shared" si="47"/>
        <v>#N/A</v>
      </c>
      <c r="U507" s="3">
        <f>Settings!$B$6</f>
        <v>100</v>
      </c>
    </row>
    <row r="508" spans="1:21" ht="18" customHeight="1" x14ac:dyDescent="0.3">
      <c r="A508" s="124">
        <f>A507+1</f>
        <v>46780</v>
      </c>
      <c r="B508" s="137"/>
      <c r="C508" s="126" t="str" cm="1">
        <f t="array" ref="C508">IF(B508="","",B508-IFERROR(LOOKUP(2,1/($B$6:B507&lt;&gt;""),$B$6:B507),Settings!$B$5))</f>
        <v/>
      </c>
      <c r="D508" s="127" t="str">
        <f>IF(B508="","",AVERAGE(B502:B508))</f>
        <v/>
      </c>
      <c r="E508" s="139"/>
      <c r="F508" s="140"/>
      <c r="G508" s="137"/>
      <c r="H508" s="139"/>
      <c r="I508" s="140"/>
      <c r="J508" s="141"/>
      <c r="K508" s="137"/>
      <c r="L508" s="142"/>
      <c r="M508" s="127" t="str">
        <f>IF(B508="","",B508/((Settings!$B$7)/100)^2)</f>
        <v/>
      </c>
      <c r="N508" s="25">
        <f>Settings!$B$6</f>
        <v>100</v>
      </c>
      <c r="O508" s="3" t="e">
        <f t="shared" si="42"/>
        <v>#N/A</v>
      </c>
      <c r="P508" s="3" t="e">
        <f t="shared" si="43"/>
        <v>#N/A</v>
      </c>
      <c r="Q508" s="3" t="e">
        <f t="shared" si="44"/>
        <v>#N/A</v>
      </c>
      <c r="R508" s="131">
        <f t="shared" si="45"/>
        <v>46780</v>
      </c>
      <c r="S508" s="3" t="e">
        <f t="shared" si="46"/>
        <v>#N/A</v>
      </c>
      <c r="T508" s="3" t="e">
        <f t="shared" si="47"/>
        <v>#N/A</v>
      </c>
      <c r="U508" s="3">
        <f>Settings!$B$6</f>
        <v>100</v>
      </c>
    </row>
    <row r="509" spans="1:21" ht="18" customHeight="1" x14ac:dyDescent="0.3">
      <c r="A509" s="132">
        <f>A508+1</f>
        <v>46781</v>
      </c>
      <c r="B509" s="138"/>
      <c r="C509" s="126" t="str" cm="1">
        <f t="array" ref="C509">IF(B509="","",B509-IFERROR(LOOKUP(2,1/($B$6:B508&lt;&gt;""),$B$6:B508),Settings!$B$5))</f>
        <v/>
      </c>
      <c r="D509" s="127" t="str">
        <f>IF(B509="","",AVERAGE(B503:B509))</f>
        <v/>
      </c>
      <c r="E509" s="143"/>
      <c r="F509" s="144"/>
      <c r="G509" s="138"/>
      <c r="H509" s="143"/>
      <c r="I509" s="144"/>
      <c r="J509" s="145"/>
      <c r="K509" s="138"/>
      <c r="L509" s="146"/>
      <c r="M509" s="127" t="str">
        <f>IF(B509="","",B509/((Settings!$B$7)/100)^2)</f>
        <v/>
      </c>
      <c r="N509" s="25">
        <f>Settings!$B$6</f>
        <v>100</v>
      </c>
      <c r="O509" s="3" t="e">
        <f t="shared" si="42"/>
        <v>#N/A</v>
      </c>
      <c r="P509" s="3" t="e">
        <f t="shared" si="43"/>
        <v>#N/A</v>
      </c>
      <c r="Q509" s="3" t="e">
        <f t="shared" si="44"/>
        <v>#N/A</v>
      </c>
      <c r="R509" s="131">
        <f t="shared" si="45"/>
        <v>46781</v>
      </c>
      <c r="S509" s="3" t="e">
        <f t="shared" si="46"/>
        <v>#N/A</v>
      </c>
      <c r="T509" s="3" t="e">
        <f t="shared" si="47"/>
        <v>#N/A</v>
      </c>
      <c r="U509" s="3">
        <f>Settings!$B$6</f>
        <v>100</v>
      </c>
    </row>
    <row r="510" spans="1:21" ht="18" customHeight="1" x14ac:dyDescent="0.3">
      <c r="A510" s="124">
        <f>A509+1</f>
        <v>46782</v>
      </c>
      <c r="B510" s="137"/>
      <c r="C510" s="126" t="str" cm="1">
        <f t="array" ref="C510">IF(B510="","",B510-IFERROR(LOOKUP(2,1/($B$6:B509&lt;&gt;""),$B$6:B509),Settings!$B$5))</f>
        <v/>
      </c>
      <c r="D510" s="127" t="str">
        <f>IF(B510="","",AVERAGE(B504:B510))</f>
        <v/>
      </c>
      <c r="E510" s="139"/>
      <c r="F510" s="140"/>
      <c r="G510" s="137"/>
      <c r="H510" s="139"/>
      <c r="I510" s="140"/>
      <c r="J510" s="141"/>
      <c r="K510" s="137"/>
      <c r="L510" s="142"/>
      <c r="M510" s="127" t="str">
        <f>IF(B510="","",B510/((Settings!$B$7)/100)^2)</f>
        <v/>
      </c>
      <c r="N510" s="25">
        <f>Settings!$B$6</f>
        <v>100</v>
      </c>
      <c r="O510" s="3" t="e">
        <f t="shared" si="42"/>
        <v>#N/A</v>
      </c>
      <c r="P510" s="3" t="e">
        <f t="shared" si="43"/>
        <v>#N/A</v>
      </c>
      <c r="Q510" s="3" t="e">
        <f t="shared" si="44"/>
        <v>#N/A</v>
      </c>
      <c r="R510" s="131">
        <f t="shared" si="45"/>
        <v>46782</v>
      </c>
      <c r="S510" s="3" t="e">
        <f t="shared" si="46"/>
        <v>#N/A</v>
      </c>
      <c r="T510" s="3" t="e">
        <f t="shared" si="47"/>
        <v>#N/A</v>
      </c>
      <c r="U510" s="3">
        <f>Settings!$B$6</f>
        <v>100</v>
      </c>
    </row>
    <row r="511" spans="1:21" ht="18" customHeight="1" x14ac:dyDescent="0.3">
      <c r="A511" s="132">
        <f>A510+1</f>
        <v>46783</v>
      </c>
      <c r="B511" s="138"/>
      <c r="C511" s="126" t="str" cm="1">
        <f t="array" ref="C511">IF(B511="","",B511-IFERROR(LOOKUP(2,1/($B$6:B510&lt;&gt;""),$B$6:B510),Settings!$B$5))</f>
        <v/>
      </c>
      <c r="D511" s="127" t="str">
        <f>IF(B511="","",AVERAGE(B505:B511))</f>
        <v/>
      </c>
      <c r="E511" s="143"/>
      <c r="F511" s="144"/>
      <c r="G511" s="138"/>
      <c r="H511" s="143"/>
      <c r="I511" s="144"/>
      <c r="J511" s="145"/>
      <c r="K511" s="138"/>
      <c r="L511" s="146"/>
      <c r="M511" s="127" t="str">
        <f>IF(B511="","",B511/((Settings!$B$7)/100)^2)</f>
        <v/>
      </c>
      <c r="N511" s="25">
        <f>Settings!$B$6</f>
        <v>100</v>
      </c>
      <c r="O511" s="3" t="e">
        <f t="shared" si="42"/>
        <v>#N/A</v>
      </c>
      <c r="P511" s="3" t="e">
        <f t="shared" si="43"/>
        <v>#N/A</v>
      </c>
      <c r="Q511" s="3" t="e">
        <f t="shared" si="44"/>
        <v>#N/A</v>
      </c>
      <c r="R511" s="131">
        <f t="shared" si="45"/>
        <v>46783</v>
      </c>
      <c r="S511" s="3" t="e">
        <f t="shared" si="46"/>
        <v>#N/A</v>
      </c>
      <c r="T511" s="3" t="e">
        <f t="shared" si="47"/>
        <v>#N/A</v>
      </c>
      <c r="U511" s="3">
        <f>Settings!$B$6</f>
        <v>100</v>
      </c>
    </row>
    <row r="512" spans="1:21" ht="18" customHeight="1" x14ac:dyDescent="0.3">
      <c r="A512" s="124">
        <f>A511+1</f>
        <v>46784</v>
      </c>
      <c r="B512" s="137"/>
      <c r="C512" s="126" t="str" cm="1">
        <f t="array" ref="C512">IF(B512="","",B512-IFERROR(LOOKUP(2,1/($B$6:B511&lt;&gt;""),$B$6:B511),Settings!$B$5))</f>
        <v/>
      </c>
      <c r="D512" s="127" t="str">
        <f>IF(B512="","",AVERAGE(B506:B512))</f>
        <v/>
      </c>
      <c r="E512" s="139"/>
      <c r="F512" s="140"/>
      <c r="G512" s="137"/>
      <c r="H512" s="139"/>
      <c r="I512" s="140"/>
      <c r="J512" s="141"/>
      <c r="K512" s="137"/>
      <c r="L512" s="142"/>
      <c r="M512" s="127" t="str">
        <f>IF(B512="","",B512/((Settings!$B$7)/100)^2)</f>
        <v/>
      </c>
      <c r="N512" s="25">
        <f>Settings!$B$6</f>
        <v>100</v>
      </c>
      <c r="O512" s="3" t="e">
        <f t="shared" si="42"/>
        <v>#N/A</v>
      </c>
      <c r="P512" s="3" t="e">
        <f t="shared" si="43"/>
        <v>#N/A</v>
      </c>
      <c r="Q512" s="3" t="e">
        <f t="shared" si="44"/>
        <v>#N/A</v>
      </c>
      <c r="R512" s="131">
        <f t="shared" si="45"/>
        <v>46784</v>
      </c>
      <c r="S512" s="3" t="e">
        <f t="shared" si="46"/>
        <v>#N/A</v>
      </c>
      <c r="T512" s="3" t="e">
        <f t="shared" si="47"/>
        <v>#N/A</v>
      </c>
      <c r="U512" s="3">
        <f>Settings!$B$6</f>
        <v>100</v>
      </c>
    </row>
    <row r="513" spans="1:21" ht="18" customHeight="1" x14ac:dyDescent="0.3">
      <c r="A513" s="132">
        <f>A512+1</f>
        <v>46785</v>
      </c>
      <c r="B513" s="138"/>
      <c r="C513" s="126" t="str" cm="1">
        <f t="array" ref="C513">IF(B513="","",B513-IFERROR(LOOKUP(2,1/($B$6:B512&lt;&gt;""),$B$6:B512),Settings!$B$5))</f>
        <v/>
      </c>
      <c r="D513" s="127" t="str">
        <f>IF(B513="","",AVERAGE(B507:B513))</f>
        <v/>
      </c>
      <c r="E513" s="143"/>
      <c r="F513" s="144"/>
      <c r="G513" s="138"/>
      <c r="H513" s="143"/>
      <c r="I513" s="144"/>
      <c r="J513" s="145"/>
      <c r="K513" s="138"/>
      <c r="L513" s="146"/>
      <c r="M513" s="127" t="str">
        <f>IF(B513="","",B513/((Settings!$B$7)/100)^2)</f>
        <v/>
      </c>
      <c r="N513" s="25">
        <f>Settings!$B$6</f>
        <v>100</v>
      </c>
      <c r="O513" s="3" t="e">
        <f t="shared" si="42"/>
        <v>#N/A</v>
      </c>
      <c r="P513" s="3" t="e">
        <f t="shared" si="43"/>
        <v>#N/A</v>
      </c>
      <c r="Q513" s="3" t="e">
        <f t="shared" si="44"/>
        <v>#N/A</v>
      </c>
      <c r="R513" s="131">
        <f t="shared" si="45"/>
        <v>46785</v>
      </c>
      <c r="S513" s="3" t="e">
        <f t="shared" si="46"/>
        <v>#N/A</v>
      </c>
      <c r="T513" s="3" t="e">
        <f t="shared" si="47"/>
        <v>#N/A</v>
      </c>
      <c r="U513" s="3">
        <f>Settings!$B$6</f>
        <v>100</v>
      </c>
    </row>
    <row r="514" spans="1:21" ht="18" customHeight="1" x14ac:dyDescent="0.3">
      <c r="A514" s="124">
        <f>A513+1</f>
        <v>46786</v>
      </c>
      <c r="B514" s="137"/>
      <c r="C514" s="126" t="str" cm="1">
        <f t="array" ref="C514">IF(B514="","",B514-IFERROR(LOOKUP(2,1/($B$6:B513&lt;&gt;""),$B$6:B513),Settings!$B$5))</f>
        <v/>
      </c>
      <c r="D514" s="127" t="str">
        <f>IF(B514="","",AVERAGE(B508:B514))</f>
        <v/>
      </c>
      <c r="E514" s="139"/>
      <c r="F514" s="140"/>
      <c r="G514" s="137"/>
      <c r="H514" s="139"/>
      <c r="I514" s="140"/>
      <c r="J514" s="141"/>
      <c r="K514" s="137"/>
      <c r="L514" s="142"/>
      <c r="M514" s="127" t="str">
        <f>IF(B514="","",B514/((Settings!$B$7)/100)^2)</f>
        <v/>
      </c>
      <c r="N514" s="25">
        <f>Settings!$B$6</f>
        <v>100</v>
      </c>
      <c r="O514" s="3" t="e">
        <f t="shared" si="42"/>
        <v>#N/A</v>
      </c>
      <c r="P514" s="3" t="e">
        <f t="shared" si="43"/>
        <v>#N/A</v>
      </c>
      <c r="Q514" s="3" t="e">
        <f t="shared" si="44"/>
        <v>#N/A</v>
      </c>
      <c r="R514" s="131">
        <f t="shared" si="45"/>
        <v>46786</v>
      </c>
      <c r="S514" s="3" t="e">
        <f t="shared" si="46"/>
        <v>#N/A</v>
      </c>
      <c r="T514" s="3" t="e">
        <f t="shared" si="47"/>
        <v>#N/A</v>
      </c>
      <c r="U514" s="3">
        <f>Settings!$B$6</f>
        <v>100</v>
      </c>
    </row>
    <row r="515" spans="1:21" ht="18" customHeight="1" x14ac:dyDescent="0.3">
      <c r="A515" s="132">
        <f>A514+1</f>
        <v>46787</v>
      </c>
      <c r="B515" s="138"/>
      <c r="C515" s="126" t="str" cm="1">
        <f t="array" ref="C515">IF(B515="","",B515-IFERROR(LOOKUP(2,1/($B$6:B514&lt;&gt;""),$B$6:B514),Settings!$B$5))</f>
        <v/>
      </c>
      <c r="D515" s="127" t="str">
        <f>IF(B515="","",AVERAGE(B509:B515))</f>
        <v/>
      </c>
      <c r="E515" s="143"/>
      <c r="F515" s="144"/>
      <c r="G515" s="138"/>
      <c r="H515" s="143"/>
      <c r="I515" s="144"/>
      <c r="J515" s="145"/>
      <c r="K515" s="138"/>
      <c r="L515" s="146"/>
      <c r="M515" s="127" t="str">
        <f>IF(B515="","",B515/((Settings!$B$7)/100)^2)</f>
        <v/>
      </c>
      <c r="N515" s="25">
        <f>Settings!$B$6</f>
        <v>100</v>
      </c>
      <c r="O515" s="3" t="e">
        <f t="shared" si="42"/>
        <v>#N/A</v>
      </c>
      <c r="P515" s="3" t="e">
        <f t="shared" si="43"/>
        <v>#N/A</v>
      </c>
      <c r="Q515" s="3" t="e">
        <f t="shared" si="44"/>
        <v>#N/A</v>
      </c>
      <c r="R515" s="131">
        <f t="shared" si="45"/>
        <v>46787</v>
      </c>
      <c r="S515" s="3" t="e">
        <f t="shared" si="46"/>
        <v>#N/A</v>
      </c>
      <c r="T515" s="3" t="e">
        <f t="shared" si="47"/>
        <v>#N/A</v>
      </c>
      <c r="U515" s="3">
        <f>Settings!$B$6</f>
        <v>100</v>
      </c>
    </row>
    <row r="516" spans="1:21" ht="18" customHeight="1" x14ac:dyDescent="0.3">
      <c r="A516" s="124">
        <f>A515+1</f>
        <v>46788</v>
      </c>
      <c r="B516" s="137"/>
      <c r="C516" s="126" t="str" cm="1">
        <f t="array" ref="C516">IF(B516="","",B516-IFERROR(LOOKUP(2,1/($B$6:B515&lt;&gt;""),$B$6:B515),Settings!$B$5))</f>
        <v/>
      </c>
      <c r="D516" s="127" t="str">
        <f>IF(B516="","",AVERAGE(B510:B516))</f>
        <v/>
      </c>
      <c r="E516" s="139"/>
      <c r="F516" s="140"/>
      <c r="G516" s="137"/>
      <c r="H516" s="139"/>
      <c r="I516" s="140"/>
      <c r="J516" s="141"/>
      <c r="K516" s="137"/>
      <c r="L516" s="142"/>
      <c r="M516" s="127" t="str">
        <f>IF(B516="","",B516/((Settings!$B$7)/100)^2)</f>
        <v/>
      </c>
      <c r="N516" s="25">
        <f>Settings!$B$6</f>
        <v>100</v>
      </c>
      <c r="O516" s="3" t="e">
        <f t="shared" si="42"/>
        <v>#N/A</v>
      </c>
      <c r="P516" s="3" t="e">
        <f t="shared" si="43"/>
        <v>#N/A</v>
      </c>
      <c r="Q516" s="3" t="e">
        <f t="shared" si="44"/>
        <v>#N/A</v>
      </c>
      <c r="R516" s="131">
        <f t="shared" si="45"/>
        <v>46788</v>
      </c>
      <c r="S516" s="3" t="e">
        <f t="shared" si="46"/>
        <v>#N/A</v>
      </c>
      <c r="T516" s="3" t="e">
        <f t="shared" si="47"/>
        <v>#N/A</v>
      </c>
      <c r="U516" s="3">
        <f>Settings!$B$6</f>
        <v>100</v>
      </c>
    </row>
    <row r="517" spans="1:21" ht="18" customHeight="1" x14ac:dyDescent="0.3">
      <c r="A517" s="132">
        <f>A516+1</f>
        <v>46789</v>
      </c>
      <c r="B517" s="138"/>
      <c r="C517" s="126" t="str" cm="1">
        <f t="array" ref="C517">IF(B517="","",B517-IFERROR(LOOKUP(2,1/($B$6:B516&lt;&gt;""),$B$6:B516),Settings!$B$5))</f>
        <v/>
      </c>
      <c r="D517" s="127" t="str">
        <f>IF(B517="","",AVERAGE(B511:B517))</f>
        <v/>
      </c>
      <c r="E517" s="143"/>
      <c r="F517" s="144"/>
      <c r="G517" s="138"/>
      <c r="H517" s="143"/>
      <c r="I517" s="144"/>
      <c r="J517" s="145"/>
      <c r="K517" s="138"/>
      <c r="L517" s="146"/>
      <c r="M517" s="127" t="str">
        <f>IF(B517="","",B517/((Settings!$B$7)/100)^2)</f>
        <v/>
      </c>
      <c r="N517" s="25">
        <f>Settings!$B$6</f>
        <v>100</v>
      </c>
      <c r="O517" s="3" t="e">
        <f t="shared" si="42"/>
        <v>#N/A</v>
      </c>
      <c r="P517" s="3" t="e">
        <f t="shared" si="43"/>
        <v>#N/A</v>
      </c>
      <c r="Q517" s="3" t="e">
        <f t="shared" si="44"/>
        <v>#N/A</v>
      </c>
      <c r="R517" s="131">
        <f t="shared" si="45"/>
        <v>46789</v>
      </c>
      <c r="S517" s="3" t="e">
        <f t="shared" si="46"/>
        <v>#N/A</v>
      </c>
      <c r="T517" s="3" t="e">
        <f t="shared" si="47"/>
        <v>#N/A</v>
      </c>
      <c r="U517" s="3">
        <f>Settings!$B$6</f>
        <v>100</v>
      </c>
    </row>
    <row r="518" spans="1:21" ht="18" customHeight="1" x14ac:dyDescent="0.3">
      <c r="A518" s="124">
        <f>A517+1</f>
        <v>46790</v>
      </c>
      <c r="B518" s="137"/>
      <c r="C518" s="126" t="str" cm="1">
        <f t="array" ref="C518">IF(B518="","",B518-IFERROR(LOOKUP(2,1/($B$6:B517&lt;&gt;""),$B$6:B517),Settings!$B$5))</f>
        <v/>
      </c>
      <c r="D518" s="127" t="str">
        <f>IF(B518="","",AVERAGE(B512:B518))</f>
        <v/>
      </c>
      <c r="E518" s="139"/>
      <c r="F518" s="140"/>
      <c r="G518" s="137"/>
      <c r="H518" s="139"/>
      <c r="I518" s="140"/>
      <c r="J518" s="141"/>
      <c r="K518" s="137"/>
      <c r="L518" s="142"/>
      <c r="M518" s="127" t="str">
        <f>IF(B518="","",B518/((Settings!$B$7)/100)^2)</f>
        <v/>
      </c>
      <c r="N518" s="25">
        <f>Settings!$B$6</f>
        <v>100</v>
      </c>
      <c r="O518" s="3" t="e">
        <f t="shared" si="42"/>
        <v>#N/A</v>
      </c>
      <c r="P518" s="3" t="e">
        <f t="shared" si="43"/>
        <v>#N/A</v>
      </c>
      <c r="Q518" s="3" t="e">
        <f t="shared" si="44"/>
        <v>#N/A</v>
      </c>
      <c r="R518" s="131">
        <f t="shared" si="45"/>
        <v>46790</v>
      </c>
      <c r="S518" s="3" t="e">
        <f t="shared" si="46"/>
        <v>#N/A</v>
      </c>
      <c r="T518" s="3" t="e">
        <f t="shared" si="47"/>
        <v>#N/A</v>
      </c>
      <c r="U518" s="3">
        <f>Settings!$B$6</f>
        <v>100</v>
      </c>
    </row>
    <row r="519" spans="1:21" ht="18" customHeight="1" x14ac:dyDescent="0.3">
      <c r="A519" s="132">
        <f>A518+1</f>
        <v>46791</v>
      </c>
      <c r="B519" s="138"/>
      <c r="C519" s="126" t="str" cm="1">
        <f t="array" ref="C519">IF(B519="","",B519-IFERROR(LOOKUP(2,1/($B$6:B518&lt;&gt;""),$B$6:B518),Settings!$B$5))</f>
        <v/>
      </c>
      <c r="D519" s="127" t="str">
        <f>IF(B519="","",AVERAGE(B513:B519))</f>
        <v/>
      </c>
      <c r="E519" s="143"/>
      <c r="F519" s="144"/>
      <c r="G519" s="138"/>
      <c r="H519" s="143"/>
      <c r="I519" s="144"/>
      <c r="J519" s="145"/>
      <c r="K519" s="138"/>
      <c r="L519" s="146"/>
      <c r="M519" s="127" t="str">
        <f>IF(B519="","",B519/((Settings!$B$7)/100)^2)</f>
        <v/>
      </c>
      <c r="N519" s="25">
        <f>Settings!$B$6</f>
        <v>100</v>
      </c>
      <c r="O519" s="3" t="e">
        <f t="shared" ref="O519:O582" si="48">IF($B519="",NA(),$B519)</f>
        <v>#N/A</v>
      </c>
      <c r="P519" s="3" t="e">
        <f t="shared" ref="P519:P582" si="49">IF($D519="",NA(),$D519)</f>
        <v>#N/A</v>
      </c>
      <c r="Q519" s="3" t="e">
        <f t="shared" ref="Q519:Q582" si="50">IF($M519="",NA(),$M519)</f>
        <v>#N/A</v>
      </c>
      <c r="R519" s="131">
        <f t="shared" ref="R519:R582" si="51">A519</f>
        <v>46791</v>
      </c>
      <c r="S519" s="3" t="e">
        <f t="shared" ref="S519:S582" si="52">IF($B519="",NA(),$B519)</f>
        <v>#N/A</v>
      </c>
      <c r="T519" s="3" t="e">
        <f t="shared" ref="T519:T582" si="53">IF($D519="",NA(),$D519)</f>
        <v>#N/A</v>
      </c>
      <c r="U519" s="3">
        <f>Settings!$B$6</f>
        <v>100</v>
      </c>
    </row>
    <row r="520" spans="1:21" ht="18" customHeight="1" x14ac:dyDescent="0.3">
      <c r="A520" s="124">
        <f>A519+1</f>
        <v>46792</v>
      </c>
      <c r="B520" s="137"/>
      <c r="C520" s="126" t="str" cm="1">
        <f t="array" ref="C520">IF(B520="","",B520-IFERROR(LOOKUP(2,1/($B$6:B519&lt;&gt;""),$B$6:B519),Settings!$B$5))</f>
        <v/>
      </c>
      <c r="D520" s="127" t="str">
        <f>IF(B520="","",AVERAGE(B514:B520))</f>
        <v/>
      </c>
      <c r="E520" s="139"/>
      <c r="F520" s="140"/>
      <c r="G520" s="137"/>
      <c r="H520" s="139"/>
      <c r="I520" s="140"/>
      <c r="J520" s="141"/>
      <c r="K520" s="137"/>
      <c r="L520" s="142"/>
      <c r="M520" s="127" t="str">
        <f>IF(B520="","",B520/((Settings!$B$7)/100)^2)</f>
        <v/>
      </c>
      <c r="N520" s="25">
        <f>Settings!$B$6</f>
        <v>100</v>
      </c>
      <c r="O520" s="3" t="e">
        <f t="shared" si="48"/>
        <v>#N/A</v>
      </c>
      <c r="P520" s="3" t="e">
        <f t="shared" si="49"/>
        <v>#N/A</v>
      </c>
      <c r="Q520" s="3" t="e">
        <f t="shared" si="50"/>
        <v>#N/A</v>
      </c>
      <c r="R520" s="131">
        <f t="shared" si="51"/>
        <v>46792</v>
      </c>
      <c r="S520" s="3" t="e">
        <f t="shared" si="52"/>
        <v>#N/A</v>
      </c>
      <c r="T520" s="3" t="e">
        <f t="shared" si="53"/>
        <v>#N/A</v>
      </c>
      <c r="U520" s="3">
        <f>Settings!$B$6</f>
        <v>100</v>
      </c>
    </row>
    <row r="521" spans="1:21" ht="18" customHeight="1" x14ac:dyDescent="0.3">
      <c r="A521" s="132">
        <f>A520+1</f>
        <v>46793</v>
      </c>
      <c r="B521" s="138"/>
      <c r="C521" s="126" t="str" cm="1">
        <f t="array" ref="C521">IF(B521="","",B521-IFERROR(LOOKUP(2,1/($B$6:B520&lt;&gt;""),$B$6:B520),Settings!$B$5))</f>
        <v/>
      </c>
      <c r="D521" s="127" t="str">
        <f>IF(B521="","",AVERAGE(B515:B521))</f>
        <v/>
      </c>
      <c r="E521" s="143"/>
      <c r="F521" s="144"/>
      <c r="G521" s="138"/>
      <c r="H521" s="143"/>
      <c r="I521" s="144"/>
      <c r="J521" s="145"/>
      <c r="K521" s="138"/>
      <c r="L521" s="146"/>
      <c r="M521" s="127" t="str">
        <f>IF(B521="","",B521/((Settings!$B$7)/100)^2)</f>
        <v/>
      </c>
      <c r="N521" s="25">
        <f>Settings!$B$6</f>
        <v>100</v>
      </c>
      <c r="O521" s="3" t="e">
        <f t="shared" si="48"/>
        <v>#N/A</v>
      </c>
      <c r="P521" s="3" t="e">
        <f t="shared" si="49"/>
        <v>#N/A</v>
      </c>
      <c r="Q521" s="3" t="e">
        <f t="shared" si="50"/>
        <v>#N/A</v>
      </c>
      <c r="R521" s="131">
        <f t="shared" si="51"/>
        <v>46793</v>
      </c>
      <c r="S521" s="3" t="e">
        <f t="shared" si="52"/>
        <v>#N/A</v>
      </c>
      <c r="T521" s="3" t="e">
        <f t="shared" si="53"/>
        <v>#N/A</v>
      </c>
      <c r="U521" s="3">
        <f>Settings!$B$6</f>
        <v>100</v>
      </c>
    </row>
    <row r="522" spans="1:21" ht="18" customHeight="1" x14ac:dyDescent="0.3">
      <c r="A522" s="124">
        <f>A521+1</f>
        <v>46794</v>
      </c>
      <c r="B522" s="137"/>
      <c r="C522" s="126" t="str" cm="1">
        <f t="array" ref="C522">IF(B522="","",B522-IFERROR(LOOKUP(2,1/($B$6:B521&lt;&gt;""),$B$6:B521),Settings!$B$5))</f>
        <v/>
      </c>
      <c r="D522" s="127" t="str">
        <f>IF(B522="","",AVERAGE(B516:B522))</f>
        <v/>
      </c>
      <c r="E522" s="139"/>
      <c r="F522" s="140"/>
      <c r="G522" s="137"/>
      <c r="H522" s="139"/>
      <c r="I522" s="140"/>
      <c r="J522" s="141"/>
      <c r="K522" s="137"/>
      <c r="L522" s="142"/>
      <c r="M522" s="127" t="str">
        <f>IF(B522="","",B522/((Settings!$B$7)/100)^2)</f>
        <v/>
      </c>
      <c r="N522" s="25">
        <f>Settings!$B$6</f>
        <v>100</v>
      </c>
      <c r="O522" s="3" t="e">
        <f t="shared" si="48"/>
        <v>#N/A</v>
      </c>
      <c r="P522" s="3" t="e">
        <f t="shared" si="49"/>
        <v>#N/A</v>
      </c>
      <c r="Q522" s="3" t="e">
        <f t="shared" si="50"/>
        <v>#N/A</v>
      </c>
      <c r="R522" s="131">
        <f t="shared" si="51"/>
        <v>46794</v>
      </c>
      <c r="S522" s="3" t="e">
        <f t="shared" si="52"/>
        <v>#N/A</v>
      </c>
      <c r="T522" s="3" t="e">
        <f t="shared" si="53"/>
        <v>#N/A</v>
      </c>
      <c r="U522" s="3">
        <f>Settings!$B$6</f>
        <v>100</v>
      </c>
    </row>
    <row r="523" spans="1:21" ht="18" customHeight="1" x14ac:dyDescent="0.3">
      <c r="A523" s="132">
        <f>A522+1</f>
        <v>46795</v>
      </c>
      <c r="B523" s="138"/>
      <c r="C523" s="126" t="str" cm="1">
        <f t="array" ref="C523">IF(B523="","",B523-IFERROR(LOOKUP(2,1/($B$6:B522&lt;&gt;""),$B$6:B522),Settings!$B$5))</f>
        <v/>
      </c>
      <c r="D523" s="127" t="str">
        <f>IF(B523="","",AVERAGE(B517:B523))</f>
        <v/>
      </c>
      <c r="E523" s="143"/>
      <c r="F523" s="144"/>
      <c r="G523" s="138"/>
      <c r="H523" s="143"/>
      <c r="I523" s="144"/>
      <c r="J523" s="145"/>
      <c r="K523" s="138"/>
      <c r="L523" s="146"/>
      <c r="M523" s="127" t="str">
        <f>IF(B523="","",B523/((Settings!$B$7)/100)^2)</f>
        <v/>
      </c>
      <c r="N523" s="25">
        <f>Settings!$B$6</f>
        <v>100</v>
      </c>
      <c r="O523" s="3" t="e">
        <f t="shared" si="48"/>
        <v>#N/A</v>
      </c>
      <c r="P523" s="3" t="e">
        <f t="shared" si="49"/>
        <v>#N/A</v>
      </c>
      <c r="Q523" s="3" t="e">
        <f t="shared" si="50"/>
        <v>#N/A</v>
      </c>
      <c r="R523" s="131">
        <f t="shared" si="51"/>
        <v>46795</v>
      </c>
      <c r="S523" s="3" t="e">
        <f t="shared" si="52"/>
        <v>#N/A</v>
      </c>
      <c r="T523" s="3" t="e">
        <f t="shared" si="53"/>
        <v>#N/A</v>
      </c>
      <c r="U523" s="3">
        <f>Settings!$B$6</f>
        <v>100</v>
      </c>
    </row>
    <row r="524" spans="1:21" ht="18" customHeight="1" x14ac:dyDescent="0.3">
      <c r="A524" s="124">
        <f>A523+1</f>
        <v>46796</v>
      </c>
      <c r="B524" s="137"/>
      <c r="C524" s="126" t="str" cm="1">
        <f t="array" ref="C524">IF(B524="","",B524-IFERROR(LOOKUP(2,1/($B$6:B523&lt;&gt;""),$B$6:B523),Settings!$B$5))</f>
        <v/>
      </c>
      <c r="D524" s="127" t="str">
        <f>IF(B524="","",AVERAGE(B518:B524))</f>
        <v/>
      </c>
      <c r="E524" s="139"/>
      <c r="F524" s="140"/>
      <c r="G524" s="137"/>
      <c r="H524" s="139"/>
      <c r="I524" s="140"/>
      <c r="J524" s="141"/>
      <c r="K524" s="137"/>
      <c r="L524" s="142"/>
      <c r="M524" s="127" t="str">
        <f>IF(B524="","",B524/((Settings!$B$7)/100)^2)</f>
        <v/>
      </c>
      <c r="N524" s="25">
        <f>Settings!$B$6</f>
        <v>100</v>
      </c>
      <c r="O524" s="3" t="e">
        <f t="shared" si="48"/>
        <v>#N/A</v>
      </c>
      <c r="P524" s="3" t="e">
        <f t="shared" si="49"/>
        <v>#N/A</v>
      </c>
      <c r="Q524" s="3" t="e">
        <f t="shared" si="50"/>
        <v>#N/A</v>
      </c>
      <c r="R524" s="131">
        <f t="shared" si="51"/>
        <v>46796</v>
      </c>
      <c r="S524" s="3" t="e">
        <f t="shared" si="52"/>
        <v>#N/A</v>
      </c>
      <c r="T524" s="3" t="e">
        <f t="shared" si="53"/>
        <v>#N/A</v>
      </c>
      <c r="U524" s="3">
        <f>Settings!$B$6</f>
        <v>100</v>
      </c>
    </row>
    <row r="525" spans="1:21" ht="18" customHeight="1" x14ac:dyDescent="0.3">
      <c r="A525" s="132">
        <f>A524+1</f>
        <v>46797</v>
      </c>
      <c r="B525" s="138"/>
      <c r="C525" s="126" t="str" cm="1">
        <f t="array" ref="C525">IF(B525="","",B525-IFERROR(LOOKUP(2,1/($B$6:B524&lt;&gt;""),$B$6:B524),Settings!$B$5))</f>
        <v/>
      </c>
      <c r="D525" s="127" t="str">
        <f>IF(B525="","",AVERAGE(B519:B525))</f>
        <v/>
      </c>
      <c r="E525" s="143"/>
      <c r="F525" s="144"/>
      <c r="G525" s="138"/>
      <c r="H525" s="143"/>
      <c r="I525" s="144"/>
      <c r="J525" s="145"/>
      <c r="K525" s="138"/>
      <c r="L525" s="146"/>
      <c r="M525" s="127" t="str">
        <f>IF(B525="","",B525/((Settings!$B$7)/100)^2)</f>
        <v/>
      </c>
      <c r="N525" s="25">
        <f>Settings!$B$6</f>
        <v>100</v>
      </c>
      <c r="O525" s="3" t="e">
        <f t="shared" si="48"/>
        <v>#N/A</v>
      </c>
      <c r="P525" s="3" t="e">
        <f t="shared" si="49"/>
        <v>#N/A</v>
      </c>
      <c r="Q525" s="3" t="e">
        <f t="shared" si="50"/>
        <v>#N/A</v>
      </c>
      <c r="R525" s="131">
        <f t="shared" si="51"/>
        <v>46797</v>
      </c>
      <c r="S525" s="3" t="e">
        <f t="shared" si="52"/>
        <v>#N/A</v>
      </c>
      <c r="T525" s="3" t="e">
        <f t="shared" si="53"/>
        <v>#N/A</v>
      </c>
      <c r="U525" s="3">
        <f>Settings!$B$6</f>
        <v>100</v>
      </c>
    </row>
    <row r="526" spans="1:21" ht="18" customHeight="1" x14ac:dyDescent="0.3">
      <c r="A526" s="124">
        <f>A525+1</f>
        <v>46798</v>
      </c>
      <c r="B526" s="137"/>
      <c r="C526" s="126" t="str" cm="1">
        <f t="array" ref="C526">IF(B526="","",B526-IFERROR(LOOKUP(2,1/($B$6:B525&lt;&gt;""),$B$6:B525),Settings!$B$5))</f>
        <v/>
      </c>
      <c r="D526" s="127" t="str">
        <f>IF(B526="","",AVERAGE(B520:B526))</f>
        <v/>
      </c>
      <c r="E526" s="139"/>
      <c r="F526" s="140"/>
      <c r="G526" s="137"/>
      <c r="H526" s="139"/>
      <c r="I526" s="140"/>
      <c r="J526" s="141"/>
      <c r="K526" s="137"/>
      <c r="L526" s="142"/>
      <c r="M526" s="127" t="str">
        <f>IF(B526="","",B526/((Settings!$B$7)/100)^2)</f>
        <v/>
      </c>
      <c r="N526" s="25">
        <f>Settings!$B$6</f>
        <v>100</v>
      </c>
      <c r="O526" s="3" t="e">
        <f t="shared" si="48"/>
        <v>#N/A</v>
      </c>
      <c r="P526" s="3" t="e">
        <f t="shared" si="49"/>
        <v>#N/A</v>
      </c>
      <c r="Q526" s="3" t="e">
        <f t="shared" si="50"/>
        <v>#N/A</v>
      </c>
      <c r="R526" s="131">
        <f t="shared" si="51"/>
        <v>46798</v>
      </c>
      <c r="S526" s="3" t="e">
        <f t="shared" si="52"/>
        <v>#N/A</v>
      </c>
      <c r="T526" s="3" t="e">
        <f t="shared" si="53"/>
        <v>#N/A</v>
      </c>
      <c r="U526" s="3">
        <f>Settings!$B$6</f>
        <v>100</v>
      </c>
    </row>
    <row r="527" spans="1:21" ht="18" customHeight="1" x14ac:dyDescent="0.3">
      <c r="A527" s="132">
        <f>A526+1</f>
        <v>46799</v>
      </c>
      <c r="B527" s="138"/>
      <c r="C527" s="126" t="str" cm="1">
        <f t="array" ref="C527">IF(B527="","",B527-IFERROR(LOOKUP(2,1/($B$6:B526&lt;&gt;""),$B$6:B526),Settings!$B$5))</f>
        <v/>
      </c>
      <c r="D527" s="127" t="str">
        <f>IF(B527="","",AVERAGE(B521:B527))</f>
        <v/>
      </c>
      <c r="E527" s="143"/>
      <c r="F527" s="144"/>
      <c r="G527" s="138"/>
      <c r="H527" s="143"/>
      <c r="I527" s="144"/>
      <c r="J527" s="145"/>
      <c r="K527" s="138"/>
      <c r="L527" s="146"/>
      <c r="M527" s="127" t="str">
        <f>IF(B527="","",B527/((Settings!$B$7)/100)^2)</f>
        <v/>
      </c>
      <c r="N527" s="25">
        <f>Settings!$B$6</f>
        <v>100</v>
      </c>
      <c r="O527" s="3" t="e">
        <f t="shared" si="48"/>
        <v>#N/A</v>
      </c>
      <c r="P527" s="3" t="e">
        <f t="shared" si="49"/>
        <v>#N/A</v>
      </c>
      <c r="Q527" s="3" t="e">
        <f t="shared" si="50"/>
        <v>#N/A</v>
      </c>
      <c r="R527" s="131">
        <f t="shared" si="51"/>
        <v>46799</v>
      </c>
      <c r="S527" s="3" t="e">
        <f t="shared" si="52"/>
        <v>#N/A</v>
      </c>
      <c r="T527" s="3" t="e">
        <f t="shared" si="53"/>
        <v>#N/A</v>
      </c>
      <c r="U527" s="3">
        <f>Settings!$B$6</f>
        <v>100</v>
      </c>
    </row>
    <row r="528" spans="1:21" ht="18" customHeight="1" x14ac:dyDescent="0.3">
      <c r="A528" s="124">
        <f>A527+1</f>
        <v>46800</v>
      </c>
      <c r="B528" s="137"/>
      <c r="C528" s="126" t="str" cm="1">
        <f t="array" ref="C528">IF(B528="","",B528-IFERROR(LOOKUP(2,1/($B$6:B527&lt;&gt;""),$B$6:B527),Settings!$B$5))</f>
        <v/>
      </c>
      <c r="D528" s="127" t="str">
        <f>IF(B528="","",AVERAGE(B522:B528))</f>
        <v/>
      </c>
      <c r="E528" s="139"/>
      <c r="F528" s="140"/>
      <c r="G528" s="137"/>
      <c r="H528" s="139"/>
      <c r="I528" s="140"/>
      <c r="J528" s="141"/>
      <c r="K528" s="137"/>
      <c r="L528" s="142"/>
      <c r="M528" s="127" t="str">
        <f>IF(B528="","",B528/((Settings!$B$7)/100)^2)</f>
        <v/>
      </c>
      <c r="N528" s="25">
        <f>Settings!$B$6</f>
        <v>100</v>
      </c>
      <c r="O528" s="3" t="e">
        <f t="shared" si="48"/>
        <v>#N/A</v>
      </c>
      <c r="P528" s="3" t="e">
        <f t="shared" si="49"/>
        <v>#N/A</v>
      </c>
      <c r="Q528" s="3" t="e">
        <f t="shared" si="50"/>
        <v>#N/A</v>
      </c>
      <c r="R528" s="131">
        <f t="shared" si="51"/>
        <v>46800</v>
      </c>
      <c r="S528" s="3" t="e">
        <f t="shared" si="52"/>
        <v>#N/A</v>
      </c>
      <c r="T528" s="3" t="e">
        <f t="shared" si="53"/>
        <v>#N/A</v>
      </c>
      <c r="U528" s="3">
        <f>Settings!$B$6</f>
        <v>100</v>
      </c>
    </row>
    <row r="529" spans="1:21" ht="18" customHeight="1" x14ac:dyDescent="0.3">
      <c r="A529" s="132">
        <f>A528+1</f>
        <v>46801</v>
      </c>
      <c r="B529" s="138"/>
      <c r="C529" s="126" t="str" cm="1">
        <f t="array" ref="C529">IF(B529="","",B529-IFERROR(LOOKUP(2,1/($B$6:B528&lt;&gt;""),$B$6:B528),Settings!$B$5))</f>
        <v/>
      </c>
      <c r="D529" s="127" t="str">
        <f>IF(B529="","",AVERAGE(B523:B529))</f>
        <v/>
      </c>
      <c r="E529" s="143"/>
      <c r="F529" s="144"/>
      <c r="G529" s="138"/>
      <c r="H529" s="143"/>
      <c r="I529" s="144"/>
      <c r="J529" s="145"/>
      <c r="K529" s="138"/>
      <c r="L529" s="146"/>
      <c r="M529" s="127" t="str">
        <f>IF(B529="","",B529/((Settings!$B$7)/100)^2)</f>
        <v/>
      </c>
      <c r="N529" s="25">
        <f>Settings!$B$6</f>
        <v>100</v>
      </c>
      <c r="O529" s="3" t="e">
        <f t="shared" si="48"/>
        <v>#N/A</v>
      </c>
      <c r="P529" s="3" t="e">
        <f t="shared" si="49"/>
        <v>#N/A</v>
      </c>
      <c r="Q529" s="3" t="e">
        <f t="shared" si="50"/>
        <v>#N/A</v>
      </c>
      <c r="R529" s="131">
        <f t="shared" si="51"/>
        <v>46801</v>
      </c>
      <c r="S529" s="3" t="e">
        <f t="shared" si="52"/>
        <v>#N/A</v>
      </c>
      <c r="T529" s="3" t="e">
        <f t="shared" si="53"/>
        <v>#N/A</v>
      </c>
      <c r="U529" s="3">
        <f>Settings!$B$6</f>
        <v>100</v>
      </c>
    </row>
    <row r="530" spans="1:21" ht="18" customHeight="1" x14ac:dyDescent="0.3">
      <c r="A530" s="124">
        <f>A529+1</f>
        <v>46802</v>
      </c>
      <c r="B530" s="137"/>
      <c r="C530" s="126" t="str" cm="1">
        <f t="array" ref="C530">IF(B530="","",B530-IFERROR(LOOKUP(2,1/($B$6:B529&lt;&gt;""),$B$6:B529),Settings!$B$5))</f>
        <v/>
      </c>
      <c r="D530" s="127" t="str">
        <f>IF(B530="","",AVERAGE(B524:B530))</f>
        <v/>
      </c>
      <c r="E530" s="139"/>
      <c r="F530" s="140"/>
      <c r="G530" s="137"/>
      <c r="H530" s="139"/>
      <c r="I530" s="140"/>
      <c r="J530" s="141"/>
      <c r="K530" s="137"/>
      <c r="L530" s="142"/>
      <c r="M530" s="127" t="str">
        <f>IF(B530="","",B530/((Settings!$B$7)/100)^2)</f>
        <v/>
      </c>
      <c r="N530" s="25">
        <f>Settings!$B$6</f>
        <v>100</v>
      </c>
      <c r="O530" s="3" t="e">
        <f t="shared" si="48"/>
        <v>#N/A</v>
      </c>
      <c r="P530" s="3" t="e">
        <f t="shared" si="49"/>
        <v>#N/A</v>
      </c>
      <c r="Q530" s="3" t="e">
        <f t="shared" si="50"/>
        <v>#N/A</v>
      </c>
      <c r="R530" s="131">
        <f t="shared" si="51"/>
        <v>46802</v>
      </c>
      <c r="S530" s="3" t="e">
        <f t="shared" si="52"/>
        <v>#N/A</v>
      </c>
      <c r="T530" s="3" t="e">
        <f t="shared" si="53"/>
        <v>#N/A</v>
      </c>
      <c r="U530" s="3">
        <f>Settings!$B$6</f>
        <v>100</v>
      </c>
    </row>
    <row r="531" spans="1:21" ht="18" customHeight="1" x14ac:dyDescent="0.3">
      <c r="A531" s="132">
        <f>A530+1</f>
        <v>46803</v>
      </c>
      <c r="B531" s="138"/>
      <c r="C531" s="126" t="str" cm="1">
        <f t="array" ref="C531">IF(B531="","",B531-IFERROR(LOOKUP(2,1/($B$6:B530&lt;&gt;""),$B$6:B530),Settings!$B$5))</f>
        <v/>
      </c>
      <c r="D531" s="127" t="str">
        <f>IF(B531="","",AVERAGE(B525:B531))</f>
        <v/>
      </c>
      <c r="E531" s="143"/>
      <c r="F531" s="144"/>
      <c r="G531" s="138"/>
      <c r="H531" s="143"/>
      <c r="I531" s="144"/>
      <c r="J531" s="145"/>
      <c r="K531" s="138"/>
      <c r="L531" s="146"/>
      <c r="M531" s="127" t="str">
        <f>IF(B531="","",B531/((Settings!$B$7)/100)^2)</f>
        <v/>
      </c>
      <c r="N531" s="25">
        <f>Settings!$B$6</f>
        <v>100</v>
      </c>
      <c r="O531" s="3" t="e">
        <f t="shared" si="48"/>
        <v>#N/A</v>
      </c>
      <c r="P531" s="3" t="e">
        <f t="shared" si="49"/>
        <v>#N/A</v>
      </c>
      <c r="Q531" s="3" t="e">
        <f t="shared" si="50"/>
        <v>#N/A</v>
      </c>
      <c r="R531" s="131">
        <f t="shared" si="51"/>
        <v>46803</v>
      </c>
      <c r="S531" s="3" t="e">
        <f t="shared" si="52"/>
        <v>#N/A</v>
      </c>
      <c r="T531" s="3" t="e">
        <f t="shared" si="53"/>
        <v>#N/A</v>
      </c>
      <c r="U531" s="3">
        <f>Settings!$B$6</f>
        <v>100</v>
      </c>
    </row>
    <row r="532" spans="1:21" ht="18" customHeight="1" x14ac:dyDescent="0.3">
      <c r="A532" s="124">
        <f>A531+1</f>
        <v>46804</v>
      </c>
      <c r="B532" s="137"/>
      <c r="C532" s="126" t="str" cm="1">
        <f t="array" ref="C532">IF(B532="","",B532-IFERROR(LOOKUP(2,1/($B$6:B531&lt;&gt;""),$B$6:B531),Settings!$B$5))</f>
        <v/>
      </c>
      <c r="D532" s="127" t="str">
        <f>IF(B532="","",AVERAGE(B526:B532))</f>
        <v/>
      </c>
      <c r="E532" s="139"/>
      <c r="F532" s="140"/>
      <c r="G532" s="137"/>
      <c r="H532" s="139"/>
      <c r="I532" s="140"/>
      <c r="J532" s="141"/>
      <c r="K532" s="137"/>
      <c r="L532" s="142"/>
      <c r="M532" s="127" t="str">
        <f>IF(B532="","",B532/((Settings!$B$7)/100)^2)</f>
        <v/>
      </c>
      <c r="N532" s="25">
        <f>Settings!$B$6</f>
        <v>100</v>
      </c>
      <c r="O532" s="3" t="e">
        <f t="shared" si="48"/>
        <v>#N/A</v>
      </c>
      <c r="P532" s="3" t="e">
        <f t="shared" si="49"/>
        <v>#N/A</v>
      </c>
      <c r="Q532" s="3" t="e">
        <f t="shared" si="50"/>
        <v>#N/A</v>
      </c>
      <c r="R532" s="131">
        <f t="shared" si="51"/>
        <v>46804</v>
      </c>
      <c r="S532" s="3" t="e">
        <f t="shared" si="52"/>
        <v>#N/A</v>
      </c>
      <c r="T532" s="3" t="e">
        <f t="shared" si="53"/>
        <v>#N/A</v>
      </c>
      <c r="U532" s="3">
        <f>Settings!$B$6</f>
        <v>100</v>
      </c>
    </row>
    <row r="533" spans="1:21" ht="18" customHeight="1" x14ac:dyDescent="0.3">
      <c r="A533" s="132">
        <f>A532+1</f>
        <v>46805</v>
      </c>
      <c r="B533" s="138"/>
      <c r="C533" s="126" t="str" cm="1">
        <f t="array" ref="C533">IF(B533="","",B533-IFERROR(LOOKUP(2,1/($B$6:B532&lt;&gt;""),$B$6:B532),Settings!$B$5))</f>
        <v/>
      </c>
      <c r="D533" s="127" t="str">
        <f>IF(B533="","",AVERAGE(B527:B533))</f>
        <v/>
      </c>
      <c r="E533" s="143"/>
      <c r="F533" s="144"/>
      <c r="G533" s="138"/>
      <c r="H533" s="143"/>
      <c r="I533" s="144"/>
      <c r="J533" s="145"/>
      <c r="K533" s="138"/>
      <c r="L533" s="146"/>
      <c r="M533" s="127" t="str">
        <f>IF(B533="","",B533/((Settings!$B$7)/100)^2)</f>
        <v/>
      </c>
      <c r="N533" s="25">
        <f>Settings!$B$6</f>
        <v>100</v>
      </c>
      <c r="O533" s="3" t="e">
        <f t="shared" si="48"/>
        <v>#N/A</v>
      </c>
      <c r="P533" s="3" t="e">
        <f t="shared" si="49"/>
        <v>#N/A</v>
      </c>
      <c r="Q533" s="3" t="e">
        <f t="shared" si="50"/>
        <v>#N/A</v>
      </c>
      <c r="R533" s="131">
        <f t="shared" si="51"/>
        <v>46805</v>
      </c>
      <c r="S533" s="3" t="e">
        <f t="shared" si="52"/>
        <v>#N/A</v>
      </c>
      <c r="T533" s="3" t="e">
        <f t="shared" si="53"/>
        <v>#N/A</v>
      </c>
      <c r="U533" s="3">
        <f>Settings!$B$6</f>
        <v>100</v>
      </c>
    </row>
    <row r="534" spans="1:21" ht="18" customHeight="1" x14ac:dyDescent="0.3">
      <c r="A534" s="124">
        <f>A533+1</f>
        <v>46806</v>
      </c>
      <c r="B534" s="137"/>
      <c r="C534" s="126" t="str" cm="1">
        <f t="array" ref="C534">IF(B534="","",B534-IFERROR(LOOKUP(2,1/($B$6:B533&lt;&gt;""),$B$6:B533),Settings!$B$5))</f>
        <v/>
      </c>
      <c r="D534" s="127" t="str">
        <f>IF(B534="","",AVERAGE(B528:B534))</f>
        <v/>
      </c>
      <c r="E534" s="139"/>
      <c r="F534" s="140"/>
      <c r="G534" s="137"/>
      <c r="H534" s="139"/>
      <c r="I534" s="140"/>
      <c r="J534" s="141"/>
      <c r="K534" s="137"/>
      <c r="L534" s="142"/>
      <c r="M534" s="127" t="str">
        <f>IF(B534="","",B534/((Settings!$B$7)/100)^2)</f>
        <v/>
      </c>
      <c r="N534" s="25">
        <f>Settings!$B$6</f>
        <v>100</v>
      </c>
      <c r="O534" s="3" t="e">
        <f t="shared" si="48"/>
        <v>#N/A</v>
      </c>
      <c r="P534" s="3" t="e">
        <f t="shared" si="49"/>
        <v>#N/A</v>
      </c>
      <c r="Q534" s="3" t="e">
        <f t="shared" si="50"/>
        <v>#N/A</v>
      </c>
      <c r="R534" s="131">
        <f t="shared" si="51"/>
        <v>46806</v>
      </c>
      <c r="S534" s="3" t="e">
        <f t="shared" si="52"/>
        <v>#N/A</v>
      </c>
      <c r="T534" s="3" t="e">
        <f t="shared" si="53"/>
        <v>#N/A</v>
      </c>
      <c r="U534" s="3">
        <f>Settings!$B$6</f>
        <v>100</v>
      </c>
    </row>
    <row r="535" spans="1:21" ht="18" customHeight="1" x14ac:dyDescent="0.3">
      <c r="A535" s="132">
        <f>A534+1</f>
        <v>46807</v>
      </c>
      <c r="B535" s="138"/>
      <c r="C535" s="126" t="str" cm="1">
        <f t="array" ref="C535">IF(B535="","",B535-IFERROR(LOOKUP(2,1/($B$6:B534&lt;&gt;""),$B$6:B534),Settings!$B$5))</f>
        <v/>
      </c>
      <c r="D535" s="127" t="str">
        <f>IF(B535="","",AVERAGE(B529:B535))</f>
        <v/>
      </c>
      <c r="E535" s="143"/>
      <c r="F535" s="144"/>
      <c r="G535" s="138"/>
      <c r="H535" s="143"/>
      <c r="I535" s="144"/>
      <c r="J535" s="145"/>
      <c r="K535" s="138"/>
      <c r="L535" s="146"/>
      <c r="M535" s="127" t="str">
        <f>IF(B535="","",B535/((Settings!$B$7)/100)^2)</f>
        <v/>
      </c>
      <c r="N535" s="25">
        <f>Settings!$B$6</f>
        <v>100</v>
      </c>
      <c r="O535" s="3" t="e">
        <f t="shared" si="48"/>
        <v>#N/A</v>
      </c>
      <c r="P535" s="3" t="e">
        <f t="shared" si="49"/>
        <v>#N/A</v>
      </c>
      <c r="Q535" s="3" t="e">
        <f t="shared" si="50"/>
        <v>#N/A</v>
      </c>
      <c r="R535" s="131">
        <f t="shared" si="51"/>
        <v>46807</v>
      </c>
      <c r="S535" s="3" t="e">
        <f t="shared" si="52"/>
        <v>#N/A</v>
      </c>
      <c r="T535" s="3" t="e">
        <f t="shared" si="53"/>
        <v>#N/A</v>
      </c>
      <c r="U535" s="3">
        <f>Settings!$B$6</f>
        <v>100</v>
      </c>
    </row>
    <row r="536" spans="1:21" ht="18" customHeight="1" x14ac:dyDescent="0.3">
      <c r="A536" s="124">
        <f>A535+1</f>
        <v>46808</v>
      </c>
      <c r="B536" s="137"/>
      <c r="C536" s="126" t="str" cm="1">
        <f t="array" ref="C536">IF(B536="","",B536-IFERROR(LOOKUP(2,1/($B$6:B535&lt;&gt;""),$B$6:B535),Settings!$B$5))</f>
        <v/>
      </c>
      <c r="D536" s="127" t="str">
        <f>IF(B536="","",AVERAGE(B530:B536))</f>
        <v/>
      </c>
      <c r="E536" s="139"/>
      <c r="F536" s="140"/>
      <c r="G536" s="137"/>
      <c r="H536" s="139"/>
      <c r="I536" s="140"/>
      <c r="J536" s="141"/>
      <c r="K536" s="137"/>
      <c r="L536" s="142"/>
      <c r="M536" s="127" t="str">
        <f>IF(B536="","",B536/((Settings!$B$7)/100)^2)</f>
        <v/>
      </c>
      <c r="N536" s="25">
        <f>Settings!$B$6</f>
        <v>100</v>
      </c>
      <c r="O536" s="3" t="e">
        <f t="shared" si="48"/>
        <v>#N/A</v>
      </c>
      <c r="P536" s="3" t="e">
        <f t="shared" si="49"/>
        <v>#N/A</v>
      </c>
      <c r="Q536" s="3" t="e">
        <f t="shared" si="50"/>
        <v>#N/A</v>
      </c>
      <c r="R536" s="131">
        <f t="shared" si="51"/>
        <v>46808</v>
      </c>
      <c r="S536" s="3" t="e">
        <f t="shared" si="52"/>
        <v>#N/A</v>
      </c>
      <c r="T536" s="3" t="e">
        <f t="shared" si="53"/>
        <v>#N/A</v>
      </c>
      <c r="U536" s="3">
        <f>Settings!$B$6</f>
        <v>100</v>
      </c>
    </row>
    <row r="537" spans="1:21" ht="18" customHeight="1" x14ac:dyDescent="0.3">
      <c r="A537" s="132">
        <f>A536+1</f>
        <v>46809</v>
      </c>
      <c r="B537" s="138"/>
      <c r="C537" s="126" t="str" cm="1">
        <f t="array" ref="C537">IF(B537="","",B537-IFERROR(LOOKUP(2,1/($B$6:B536&lt;&gt;""),$B$6:B536),Settings!$B$5))</f>
        <v/>
      </c>
      <c r="D537" s="127" t="str">
        <f>IF(B537="","",AVERAGE(B531:B537))</f>
        <v/>
      </c>
      <c r="E537" s="143"/>
      <c r="F537" s="144"/>
      <c r="G537" s="138"/>
      <c r="H537" s="143"/>
      <c r="I537" s="144"/>
      <c r="J537" s="145"/>
      <c r="K537" s="138"/>
      <c r="L537" s="146"/>
      <c r="M537" s="127" t="str">
        <f>IF(B537="","",B537/((Settings!$B$7)/100)^2)</f>
        <v/>
      </c>
      <c r="N537" s="25">
        <f>Settings!$B$6</f>
        <v>100</v>
      </c>
      <c r="O537" s="3" t="e">
        <f t="shared" si="48"/>
        <v>#N/A</v>
      </c>
      <c r="P537" s="3" t="e">
        <f t="shared" si="49"/>
        <v>#N/A</v>
      </c>
      <c r="Q537" s="3" t="e">
        <f t="shared" si="50"/>
        <v>#N/A</v>
      </c>
      <c r="R537" s="131">
        <f t="shared" si="51"/>
        <v>46809</v>
      </c>
      <c r="S537" s="3" t="e">
        <f t="shared" si="52"/>
        <v>#N/A</v>
      </c>
      <c r="T537" s="3" t="e">
        <f t="shared" si="53"/>
        <v>#N/A</v>
      </c>
      <c r="U537" s="3">
        <f>Settings!$B$6</f>
        <v>100</v>
      </c>
    </row>
    <row r="538" spans="1:21" ht="18" customHeight="1" x14ac:dyDescent="0.3">
      <c r="A538" s="124">
        <f>A537+1</f>
        <v>46810</v>
      </c>
      <c r="B538" s="137"/>
      <c r="C538" s="126" t="str" cm="1">
        <f t="array" ref="C538">IF(B538="","",B538-IFERROR(LOOKUP(2,1/($B$6:B537&lt;&gt;""),$B$6:B537),Settings!$B$5))</f>
        <v/>
      </c>
      <c r="D538" s="127" t="str">
        <f>IF(B538="","",AVERAGE(B532:B538))</f>
        <v/>
      </c>
      <c r="E538" s="139"/>
      <c r="F538" s="140"/>
      <c r="G538" s="137"/>
      <c r="H538" s="139"/>
      <c r="I538" s="140"/>
      <c r="J538" s="141"/>
      <c r="K538" s="137"/>
      <c r="L538" s="142"/>
      <c r="M538" s="127" t="str">
        <f>IF(B538="","",B538/((Settings!$B$7)/100)^2)</f>
        <v/>
      </c>
      <c r="N538" s="25">
        <f>Settings!$B$6</f>
        <v>100</v>
      </c>
      <c r="O538" s="3" t="e">
        <f t="shared" si="48"/>
        <v>#N/A</v>
      </c>
      <c r="P538" s="3" t="e">
        <f t="shared" si="49"/>
        <v>#N/A</v>
      </c>
      <c r="Q538" s="3" t="e">
        <f t="shared" si="50"/>
        <v>#N/A</v>
      </c>
      <c r="R538" s="131">
        <f t="shared" si="51"/>
        <v>46810</v>
      </c>
      <c r="S538" s="3" t="e">
        <f t="shared" si="52"/>
        <v>#N/A</v>
      </c>
      <c r="T538" s="3" t="e">
        <f t="shared" si="53"/>
        <v>#N/A</v>
      </c>
      <c r="U538" s="3">
        <f>Settings!$B$6</f>
        <v>100</v>
      </c>
    </row>
    <row r="539" spans="1:21" ht="18" customHeight="1" x14ac:dyDescent="0.3">
      <c r="A539" s="132">
        <f>A538+1</f>
        <v>46811</v>
      </c>
      <c r="B539" s="138"/>
      <c r="C539" s="126" t="str" cm="1">
        <f t="array" ref="C539">IF(B539="","",B539-IFERROR(LOOKUP(2,1/($B$6:B538&lt;&gt;""),$B$6:B538),Settings!$B$5))</f>
        <v/>
      </c>
      <c r="D539" s="127" t="str">
        <f>IF(B539="","",AVERAGE(B533:B539))</f>
        <v/>
      </c>
      <c r="E539" s="143"/>
      <c r="F539" s="144"/>
      <c r="G539" s="138"/>
      <c r="H539" s="143"/>
      <c r="I539" s="144"/>
      <c r="J539" s="145"/>
      <c r="K539" s="138"/>
      <c r="L539" s="146"/>
      <c r="M539" s="127" t="str">
        <f>IF(B539="","",B539/((Settings!$B$7)/100)^2)</f>
        <v/>
      </c>
      <c r="N539" s="25">
        <f>Settings!$B$6</f>
        <v>100</v>
      </c>
      <c r="O539" s="3" t="e">
        <f t="shared" si="48"/>
        <v>#N/A</v>
      </c>
      <c r="P539" s="3" t="e">
        <f t="shared" si="49"/>
        <v>#N/A</v>
      </c>
      <c r="Q539" s="3" t="e">
        <f t="shared" si="50"/>
        <v>#N/A</v>
      </c>
      <c r="R539" s="131">
        <f t="shared" si="51"/>
        <v>46811</v>
      </c>
      <c r="S539" s="3" t="e">
        <f t="shared" si="52"/>
        <v>#N/A</v>
      </c>
      <c r="T539" s="3" t="e">
        <f t="shared" si="53"/>
        <v>#N/A</v>
      </c>
      <c r="U539" s="3">
        <f>Settings!$B$6</f>
        <v>100</v>
      </c>
    </row>
    <row r="540" spans="1:21" ht="18" customHeight="1" x14ac:dyDescent="0.3">
      <c r="A540" s="124">
        <f>A539+1</f>
        <v>46812</v>
      </c>
      <c r="B540" s="137"/>
      <c r="C540" s="126" t="str" cm="1">
        <f t="array" ref="C540">IF(B540="","",B540-IFERROR(LOOKUP(2,1/($B$6:B539&lt;&gt;""),$B$6:B539),Settings!$B$5))</f>
        <v/>
      </c>
      <c r="D540" s="127" t="str">
        <f>IF(B540="","",AVERAGE(B534:B540))</f>
        <v/>
      </c>
      <c r="E540" s="139"/>
      <c r="F540" s="140"/>
      <c r="G540" s="137"/>
      <c r="H540" s="139"/>
      <c r="I540" s="140"/>
      <c r="J540" s="141"/>
      <c r="K540" s="137"/>
      <c r="L540" s="142"/>
      <c r="M540" s="127" t="str">
        <f>IF(B540="","",B540/((Settings!$B$7)/100)^2)</f>
        <v/>
      </c>
      <c r="N540" s="25">
        <f>Settings!$B$6</f>
        <v>100</v>
      </c>
      <c r="O540" s="3" t="e">
        <f t="shared" si="48"/>
        <v>#N/A</v>
      </c>
      <c r="P540" s="3" t="e">
        <f t="shared" si="49"/>
        <v>#N/A</v>
      </c>
      <c r="Q540" s="3" t="e">
        <f t="shared" si="50"/>
        <v>#N/A</v>
      </c>
      <c r="R540" s="131">
        <f t="shared" si="51"/>
        <v>46812</v>
      </c>
      <c r="S540" s="3" t="e">
        <f t="shared" si="52"/>
        <v>#N/A</v>
      </c>
      <c r="T540" s="3" t="e">
        <f t="shared" si="53"/>
        <v>#N/A</v>
      </c>
      <c r="U540" s="3">
        <f>Settings!$B$6</f>
        <v>100</v>
      </c>
    </row>
    <row r="541" spans="1:21" ht="18" customHeight="1" x14ac:dyDescent="0.3">
      <c r="A541" s="132">
        <f>A540+1</f>
        <v>46813</v>
      </c>
      <c r="B541" s="138"/>
      <c r="C541" s="126" t="str" cm="1">
        <f t="array" ref="C541">IF(B541="","",B541-IFERROR(LOOKUP(2,1/($B$6:B540&lt;&gt;""),$B$6:B540),Settings!$B$5))</f>
        <v/>
      </c>
      <c r="D541" s="127" t="str">
        <f>IF(B541="","",AVERAGE(B535:B541))</f>
        <v/>
      </c>
      <c r="E541" s="143"/>
      <c r="F541" s="144"/>
      <c r="G541" s="138"/>
      <c r="H541" s="143"/>
      <c r="I541" s="144"/>
      <c r="J541" s="145"/>
      <c r="K541" s="138"/>
      <c r="L541" s="146"/>
      <c r="M541" s="127" t="str">
        <f>IF(B541="","",B541/((Settings!$B$7)/100)^2)</f>
        <v/>
      </c>
      <c r="N541" s="25">
        <f>Settings!$B$6</f>
        <v>100</v>
      </c>
      <c r="O541" s="3" t="e">
        <f t="shared" si="48"/>
        <v>#N/A</v>
      </c>
      <c r="P541" s="3" t="e">
        <f t="shared" si="49"/>
        <v>#N/A</v>
      </c>
      <c r="Q541" s="3" t="e">
        <f t="shared" si="50"/>
        <v>#N/A</v>
      </c>
      <c r="R541" s="131">
        <f t="shared" si="51"/>
        <v>46813</v>
      </c>
      <c r="S541" s="3" t="e">
        <f t="shared" si="52"/>
        <v>#N/A</v>
      </c>
      <c r="T541" s="3" t="e">
        <f t="shared" si="53"/>
        <v>#N/A</v>
      </c>
      <c r="U541" s="3">
        <f>Settings!$B$6</f>
        <v>100</v>
      </c>
    </row>
    <row r="542" spans="1:21" ht="18" customHeight="1" x14ac:dyDescent="0.3">
      <c r="A542" s="124">
        <f>A541+1</f>
        <v>46814</v>
      </c>
      <c r="B542" s="137"/>
      <c r="C542" s="126" t="str" cm="1">
        <f t="array" ref="C542">IF(B542="","",B542-IFERROR(LOOKUP(2,1/($B$6:B541&lt;&gt;""),$B$6:B541),Settings!$B$5))</f>
        <v/>
      </c>
      <c r="D542" s="127" t="str">
        <f>IF(B542="","",AVERAGE(B536:B542))</f>
        <v/>
      </c>
      <c r="E542" s="139"/>
      <c r="F542" s="140"/>
      <c r="G542" s="137"/>
      <c r="H542" s="139"/>
      <c r="I542" s="140"/>
      <c r="J542" s="141"/>
      <c r="K542" s="137"/>
      <c r="L542" s="142"/>
      <c r="M542" s="127" t="str">
        <f>IF(B542="","",B542/((Settings!$B$7)/100)^2)</f>
        <v/>
      </c>
      <c r="N542" s="25">
        <f>Settings!$B$6</f>
        <v>100</v>
      </c>
      <c r="O542" s="3" t="e">
        <f t="shared" si="48"/>
        <v>#N/A</v>
      </c>
      <c r="P542" s="3" t="e">
        <f t="shared" si="49"/>
        <v>#N/A</v>
      </c>
      <c r="Q542" s="3" t="e">
        <f t="shared" si="50"/>
        <v>#N/A</v>
      </c>
      <c r="R542" s="131">
        <f t="shared" si="51"/>
        <v>46814</v>
      </c>
      <c r="S542" s="3" t="e">
        <f t="shared" si="52"/>
        <v>#N/A</v>
      </c>
      <c r="T542" s="3" t="e">
        <f t="shared" si="53"/>
        <v>#N/A</v>
      </c>
      <c r="U542" s="3">
        <f>Settings!$B$6</f>
        <v>100</v>
      </c>
    </row>
    <row r="543" spans="1:21" ht="18" customHeight="1" x14ac:dyDescent="0.3">
      <c r="A543" s="132">
        <f>A542+1</f>
        <v>46815</v>
      </c>
      <c r="B543" s="138"/>
      <c r="C543" s="126" t="str" cm="1">
        <f t="array" ref="C543">IF(B543="","",B543-IFERROR(LOOKUP(2,1/($B$6:B542&lt;&gt;""),$B$6:B542),Settings!$B$5))</f>
        <v/>
      </c>
      <c r="D543" s="127" t="str">
        <f>IF(B543="","",AVERAGE(B537:B543))</f>
        <v/>
      </c>
      <c r="E543" s="143"/>
      <c r="F543" s="144"/>
      <c r="G543" s="138"/>
      <c r="H543" s="143"/>
      <c r="I543" s="144"/>
      <c r="J543" s="145"/>
      <c r="K543" s="138"/>
      <c r="L543" s="146"/>
      <c r="M543" s="127" t="str">
        <f>IF(B543="","",B543/((Settings!$B$7)/100)^2)</f>
        <v/>
      </c>
      <c r="N543" s="25">
        <f>Settings!$B$6</f>
        <v>100</v>
      </c>
      <c r="O543" s="3" t="e">
        <f t="shared" si="48"/>
        <v>#N/A</v>
      </c>
      <c r="P543" s="3" t="e">
        <f t="shared" si="49"/>
        <v>#N/A</v>
      </c>
      <c r="Q543" s="3" t="e">
        <f t="shared" si="50"/>
        <v>#N/A</v>
      </c>
      <c r="R543" s="131">
        <f t="shared" si="51"/>
        <v>46815</v>
      </c>
      <c r="S543" s="3" t="e">
        <f t="shared" si="52"/>
        <v>#N/A</v>
      </c>
      <c r="T543" s="3" t="e">
        <f t="shared" si="53"/>
        <v>#N/A</v>
      </c>
      <c r="U543" s="3">
        <f>Settings!$B$6</f>
        <v>100</v>
      </c>
    </row>
    <row r="544" spans="1:21" ht="18" customHeight="1" x14ac:dyDescent="0.3">
      <c r="A544" s="124">
        <f>A543+1</f>
        <v>46816</v>
      </c>
      <c r="B544" s="137"/>
      <c r="C544" s="126" t="str" cm="1">
        <f t="array" ref="C544">IF(B544="","",B544-IFERROR(LOOKUP(2,1/($B$6:B543&lt;&gt;""),$B$6:B543),Settings!$B$5))</f>
        <v/>
      </c>
      <c r="D544" s="127" t="str">
        <f>IF(B544="","",AVERAGE(B538:B544))</f>
        <v/>
      </c>
      <c r="E544" s="139"/>
      <c r="F544" s="140"/>
      <c r="G544" s="137"/>
      <c r="H544" s="139"/>
      <c r="I544" s="140"/>
      <c r="J544" s="141"/>
      <c r="K544" s="137"/>
      <c r="L544" s="142"/>
      <c r="M544" s="127" t="str">
        <f>IF(B544="","",B544/((Settings!$B$7)/100)^2)</f>
        <v/>
      </c>
      <c r="N544" s="25">
        <f>Settings!$B$6</f>
        <v>100</v>
      </c>
      <c r="O544" s="3" t="e">
        <f t="shared" si="48"/>
        <v>#N/A</v>
      </c>
      <c r="P544" s="3" t="e">
        <f t="shared" si="49"/>
        <v>#N/A</v>
      </c>
      <c r="Q544" s="3" t="e">
        <f t="shared" si="50"/>
        <v>#N/A</v>
      </c>
      <c r="R544" s="131">
        <f t="shared" si="51"/>
        <v>46816</v>
      </c>
      <c r="S544" s="3" t="e">
        <f t="shared" si="52"/>
        <v>#N/A</v>
      </c>
      <c r="T544" s="3" t="e">
        <f t="shared" si="53"/>
        <v>#N/A</v>
      </c>
      <c r="U544" s="3">
        <f>Settings!$B$6</f>
        <v>100</v>
      </c>
    </row>
    <row r="545" spans="1:21" ht="18" customHeight="1" x14ac:dyDescent="0.3">
      <c r="A545" s="132">
        <f>A544+1</f>
        <v>46817</v>
      </c>
      <c r="B545" s="138"/>
      <c r="C545" s="126" t="str" cm="1">
        <f t="array" ref="C545">IF(B545="","",B545-IFERROR(LOOKUP(2,1/($B$6:B544&lt;&gt;""),$B$6:B544),Settings!$B$5))</f>
        <v/>
      </c>
      <c r="D545" s="127" t="str">
        <f>IF(B545="","",AVERAGE(B539:B545))</f>
        <v/>
      </c>
      <c r="E545" s="143"/>
      <c r="F545" s="144"/>
      <c r="G545" s="138"/>
      <c r="H545" s="143"/>
      <c r="I545" s="144"/>
      <c r="J545" s="145"/>
      <c r="K545" s="138"/>
      <c r="L545" s="146"/>
      <c r="M545" s="127" t="str">
        <f>IF(B545="","",B545/((Settings!$B$7)/100)^2)</f>
        <v/>
      </c>
      <c r="N545" s="25">
        <f>Settings!$B$6</f>
        <v>100</v>
      </c>
      <c r="O545" s="3" t="e">
        <f t="shared" si="48"/>
        <v>#N/A</v>
      </c>
      <c r="P545" s="3" t="e">
        <f t="shared" si="49"/>
        <v>#N/A</v>
      </c>
      <c r="Q545" s="3" t="e">
        <f t="shared" si="50"/>
        <v>#N/A</v>
      </c>
      <c r="R545" s="131">
        <f t="shared" si="51"/>
        <v>46817</v>
      </c>
      <c r="S545" s="3" t="e">
        <f t="shared" si="52"/>
        <v>#N/A</v>
      </c>
      <c r="T545" s="3" t="e">
        <f t="shared" si="53"/>
        <v>#N/A</v>
      </c>
      <c r="U545" s="3">
        <f>Settings!$B$6</f>
        <v>100</v>
      </c>
    </row>
    <row r="546" spans="1:21" ht="18" customHeight="1" x14ac:dyDescent="0.3">
      <c r="A546" s="124">
        <f>A545+1</f>
        <v>46818</v>
      </c>
      <c r="B546" s="137"/>
      <c r="C546" s="126" t="str" cm="1">
        <f t="array" ref="C546">IF(B546="","",B546-IFERROR(LOOKUP(2,1/($B$6:B545&lt;&gt;""),$B$6:B545),Settings!$B$5))</f>
        <v/>
      </c>
      <c r="D546" s="127" t="str">
        <f>IF(B546="","",AVERAGE(B540:B546))</f>
        <v/>
      </c>
      <c r="E546" s="139"/>
      <c r="F546" s="140"/>
      <c r="G546" s="137"/>
      <c r="H546" s="139"/>
      <c r="I546" s="140"/>
      <c r="J546" s="141"/>
      <c r="K546" s="137"/>
      <c r="L546" s="142"/>
      <c r="M546" s="127" t="str">
        <f>IF(B546="","",B546/((Settings!$B$7)/100)^2)</f>
        <v/>
      </c>
      <c r="N546" s="25">
        <f>Settings!$B$6</f>
        <v>100</v>
      </c>
      <c r="O546" s="3" t="e">
        <f t="shared" si="48"/>
        <v>#N/A</v>
      </c>
      <c r="P546" s="3" t="e">
        <f t="shared" si="49"/>
        <v>#N/A</v>
      </c>
      <c r="Q546" s="3" t="e">
        <f t="shared" si="50"/>
        <v>#N/A</v>
      </c>
      <c r="R546" s="131">
        <f t="shared" si="51"/>
        <v>46818</v>
      </c>
      <c r="S546" s="3" t="e">
        <f t="shared" si="52"/>
        <v>#N/A</v>
      </c>
      <c r="T546" s="3" t="e">
        <f t="shared" si="53"/>
        <v>#N/A</v>
      </c>
      <c r="U546" s="3">
        <f>Settings!$B$6</f>
        <v>100</v>
      </c>
    </row>
    <row r="547" spans="1:21" ht="18" customHeight="1" x14ac:dyDescent="0.3">
      <c r="A547" s="132">
        <f>A546+1</f>
        <v>46819</v>
      </c>
      <c r="B547" s="138"/>
      <c r="C547" s="126" t="str" cm="1">
        <f t="array" ref="C547">IF(B547="","",B547-IFERROR(LOOKUP(2,1/($B$6:B546&lt;&gt;""),$B$6:B546),Settings!$B$5))</f>
        <v/>
      </c>
      <c r="D547" s="127" t="str">
        <f>IF(B547="","",AVERAGE(B541:B547))</f>
        <v/>
      </c>
      <c r="E547" s="143"/>
      <c r="F547" s="144"/>
      <c r="G547" s="138"/>
      <c r="H547" s="143"/>
      <c r="I547" s="144"/>
      <c r="J547" s="145"/>
      <c r="K547" s="138"/>
      <c r="L547" s="146"/>
      <c r="M547" s="127" t="str">
        <f>IF(B547="","",B547/((Settings!$B$7)/100)^2)</f>
        <v/>
      </c>
      <c r="N547" s="25">
        <f>Settings!$B$6</f>
        <v>100</v>
      </c>
      <c r="O547" s="3" t="e">
        <f t="shared" si="48"/>
        <v>#N/A</v>
      </c>
      <c r="P547" s="3" t="e">
        <f t="shared" si="49"/>
        <v>#N/A</v>
      </c>
      <c r="Q547" s="3" t="e">
        <f t="shared" si="50"/>
        <v>#N/A</v>
      </c>
      <c r="R547" s="131">
        <f t="shared" si="51"/>
        <v>46819</v>
      </c>
      <c r="S547" s="3" t="e">
        <f t="shared" si="52"/>
        <v>#N/A</v>
      </c>
      <c r="T547" s="3" t="e">
        <f t="shared" si="53"/>
        <v>#N/A</v>
      </c>
      <c r="U547" s="3">
        <f>Settings!$B$6</f>
        <v>100</v>
      </c>
    </row>
    <row r="548" spans="1:21" ht="18" customHeight="1" x14ac:dyDescent="0.3">
      <c r="A548" s="124">
        <f>A547+1</f>
        <v>46820</v>
      </c>
      <c r="B548" s="137"/>
      <c r="C548" s="126" t="str" cm="1">
        <f t="array" ref="C548">IF(B548="","",B548-IFERROR(LOOKUP(2,1/($B$6:B547&lt;&gt;""),$B$6:B547),Settings!$B$5))</f>
        <v/>
      </c>
      <c r="D548" s="127" t="str">
        <f>IF(B548="","",AVERAGE(B542:B548))</f>
        <v/>
      </c>
      <c r="E548" s="139"/>
      <c r="F548" s="140"/>
      <c r="G548" s="137"/>
      <c r="H548" s="139"/>
      <c r="I548" s="140"/>
      <c r="J548" s="141"/>
      <c r="K548" s="137"/>
      <c r="L548" s="142"/>
      <c r="M548" s="127" t="str">
        <f>IF(B548="","",B548/((Settings!$B$7)/100)^2)</f>
        <v/>
      </c>
      <c r="N548" s="25">
        <f>Settings!$B$6</f>
        <v>100</v>
      </c>
      <c r="O548" s="3" t="e">
        <f t="shared" si="48"/>
        <v>#N/A</v>
      </c>
      <c r="P548" s="3" t="e">
        <f t="shared" si="49"/>
        <v>#N/A</v>
      </c>
      <c r="Q548" s="3" t="e">
        <f t="shared" si="50"/>
        <v>#N/A</v>
      </c>
      <c r="R548" s="131">
        <f t="shared" si="51"/>
        <v>46820</v>
      </c>
      <c r="S548" s="3" t="e">
        <f t="shared" si="52"/>
        <v>#N/A</v>
      </c>
      <c r="T548" s="3" t="e">
        <f t="shared" si="53"/>
        <v>#N/A</v>
      </c>
      <c r="U548" s="3">
        <f>Settings!$B$6</f>
        <v>100</v>
      </c>
    </row>
    <row r="549" spans="1:21" ht="18" customHeight="1" x14ac:dyDescent="0.3">
      <c r="A549" s="132">
        <f>A548+1</f>
        <v>46821</v>
      </c>
      <c r="B549" s="138"/>
      <c r="C549" s="126" t="str" cm="1">
        <f t="array" ref="C549">IF(B549="","",B549-IFERROR(LOOKUP(2,1/($B$6:B548&lt;&gt;""),$B$6:B548),Settings!$B$5))</f>
        <v/>
      </c>
      <c r="D549" s="127" t="str">
        <f>IF(B549="","",AVERAGE(B543:B549))</f>
        <v/>
      </c>
      <c r="E549" s="143"/>
      <c r="F549" s="144"/>
      <c r="G549" s="138"/>
      <c r="H549" s="143"/>
      <c r="I549" s="144"/>
      <c r="J549" s="145"/>
      <c r="K549" s="138"/>
      <c r="L549" s="146"/>
      <c r="M549" s="127" t="str">
        <f>IF(B549="","",B549/((Settings!$B$7)/100)^2)</f>
        <v/>
      </c>
      <c r="N549" s="25">
        <f>Settings!$B$6</f>
        <v>100</v>
      </c>
      <c r="O549" s="3" t="e">
        <f t="shared" si="48"/>
        <v>#N/A</v>
      </c>
      <c r="P549" s="3" t="e">
        <f t="shared" si="49"/>
        <v>#N/A</v>
      </c>
      <c r="Q549" s="3" t="e">
        <f t="shared" si="50"/>
        <v>#N/A</v>
      </c>
      <c r="R549" s="131">
        <f t="shared" si="51"/>
        <v>46821</v>
      </c>
      <c r="S549" s="3" t="e">
        <f t="shared" si="52"/>
        <v>#N/A</v>
      </c>
      <c r="T549" s="3" t="e">
        <f t="shared" si="53"/>
        <v>#N/A</v>
      </c>
      <c r="U549" s="3">
        <f>Settings!$B$6</f>
        <v>100</v>
      </c>
    </row>
    <row r="550" spans="1:21" ht="18" customHeight="1" x14ac:dyDescent="0.3">
      <c r="A550" s="124">
        <f>A549+1</f>
        <v>46822</v>
      </c>
      <c r="B550" s="137"/>
      <c r="C550" s="126" t="str" cm="1">
        <f t="array" ref="C550">IF(B550="","",B550-IFERROR(LOOKUP(2,1/($B$6:B549&lt;&gt;""),$B$6:B549),Settings!$B$5))</f>
        <v/>
      </c>
      <c r="D550" s="127" t="str">
        <f>IF(B550="","",AVERAGE(B544:B550))</f>
        <v/>
      </c>
      <c r="E550" s="139"/>
      <c r="F550" s="140"/>
      <c r="G550" s="137"/>
      <c r="H550" s="139"/>
      <c r="I550" s="140"/>
      <c r="J550" s="141"/>
      <c r="K550" s="137"/>
      <c r="L550" s="142"/>
      <c r="M550" s="127" t="str">
        <f>IF(B550="","",B550/((Settings!$B$7)/100)^2)</f>
        <v/>
      </c>
      <c r="N550" s="25">
        <f>Settings!$B$6</f>
        <v>100</v>
      </c>
      <c r="O550" s="3" t="e">
        <f t="shared" si="48"/>
        <v>#N/A</v>
      </c>
      <c r="P550" s="3" t="e">
        <f t="shared" si="49"/>
        <v>#N/A</v>
      </c>
      <c r="Q550" s="3" t="e">
        <f t="shared" si="50"/>
        <v>#N/A</v>
      </c>
      <c r="R550" s="131">
        <f t="shared" si="51"/>
        <v>46822</v>
      </c>
      <c r="S550" s="3" t="e">
        <f t="shared" si="52"/>
        <v>#N/A</v>
      </c>
      <c r="T550" s="3" t="e">
        <f t="shared" si="53"/>
        <v>#N/A</v>
      </c>
      <c r="U550" s="3">
        <f>Settings!$B$6</f>
        <v>100</v>
      </c>
    </row>
    <row r="551" spans="1:21" ht="18" customHeight="1" x14ac:dyDescent="0.3">
      <c r="A551" s="132">
        <f>A550+1</f>
        <v>46823</v>
      </c>
      <c r="B551" s="138"/>
      <c r="C551" s="126" t="str" cm="1">
        <f t="array" ref="C551">IF(B551="","",B551-IFERROR(LOOKUP(2,1/($B$6:B550&lt;&gt;""),$B$6:B550),Settings!$B$5))</f>
        <v/>
      </c>
      <c r="D551" s="127" t="str">
        <f>IF(B551="","",AVERAGE(B545:B551))</f>
        <v/>
      </c>
      <c r="E551" s="143"/>
      <c r="F551" s="144"/>
      <c r="G551" s="138"/>
      <c r="H551" s="143"/>
      <c r="I551" s="144"/>
      <c r="J551" s="145"/>
      <c r="K551" s="138"/>
      <c r="L551" s="146"/>
      <c r="M551" s="127" t="str">
        <f>IF(B551="","",B551/((Settings!$B$7)/100)^2)</f>
        <v/>
      </c>
      <c r="N551" s="25">
        <f>Settings!$B$6</f>
        <v>100</v>
      </c>
      <c r="O551" s="3" t="e">
        <f t="shared" si="48"/>
        <v>#N/A</v>
      </c>
      <c r="P551" s="3" t="e">
        <f t="shared" si="49"/>
        <v>#N/A</v>
      </c>
      <c r="Q551" s="3" t="e">
        <f t="shared" si="50"/>
        <v>#N/A</v>
      </c>
      <c r="R551" s="131">
        <f t="shared" si="51"/>
        <v>46823</v>
      </c>
      <c r="S551" s="3" t="e">
        <f t="shared" si="52"/>
        <v>#N/A</v>
      </c>
      <c r="T551" s="3" t="e">
        <f t="shared" si="53"/>
        <v>#N/A</v>
      </c>
      <c r="U551" s="3">
        <f>Settings!$B$6</f>
        <v>100</v>
      </c>
    </row>
    <row r="552" spans="1:21" ht="18" customHeight="1" x14ac:dyDescent="0.3">
      <c r="A552" s="124">
        <f>A551+1</f>
        <v>46824</v>
      </c>
      <c r="B552" s="137"/>
      <c r="C552" s="126" t="str" cm="1">
        <f t="array" ref="C552">IF(B552="","",B552-IFERROR(LOOKUP(2,1/($B$6:B551&lt;&gt;""),$B$6:B551),Settings!$B$5))</f>
        <v/>
      </c>
      <c r="D552" s="127" t="str">
        <f>IF(B552="","",AVERAGE(B546:B552))</f>
        <v/>
      </c>
      <c r="E552" s="139"/>
      <c r="F552" s="140"/>
      <c r="G552" s="137"/>
      <c r="H552" s="139"/>
      <c r="I552" s="140"/>
      <c r="J552" s="141"/>
      <c r="K552" s="137"/>
      <c r="L552" s="142"/>
      <c r="M552" s="127" t="str">
        <f>IF(B552="","",B552/((Settings!$B$7)/100)^2)</f>
        <v/>
      </c>
      <c r="N552" s="25">
        <f>Settings!$B$6</f>
        <v>100</v>
      </c>
      <c r="O552" s="3" t="e">
        <f t="shared" si="48"/>
        <v>#N/A</v>
      </c>
      <c r="P552" s="3" t="e">
        <f t="shared" si="49"/>
        <v>#N/A</v>
      </c>
      <c r="Q552" s="3" t="e">
        <f t="shared" si="50"/>
        <v>#N/A</v>
      </c>
      <c r="R552" s="131">
        <f t="shared" si="51"/>
        <v>46824</v>
      </c>
      <c r="S552" s="3" t="e">
        <f t="shared" si="52"/>
        <v>#N/A</v>
      </c>
      <c r="T552" s="3" t="e">
        <f t="shared" si="53"/>
        <v>#N/A</v>
      </c>
      <c r="U552" s="3">
        <f>Settings!$B$6</f>
        <v>100</v>
      </c>
    </row>
    <row r="553" spans="1:21" ht="18" customHeight="1" x14ac:dyDescent="0.3">
      <c r="A553" s="132">
        <f>A552+1</f>
        <v>46825</v>
      </c>
      <c r="B553" s="138"/>
      <c r="C553" s="126" t="str" cm="1">
        <f t="array" ref="C553">IF(B553="","",B553-IFERROR(LOOKUP(2,1/($B$6:B552&lt;&gt;""),$B$6:B552),Settings!$B$5))</f>
        <v/>
      </c>
      <c r="D553" s="127" t="str">
        <f>IF(B553="","",AVERAGE(B547:B553))</f>
        <v/>
      </c>
      <c r="E553" s="143"/>
      <c r="F553" s="144"/>
      <c r="G553" s="138"/>
      <c r="H553" s="143"/>
      <c r="I553" s="144"/>
      <c r="J553" s="145"/>
      <c r="K553" s="138"/>
      <c r="L553" s="146"/>
      <c r="M553" s="127" t="str">
        <f>IF(B553="","",B553/((Settings!$B$7)/100)^2)</f>
        <v/>
      </c>
      <c r="N553" s="25">
        <f>Settings!$B$6</f>
        <v>100</v>
      </c>
      <c r="O553" s="3" t="e">
        <f t="shared" si="48"/>
        <v>#N/A</v>
      </c>
      <c r="P553" s="3" t="e">
        <f t="shared" si="49"/>
        <v>#N/A</v>
      </c>
      <c r="Q553" s="3" t="e">
        <f t="shared" si="50"/>
        <v>#N/A</v>
      </c>
      <c r="R553" s="131">
        <f t="shared" si="51"/>
        <v>46825</v>
      </c>
      <c r="S553" s="3" t="e">
        <f t="shared" si="52"/>
        <v>#N/A</v>
      </c>
      <c r="T553" s="3" t="e">
        <f t="shared" si="53"/>
        <v>#N/A</v>
      </c>
      <c r="U553" s="3">
        <f>Settings!$B$6</f>
        <v>100</v>
      </c>
    </row>
    <row r="554" spans="1:21" ht="18" customHeight="1" x14ac:dyDescent="0.3">
      <c r="A554" s="124">
        <f>A553+1</f>
        <v>46826</v>
      </c>
      <c r="B554" s="137"/>
      <c r="C554" s="126" t="str" cm="1">
        <f t="array" ref="C554">IF(B554="","",B554-IFERROR(LOOKUP(2,1/($B$6:B553&lt;&gt;""),$B$6:B553),Settings!$B$5))</f>
        <v/>
      </c>
      <c r="D554" s="127" t="str">
        <f>IF(B554="","",AVERAGE(B548:B554))</f>
        <v/>
      </c>
      <c r="E554" s="139"/>
      <c r="F554" s="140"/>
      <c r="G554" s="137"/>
      <c r="H554" s="139"/>
      <c r="I554" s="140"/>
      <c r="J554" s="141"/>
      <c r="K554" s="137"/>
      <c r="L554" s="142"/>
      <c r="M554" s="127" t="str">
        <f>IF(B554="","",B554/((Settings!$B$7)/100)^2)</f>
        <v/>
      </c>
      <c r="N554" s="25">
        <f>Settings!$B$6</f>
        <v>100</v>
      </c>
      <c r="O554" s="3" t="e">
        <f t="shared" si="48"/>
        <v>#N/A</v>
      </c>
      <c r="P554" s="3" t="e">
        <f t="shared" si="49"/>
        <v>#N/A</v>
      </c>
      <c r="Q554" s="3" t="e">
        <f t="shared" si="50"/>
        <v>#N/A</v>
      </c>
      <c r="R554" s="131">
        <f t="shared" si="51"/>
        <v>46826</v>
      </c>
      <c r="S554" s="3" t="e">
        <f t="shared" si="52"/>
        <v>#N/A</v>
      </c>
      <c r="T554" s="3" t="e">
        <f t="shared" si="53"/>
        <v>#N/A</v>
      </c>
      <c r="U554" s="3">
        <f>Settings!$B$6</f>
        <v>100</v>
      </c>
    </row>
    <row r="555" spans="1:21" ht="18" customHeight="1" x14ac:dyDescent="0.3">
      <c r="A555" s="132">
        <f>A554+1</f>
        <v>46827</v>
      </c>
      <c r="B555" s="138"/>
      <c r="C555" s="126" t="str" cm="1">
        <f t="array" ref="C555">IF(B555="","",B555-IFERROR(LOOKUP(2,1/($B$6:B554&lt;&gt;""),$B$6:B554),Settings!$B$5))</f>
        <v/>
      </c>
      <c r="D555" s="127" t="str">
        <f>IF(B555="","",AVERAGE(B549:B555))</f>
        <v/>
      </c>
      <c r="E555" s="143"/>
      <c r="F555" s="144"/>
      <c r="G555" s="138"/>
      <c r="H555" s="143"/>
      <c r="I555" s="144"/>
      <c r="J555" s="145"/>
      <c r="K555" s="138"/>
      <c r="L555" s="146"/>
      <c r="M555" s="127" t="str">
        <f>IF(B555="","",B555/((Settings!$B$7)/100)^2)</f>
        <v/>
      </c>
      <c r="N555" s="25">
        <f>Settings!$B$6</f>
        <v>100</v>
      </c>
      <c r="O555" s="3" t="e">
        <f t="shared" si="48"/>
        <v>#N/A</v>
      </c>
      <c r="P555" s="3" t="e">
        <f t="shared" si="49"/>
        <v>#N/A</v>
      </c>
      <c r="Q555" s="3" t="e">
        <f t="shared" si="50"/>
        <v>#N/A</v>
      </c>
      <c r="R555" s="131">
        <f t="shared" si="51"/>
        <v>46827</v>
      </c>
      <c r="S555" s="3" t="e">
        <f t="shared" si="52"/>
        <v>#N/A</v>
      </c>
      <c r="T555" s="3" t="e">
        <f t="shared" si="53"/>
        <v>#N/A</v>
      </c>
      <c r="U555" s="3">
        <f>Settings!$B$6</f>
        <v>100</v>
      </c>
    </row>
    <row r="556" spans="1:21" ht="18" customHeight="1" x14ac:dyDescent="0.3">
      <c r="A556" s="124">
        <f>A555+1</f>
        <v>46828</v>
      </c>
      <c r="B556" s="137"/>
      <c r="C556" s="126" t="str" cm="1">
        <f t="array" ref="C556">IF(B556="","",B556-IFERROR(LOOKUP(2,1/($B$6:B555&lt;&gt;""),$B$6:B555),Settings!$B$5))</f>
        <v/>
      </c>
      <c r="D556" s="127" t="str">
        <f>IF(B556="","",AVERAGE(B550:B556))</f>
        <v/>
      </c>
      <c r="E556" s="139"/>
      <c r="F556" s="140"/>
      <c r="G556" s="137"/>
      <c r="H556" s="139"/>
      <c r="I556" s="140"/>
      <c r="J556" s="141"/>
      <c r="K556" s="137"/>
      <c r="L556" s="142"/>
      <c r="M556" s="127" t="str">
        <f>IF(B556="","",B556/((Settings!$B$7)/100)^2)</f>
        <v/>
      </c>
      <c r="N556" s="25">
        <f>Settings!$B$6</f>
        <v>100</v>
      </c>
      <c r="O556" s="3" t="e">
        <f t="shared" si="48"/>
        <v>#N/A</v>
      </c>
      <c r="P556" s="3" t="e">
        <f t="shared" si="49"/>
        <v>#N/A</v>
      </c>
      <c r="Q556" s="3" t="e">
        <f t="shared" si="50"/>
        <v>#N/A</v>
      </c>
      <c r="R556" s="131">
        <f t="shared" si="51"/>
        <v>46828</v>
      </c>
      <c r="S556" s="3" t="e">
        <f t="shared" si="52"/>
        <v>#N/A</v>
      </c>
      <c r="T556" s="3" t="e">
        <f t="shared" si="53"/>
        <v>#N/A</v>
      </c>
      <c r="U556" s="3">
        <f>Settings!$B$6</f>
        <v>100</v>
      </c>
    </row>
    <row r="557" spans="1:21" ht="18" customHeight="1" x14ac:dyDescent="0.3">
      <c r="A557" s="132">
        <f>A556+1</f>
        <v>46829</v>
      </c>
      <c r="B557" s="138"/>
      <c r="C557" s="126" t="str" cm="1">
        <f t="array" ref="C557">IF(B557="","",B557-IFERROR(LOOKUP(2,1/($B$6:B556&lt;&gt;""),$B$6:B556),Settings!$B$5))</f>
        <v/>
      </c>
      <c r="D557" s="127" t="str">
        <f>IF(B557="","",AVERAGE(B551:B557))</f>
        <v/>
      </c>
      <c r="E557" s="143"/>
      <c r="F557" s="144"/>
      <c r="G557" s="138"/>
      <c r="H557" s="143"/>
      <c r="I557" s="144"/>
      <c r="J557" s="145"/>
      <c r="K557" s="138"/>
      <c r="L557" s="146"/>
      <c r="M557" s="127" t="str">
        <f>IF(B557="","",B557/((Settings!$B$7)/100)^2)</f>
        <v/>
      </c>
      <c r="N557" s="25">
        <f>Settings!$B$6</f>
        <v>100</v>
      </c>
      <c r="O557" s="3" t="e">
        <f t="shared" si="48"/>
        <v>#N/A</v>
      </c>
      <c r="P557" s="3" t="e">
        <f t="shared" si="49"/>
        <v>#N/A</v>
      </c>
      <c r="Q557" s="3" t="e">
        <f t="shared" si="50"/>
        <v>#N/A</v>
      </c>
      <c r="R557" s="131">
        <f t="shared" si="51"/>
        <v>46829</v>
      </c>
      <c r="S557" s="3" t="e">
        <f t="shared" si="52"/>
        <v>#N/A</v>
      </c>
      <c r="T557" s="3" t="e">
        <f t="shared" si="53"/>
        <v>#N/A</v>
      </c>
      <c r="U557" s="3">
        <f>Settings!$B$6</f>
        <v>100</v>
      </c>
    </row>
    <row r="558" spans="1:21" ht="18" customHeight="1" x14ac:dyDescent="0.3">
      <c r="A558" s="124">
        <f>A557+1</f>
        <v>46830</v>
      </c>
      <c r="B558" s="137"/>
      <c r="C558" s="126" t="str" cm="1">
        <f t="array" ref="C558">IF(B558="","",B558-IFERROR(LOOKUP(2,1/($B$6:B557&lt;&gt;""),$B$6:B557),Settings!$B$5))</f>
        <v/>
      </c>
      <c r="D558" s="127" t="str">
        <f>IF(B558="","",AVERAGE(B552:B558))</f>
        <v/>
      </c>
      <c r="E558" s="139"/>
      <c r="F558" s="140"/>
      <c r="G558" s="137"/>
      <c r="H558" s="139"/>
      <c r="I558" s="140"/>
      <c r="J558" s="141"/>
      <c r="K558" s="137"/>
      <c r="L558" s="142"/>
      <c r="M558" s="127" t="str">
        <f>IF(B558="","",B558/((Settings!$B$7)/100)^2)</f>
        <v/>
      </c>
      <c r="N558" s="25">
        <f>Settings!$B$6</f>
        <v>100</v>
      </c>
      <c r="O558" s="3" t="e">
        <f t="shared" si="48"/>
        <v>#N/A</v>
      </c>
      <c r="P558" s="3" t="e">
        <f t="shared" si="49"/>
        <v>#N/A</v>
      </c>
      <c r="Q558" s="3" t="e">
        <f t="shared" si="50"/>
        <v>#N/A</v>
      </c>
      <c r="R558" s="131">
        <f t="shared" si="51"/>
        <v>46830</v>
      </c>
      <c r="S558" s="3" t="e">
        <f t="shared" si="52"/>
        <v>#N/A</v>
      </c>
      <c r="T558" s="3" t="e">
        <f t="shared" si="53"/>
        <v>#N/A</v>
      </c>
      <c r="U558" s="3">
        <f>Settings!$B$6</f>
        <v>100</v>
      </c>
    </row>
    <row r="559" spans="1:21" ht="18" customHeight="1" x14ac:dyDescent="0.3">
      <c r="A559" s="132">
        <f>A558+1</f>
        <v>46831</v>
      </c>
      <c r="B559" s="138"/>
      <c r="C559" s="126" t="str" cm="1">
        <f t="array" ref="C559">IF(B559="","",B559-IFERROR(LOOKUP(2,1/($B$6:B558&lt;&gt;""),$B$6:B558),Settings!$B$5))</f>
        <v/>
      </c>
      <c r="D559" s="127" t="str">
        <f>IF(B559="","",AVERAGE(B553:B559))</f>
        <v/>
      </c>
      <c r="E559" s="143"/>
      <c r="F559" s="144"/>
      <c r="G559" s="138"/>
      <c r="H559" s="143"/>
      <c r="I559" s="144"/>
      <c r="J559" s="145"/>
      <c r="K559" s="138"/>
      <c r="L559" s="146"/>
      <c r="M559" s="127" t="str">
        <f>IF(B559="","",B559/((Settings!$B$7)/100)^2)</f>
        <v/>
      </c>
      <c r="N559" s="25">
        <f>Settings!$B$6</f>
        <v>100</v>
      </c>
      <c r="O559" s="3" t="e">
        <f t="shared" si="48"/>
        <v>#N/A</v>
      </c>
      <c r="P559" s="3" t="e">
        <f t="shared" si="49"/>
        <v>#N/A</v>
      </c>
      <c r="Q559" s="3" t="e">
        <f t="shared" si="50"/>
        <v>#N/A</v>
      </c>
      <c r="R559" s="131">
        <f t="shared" si="51"/>
        <v>46831</v>
      </c>
      <c r="S559" s="3" t="e">
        <f t="shared" si="52"/>
        <v>#N/A</v>
      </c>
      <c r="T559" s="3" t="e">
        <f t="shared" si="53"/>
        <v>#N/A</v>
      </c>
      <c r="U559" s="3">
        <f>Settings!$B$6</f>
        <v>100</v>
      </c>
    </row>
    <row r="560" spans="1:21" ht="18" customHeight="1" x14ac:dyDescent="0.3">
      <c r="A560" s="124">
        <f>A559+1</f>
        <v>46832</v>
      </c>
      <c r="B560" s="137"/>
      <c r="C560" s="126" t="str" cm="1">
        <f t="array" ref="C560">IF(B560="","",B560-IFERROR(LOOKUP(2,1/($B$6:B559&lt;&gt;""),$B$6:B559),Settings!$B$5))</f>
        <v/>
      </c>
      <c r="D560" s="127" t="str">
        <f>IF(B560="","",AVERAGE(B554:B560))</f>
        <v/>
      </c>
      <c r="E560" s="139"/>
      <c r="F560" s="140"/>
      <c r="G560" s="137"/>
      <c r="H560" s="139"/>
      <c r="I560" s="140"/>
      <c r="J560" s="141"/>
      <c r="K560" s="137"/>
      <c r="L560" s="142"/>
      <c r="M560" s="127" t="str">
        <f>IF(B560="","",B560/((Settings!$B$7)/100)^2)</f>
        <v/>
      </c>
      <c r="N560" s="25">
        <f>Settings!$B$6</f>
        <v>100</v>
      </c>
      <c r="O560" s="3" t="e">
        <f t="shared" si="48"/>
        <v>#N/A</v>
      </c>
      <c r="P560" s="3" t="e">
        <f t="shared" si="49"/>
        <v>#N/A</v>
      </c>
      <c r="Q560" s="3" t="e">
        <f t="shared" si="50"/>
        <v>#N/A</v>
      </c>
      <c r="R560" s="131">
        <f t="shared" si="51"/>
        <v>46832</v>
      </c>
      <c r="S560" s="3" t="e">
        <f t="shared" si="52"/>
        <v>#N/A</v>
      </c>
      <c r="T560" s="3" t="e">
        <f t="shared" si="53"/>
        <v>#N/A</v>
      </c>
      <c r="U560" s="3">
        <f>Settings!$B$6</f>
        <v>100</v>
      </c>
    </row>
    <row r="561" spans="1:21" ht="18" customHeight="1" x14ac:dyDescent="0.3">
      <c r="A561" s="132">
        <f>A560+1</f>
        <v>46833</v>
      </c>
      <c r="B561" s="138"/>
      <c r="C561" s="126" t="str" cm="1">
        <f t="array" ref="C561">IF(B561="","",B561-IFERROR(LOOKUP(2,1/($B$6:B560&lt;&gt;""),$B$6:B560),Settings!$B$5))</f>
        <v/>
      </c>
      <c r="D561" s="127" t="str">
        <f>IF(B561="","",AVERAGE(B555:B561))</f>
        <v/>
      </c>
      <c r="E561" s="143"/>
      <c r="F561" s="144"/>
      <c r="G561" s="138"/>
      <c r="H561" s="143"/>
      <c r="I561" s="144"/>
      <c r="J561" s="145"/>
      <c r="K561" s="138"/>
      <c r="L561" s="146"/>
      <c r="M561" s="127" t="str">
        <f>IF(B561="","",B561/((Settings!$B$7)/100)^2)</f>
        <v/>
      </c>
      <c r="N561" s="25">
        <f>Settings!$B$6</f>
        <v>100</v>
      </c>
      <c r="O561" s="3" t="e">
        <f t="shared" si="48"/>
        <v>#N/A</v>
      </c>
      <c r="P561" s="3" t="e">
        <f t="shared" si="49"/>
        <v>#N/A</v>
      </c>
      <c r="Q561" s="3" t="e">
        <f t="shared" si="50"/>
        <v>#N/A</v>
      </c>
      <c r="R561" s="131">
        <f t="shared" si="51"/>
        <v>46833</v>
      </c>
      <c r="S561" s="3" t="e">
        <f t="shared" si="52"/>
        <v>#N/A</v>
      </c>
      <c r="T561" s="3" t="e">
        <f t="shared" si="53"/>
        <v>#N/A</v>
      </c>
      <c r="U561" s="3">
        <f>Settings!$B$6</f>
        <v>100</v>
      </c>
    </row>
    <row r="562" spans="1:21" ht="18" customHeight="1" x14ac:dyDescent="0.3">
      <c r="A562" s="124">
        <f>A561+1</f>
        <v>46834</v>
      </c>
      <c r="B562" s="137"/>
      <c r="C562" s="126" t="str" cm="1">
        <f t="array" ref="C562">IF(B562="","",B562-IFERROR(LOOKUP(2,1/($B$6:B561&lt;&gt;""),$B$6:B561),Settings!$B$5))</f>
        <v/>
      </c>
      <c r="D562" s="127" t="str">
        <f>IF(B562="","",AVERAGE(B556:B562))</f>
        <v/>
      </c>
      <c r="E562" s="139"/>
      <c r="F562" s="140"/>
      <c r="G562" s="137"/>
      <c r="H562" s="139"/>
      <c r="I562" s="140"/>
      <c r="J562" s="141"/>
      <c r="K562" s="137"/>
      <c r="L562" s="142"/>
      <c r="M562" s="127" t="str">
        <f>IF(B562="","",B562/((Settings!$B$7)/100)^2)</f>
        <v/>
      </c>
      <c r="N562" s="25">
        <f>Settings!$B$6</f>
        <v>100</v>
      </c>
      <c r="O562" s="3" t="e">
        <f t="shared" si="48"/>
        <v>#N/A</v>
      </c>
      <c r="P562" s="3" t="e">
        <f t="shared" si="49"/>
        <v>#N/A</v>
      </c>
      <c r="Q562" s="3" t="e">
        <f t="shared" si="50"/>
        <v>#N/A</v>
      </c>
      <c r="R562" s="131">
        <f t="shared" si="51"/>
        <v>46834</v>
      </c>
      <c r="S562" s="3" t="e">
        <f t="shared" si="52"/>
        <v>#N/A</v>
      </c>
      <c r="T562" s="3" t="e">
        <f t="shared" si="53"/>
        <v>#N/A</v>
      </c>
      <c r="U562" s="3">
        <f>Settings!$B$6</f>
        <v>100</v>
      </c>
    </row>
    <row r="563" spans="1:21" ht="18" customHeight="1" x14ac:dyDescent="0.3">
      <c r="A563" s="132">
        <f>A562+1</f>
        <v>46835</v>
      </c>
      <c r="B563" s="138"/>
      <c r="C563" s="126" t="str" cm="1">
        <f t="array" ref="C563">IF(B563="","",B563-IFERROR(LOOKUP(2,1/($B$6:B562&lt;&gt;""),$B$6:B562),Settings!$B$5))</f>
        <v/>
      </c>
      <c r="D563" s="127" t="str">
        <f>IF(B563="","",AVERAGE(B557:B563))</f>
        <v/>
      </c>
      <c r="E563" s="143"/>
      <c r="F563" s="144"/>
      <c r="G563" s="138"/>
      <c r="H563" s="143"/>
      <c r="I563" s="144"/>
      <c r="J563" s="145"/>
      <c r="K563" s="138"/>
      <c r="L563" s="146"/>
      <c r="M563" s="127" t="str">
        <f>IF(B563="","",B563/((Settings!$B$7)/100)^2)</f>
        <v/>
      </c>
      <c r="N563" s="25">
        <f>Settings!$B$6</f>
        <v>100</v>
      </c>
      <c r="O563" s="3" t="e">
        <f t="shared" si="48"/>
        <v>#N/A</v>
      </c>
      <c r="P563" s="3" t="e">
        <f t="shared" si="49"/>
        <v>#N/A</v>
      </c>
      <c r="Q563" s="3" t="e">
        <f t="shared" si="50"/>
        <v>#N/A</v>
      </c>
      <c r="R563" s="131">
        <f t="shared" si="51"/>
        <v>46835</v>
      </c>
      <c r="S563" s="3" t="e">
        <f t="shared" si="52"/>
        <v>#N/A</v>
      </c>
      <c r="T563" s="3" t="e">
        <f t="shared" si="53"/>
        <v>#N/A</v>
      </c>
      <c r="U563" s="3">
        <f>Settings!$B$6</f>
        <v>100</v>
      </c>
    </row>
    <row r="564" spans="1:21" ht="18" customHeight="1" x14ac:dyDescent="0.3">
      <c r="A564" s="124">
        <f>A563+1</f>
        <v>46836</v>
      </c>
      <c r="B564" s="137"/>
      <c r="C564" s="126" t="str" cm="1">
        <f t="array" ref="C564">IF(B564="","",B564-IFERROR(LOOKUP(2,1/($B$6:B563&lt;&gt;""),$B$6:B563),Settings!$B$5))</f>
        <v/>
      </c>
      <c r="D564" s="127" t="str">
        <f>IF(B564="","",AVERAGE(B558:B564))</f>
        <v/>
      </c>
      <c r="E564" s="139"/>
      <c r="F564" s="140"/>
      <c r="G564" s="137"/>
      <c r="H564" s="139"/>
      <c r="I564" s="140"/>
      <c r="J564" s="141"/>
      <c r="K564" s="137"/>
      <c r="L564" s="142"/>
      <c r="M564" s="127" t="str">
        <f>IF(B564="","",B564/((Settings!$B$7)/100)^2)</f>
        <v/>
      </c>
      <c r="N564" s="25">
        <f>Settings!$B$6</f>
        <v>100</v>
      </c>
      <c r="O564" s="3" t="e">
        <f t="shared" si="48"/>
        <v>#N/A</v>
      </c>
      <c r="P564" s="3" t="e">
        <f t="shared" si="49"/>
        <v>#N/A</v>
      </c>
      <c r="Q564" s="3" t="e">
        <f t="shared" si="50"/>
        <v>#N/A</v>
      </c>
      <c r="R564" s="131">
        <f t="shared" si="51"/>
        <v>46836</v>
      </c>
      <c r="S564" s="3" t="e">
        <f t="shared" si="52"/>
        <v>#N/A</v>
      </c>
      <c r="T564" s="3" t="e">
        <f t="shared" si="53"/>
        <v>#N/A</v>
      </c>
      <c r="U564" s="3">
        <f>Settings!$B$6</f>
        <v>100</v>
      </c>
    </row>
    <row r="565" spans="1:21" ht="18" customHeight="1" x14ac:dyDescent="0.3">
      <c r="A565" s="132">
        <f>A564+1</f>
        <v>46837</v>
      </c>
      <c r="B565" s="138"/>
      <c r="C565" s="126" t="str" cm="1">
        <f t="array" ref="C565">IF(B565="","",B565-IFERROR(LOOKUP(2,1/($B$6:B564&lt;&gt;""),$B$6:B564),Settings!$B$5))</f>
        <v/>
      </c>
      <c r="D565" s="127" t="str">
        <f>IF(B565="","",AVERAGE(B559:B565))</f>
        <v/>
      </c>
      <c r="E565" s="143"/>
      <c r="F565" s="144"/>
      <c r="G565" s="138"/>
      <c r="H565" s="143"/>
      <c r="I565" s="144"/>
      <c r="J565" s="145"/>
      <c r="K565" s="138"/>
      <c r="L565" s="146"/>
      <c r="M565" s="127" t="str">
        <f>IF(B565="","",B565/((Settings!$B$7)/100)^2)</f>
        <v/>
      </c>
      <c r="N565" s="25">
        <f>Settings!$B$6</f>
        <v>100</v>
      </c>
      <c r="O565" s="3" t="e">
        <f t="shared" si="48"/>
        <v>#N/A</v>
      </c>
      <c r="P565" s="3" t="e">
        <f t="shared" si="49"/>
        <v>#N/A</v>
      </c>
      <c r="Q565" s="3" t="e">
        <f t="shared" si="50"/>
        <v>#N/A</v>
      </c>
      <c r="R565" s="131">
        <f t="shared" si="51"/>
        <v>46837</v>
      </c>
      <c r="S565" s="3" t="e">
        <f t="shared" si="52"/>
        <v>#N/A</v>
      </c>
      <c r="T565" s="3" t="e">
        <f t="shared" si="53"/>
        <v>#N/A</v>
      </c>
      <c r="U565" s="3">
        <f>Settings!$B$6</f>
        <v>100</v>
      </c>
    </row>
    <row r="566" spans="1:21" ht="18" customHeight="1" x14ac:dyDescent="0.3">
      <c r="A566" s="124">
        <f>A565+1</f>
        <v>46838</v>
      </c>
      <c r="B566" s="137"/>
      <c r="C566" s="126" t="str" cm="1">
        <f t="array" ref="C566">IF(B566="","",B566-IFERROR(LOOKUP(2,1/($B$6:B565&lt;&gt;""),$B$6:B565),Settings!$B$5))</f>
        <v/>
      </c>
      <c r="D566" s="127" t="str">
        <f>IF(B566="","",AVERAGE(B560:B566))</f>
        <v/>
      </c>
      <c r="E566" s="139"/>
      <c r="F566" s="140"/>
      <c r="G566" s="137"/>
      <c r="H566" s="139"/>
      <c r="I566" s="140"/>
      <c r="J566" s="141"/>
      <c r="K566" s="137"/>
      <c r="L566" s="142"/>
      <c r="M566" s="127" t="str">
        <f>IF(B566="","",B566/((Settings!$B$7)/100)^2)</f>
        <v/>
      </c>
      <c r="N566" s="25">
        <f>Settings!$B$6</f>
        <v>100</v>
      </c>
      <c r="O566" s="3" t="e">
        <f t="shared" si="48"/>
        <v>#N/A</v>
      </c>
      <c r="P566" s="3" t="e">
        <f t="shared" si="49"/>
        <v>#N/A</v>
      </c>
      <c r="Q566" s="3" t="e">
        <f t="shared" si="50"/>
        <v>#N/A</v>
      </c>
      <c r="R566" s="131">
        <f t="shared" si="51"/>
        <v>46838</v>
      </c>
      <c r="S566" s="3" t="e">
        <f t="shared" si="52"/>
        <v>#N/A</v>
      </c>
      <c r="T566" s="3" t="e">
        <f t="shared" si="53"/>
        <v>#N/A</v>
      </c>
      <c r="U566" s="3">
        <f>Settings!$B$6</f>
        <v>100</v>
      </c>
    </row>
    <row r="567" spans="1:21" ht="18" customHeight="1" x14ac:dyDescent="0.3">
      <c r="A567" s="132">
        <f>A566+1</f>
        <v>46839</v>
      </c>
      <c r="B567" s="138"/>
      <c r="C567" s="126" t="str" cm="1">
        <f t="array" ref="C567">IF(B567="","",B567-IFERROR(LOOKUP(2,1/($B$6:B566&lt;&gt;""),$B$6:B566),Settings!$B$5))</f>
        <v/>
      </c>
      <c r="D567" s="127" t="str">
        <f>IF(B567="","",AVERAGE(B561:B567))</f>
        <v/>
      </c>
      <c r="E567" s="143"/>
      <c r="F567" s="144"/>
      <c r="G567" s="138"/>
      <c r="H567" s="143"/>
      <c r="I567" s="144"/>
      <c r="J567" s="145"/>
      <c r="K567" s="138"/>
      <c r="L567" s="146"/>
      <c r="M567" s="127" t="str">
        <f>IF(B567="","",B567/((Settings!$B$7)/100)^2)</f>
        <v/>
      </c>
      <c r="N567" s="25">
        <f>Settings!$B$6</f>
        <v>100</v>
      </c>
      <c r="O567" s="3" t="e">
        <f t="shared" si="48"/>
        <v>#N/A</v>
      </c>
      <c r="P567" s="3" t="e">
        <f t="shared" si="49"/>
        <v>#N/A</v>
      </c>
      <c r="Q567" s="3" t="e">
        <f t="shared" si="50"/>
        <v>#N/A</v>
      </c>
      <c r="R567" s="131">
        <f t="shared" si="51"/>
        <v>46839</v>
      </c>
      <c r="S567" s="3" t="e">
        <f t="shared" si="52"/>
        <v>#N/A</v>
      </c>
      <c r="T567" s="3" t="e">
        <f t="shared" si="53"/>
        <v>#N/A</v>
      </c>
      <c r="U567" s="3">
        <f>Settings!$B$6</f>
        <v>100</v>
      </c>
    </row>
    <row r="568" spans="1:21" ht="18" customHeight="1" x14ac:dyDescent="0.3">
      <c r="A568" s="124">
        <f>A567+1</f>
        <v>46840</v>
      </c>
      <c r="B568" s="137"/>
      <c r="C568" s="126" t="str" cm="1">
        <f t="array" ref="C568">IF(B568="","",B568-IFERROR(LOOKUP(2,1/($B$6:B567&lt;&gt;""),$B$6:B567),Settings!$B$5))</f>
        <v/>
      </c>
      <c r="D568" s="127" t="str">
        <f>IF(B568="","",AVERAGE(B562:B568))</f>
        <v/>
      </c>
      <c r="E568" s="139"/>
      <c r="F568" s="140"/>
      <c r="G568" s="137"/>
      <c r="H568" s="139"/>
      <c r="I568" s="140"/>
      <c r="J568" s="141"/>
      <c r="K568" s="137"/>
      <c r="L568" s="142"/>
      <c r="M568" s="127" t="str">
        <f>IF(B568="","",B568/((Settings!$B$7)/100)^2)</f>
        <v/>
      </c>
      <c r="N568" s="25">
        <f>Settings!$B$6</f>
        <v>100</v>
      </c>
      <c r="O568" s="3" t="e">
        <f t="shared" si="48"/>
        <v>#N/A</v>
      </c>
      <c r="P568" s="3" t="e">
        <f t="shared" si="49"/>
        <v>#N/A</v>
      </c>
      <c r="Q568" s="3" t="e">
        <f t="shared" si="50"/>
        <v>#N/A</v>
      </c>
      <c r="R568" s="131">
        <f t="shared" si="51"/>
        <v>46840</v>
      </c>
      <c r="S568" s="3" t="e">
        <f t="shared" si="52"/>
        <v>#N/A</v>
      </c>
      <c r="T568" s="3" t="e">
        <f t="shared" si="53"/>
        <v>#N/A</v>
      </c>
      <c r="U568" s="3">
        <f>Settings!$B$6</f>
        <v>100</v>
      </c>
    </row>
    <row r="569" spans="1:21" ht="18" customHeight="1" x14ac:dyDescent="0.3">
      <c r="A569" s="132">
        <f>A568+1</f>
        <v>46841</v>
      </c>
      <c r="B569" s="138"/>
      <c r="C569" s="126" t="str" cm="1">
        <f t="array" ref="C569">IF(B569="","",B569-IFERROR(LOOKUP(2,1/($B$6:B568&lt;&gt;""),$B$6:B568),Settings!$B$5))</f>
        <v/>
      </c>
      <c r="D569" s="127" t="str">
        <f>IF(B569="","",AVERAGE(B563:B569))</f>
        <v/>
      </c>
      <c r="E569" s="143"/>
      <c r="F569" s="144"/>
      <c r="G569" s="138"/>
      <c r="H569" s="143"/>
      <c r="I569" s="144"/>
      <c r="J569" s="145"/>
      <c r="K569" s="138"/>
      <c r="L569" s="146"/>
      <c r="M569" s="127" t="str">
        <f>IF(B569="","",B569/((Settings!$B$7)/100)^2)</f>
        <v/>
      </c>
      <c r="N569" s="25">
        <f>Settings!$B$6</f>
        <v>100</v>
      </c>
      <c r="O569" s="3" t="e">
        <f t="shared" si="48"/>
        <v>#N/A</v>
      </c>
      <c r="P569" s="3" t="e">
        <f t="shared" si="49"/>
        <v>#N/A</v>
      </c>
      <c r="Q569" s="3" t="e">
        <f t="shared" si="50"/>
        <v>#N/A</v>
      </c>
      <c r="R569" s="131">
        <f t="shared" si="51"/>
        <v>46841</v>
      </c>
      <c r="S569" s="3" t="e">
        <f t="shared" si="52"/>
        <v>#N/A</v>
      </c>
      <c r="T569" s="3" t="e">
        <f t="shared" si="53"/>
        <v>#N/A</v>
      </c>
      <c r="U569" s="3">
        <f>Settings!$B$6</f>
        <v>100</v>
      </c>
    </row>
    <row r="570" spans="1:21" ht="18" customHeight="1" x14ac:dyDescent="0.3">
      <c r="A570" s="124">
        <f>A569+1</f>
        <v>46842</v>
      </c>
      <c r="B570" s="137"/>
      <c r="C570" s="126" t="str" cm="1">
        <f t="array" ref="C570">IF(B570="","",B570-IFERROR(LOOKUP(2,1/($B$6:B569&lt;&gt;""),$B$6:B569),Settings!$B$5))</f>
        <v/>
      </c>
      <c r="D570" s="127" t="str">
        <f>IF(B570="","",AVERAGE(B564:B570))</f>
        <v/>
      </c>
      <c r="E570" s="139"/>
      <c r="F570" s="140"/>
      <c r="G570" s="137"/>
      <c r="H570" s="139"/>
      <c r="I570" s="140"/>
      <c r="J570" s="141"/>
      <c r="K570" s="137"/>
      <c r="L570" s="142"/>
      <c r="M570" s="127" t="str">
        <f>IF(B570="","",B570/((Settings!$B$7)/100)^2)</f>
        <v/>
      </c>
      <c r="N570" s="25">
        <f>Settings!$B$6</f>
        <v>100</v>
      </c>
      <c r="O570" s="3" t="e">
        <f t="shared" si="48"/>
        <v>#N/A</v>
      </c>
      <c r="P570" s="3" t="e">
        <f t="shared" si="49"/>
        <v>#N/A</v>
      </c>
      <c r="Q570" s="3" t="e">
        <f t="shared" si="50"/>
        <v>#N/A</v>
      </c>
      <c r="R570" s="131">
        <f t="shared" si="51"/>
        <v>46842</v>
      </c>
      <c r="S570" s="3" t="e">
        <f t="shared" si="52"/>
        <v>#N/A</v>
      </c>
      <c r="T570" s="3" t="e">
        <f t="shared" si="53"/>
        <v>#N/A</v>
      </c>
      <c r="U570" s="3">
        <f>Settings!$B$6</f>
        <v>100</v>
      </c>
    </row>
    <row r="571" spans="1:21" ht="18" customHeight="1" x14ac:dyDescent="0.3">
      <c r="A571" s="132">
        <f>A570+1</f>
        <v>46843</v>
      </c>
      <c r="B571" s="138"/>
      <c r="C571" s="126" t="str" cm="1">
        <f t="array" ref="C571">IF(B571="","",B571-IFERROR(LOOKUP(2,1/($B$6:B570&lt;&gt;""),$B$6:B570),Settings!$B$5))</f>
        <v/>
      </c>
      <c r="D571" s="127" t="str">
        <f>IF(B571="","",AVERAGE(B565:B571))</f>
        <v/>
      </c>
      <c r="E571" s="143"/>
      <c r="F571" s="144"/>
      <c r="G571" s="138"/>
      <c r="H571" s="143"/>
      <c r="I571" s="144"/>
      <c r="J571" s="145"/>
      <c r="K571" s="138"/>
      <c r="L571" s="146"/>
      <c r="M571" s="127" t="str">
        <f>IF(B571="","",B571/((Settings!$B$7)/100)^2)</f>
        <v/>
      </c>
      <c r="N571" s="25">
        <f>Settings!$B$6</f>
        <v>100</v>
      </c>
      <c r="O571" s="3" t="e">
        <f t="shared" si="48"/>
        <v>#N/A</v>
      </c>
      <c r="P571" s="3" t="e">
        <f t="shared" si="49"/>
        <v>#N/A</v>
      </c>
      <c r="Q571" s="3" t="e">
        <f t="shared" si="50"/>
        <v>#N/A</v>
      </c>
      <c r="R571" s="131">
        <f t="shared" si="51"/>
        <v>46843</v>
      </c>
      <c r="S571" s="3" t="e">
        <f t="shared" si="52"/>
        <v>#N/A</v>
      </c>
      <c r="T571" s="3" t="e">
        <f t="shared" si="53"/>
        <v>#N/A</v>
      </c>
      <c r="U571" s="3">
        <f>Settings!$B$6</f>
        <v>100</v>
      </c>
    </row>
    <row r="572" spans="1:21" ht="18" customHeight="1" x14ac:dyDescent="0.3">
      <c r="A572" s="124">
        <f>A571+1</f>
        <v>46844</v>
      </c>
      <c r="B572" s="137"/>
      <c r="C572" s="126" t="str" cm="1">
        <f t="array" ref="C572">IF(B572="","",B572-IFERROR(LOOKUP(2,1/($B$6:B571&lt;&gt;""),$B$6:B571),Settings!$B$5))</f>
        <v/>
      </c>
      <c r="D572" s="127" t="str">
        <f>IF(B572="","",AVERAGE(B566:B572))</f>
        <v/>
      </c>
      <c r="E572" s="139"/>
      <c r="F572" s="140"/>
      <c r="G572" s="137"/>
      <c r="H572" s="139"/>
      <c r="I572" s="140"/>
      <c r="J572" s="141"/>
      <c r="K572" s="137"/>
      <c r="L572" s="142"/>
      <c r="M572" s="127" t="str">
        <f>IF(B572="","",B572/((Settings!$B$7)/100)^2)</f>
        <v/>
      </c>
      <c r="N572" s="25">
        <f>Settings!$B$6</f>
        <v>100</v>
      </c>
      <c r="O572" s="3" t="e">
        <f t="shared" si="48"/>
        <v>#N/A</v>
      </c>
      <c r="P572" s="3" t="e">
        <f t="shared" si="49"/>
        <v>#N/A</v>
      </c>
      <c r="Q572" s="3" t="e">
        <f t="shared" si="50"/>
        <v>#N/A</v>
      </c>
      <c r="R572" s="131">
        <f t="shared" si="51"/>
        <v>46844</v>
      </c>
      <c r="S572" s="3" t="e">
        <f t="shared" si="52"/>
        <v>#N/A</v>
      </c>
      <c r="T572" s="3" t="e">
        <f t="shared" si="53"/>
        <v>#N/A</v>
      </c>
      <c r="U572" s="3">
        <f>Settings!$B$6</f>
        <v>100</v>
      </c>
    </row>
    <row r="573" spans="1:21" ht="18" customHeight="1" x14ac:dyDescent="0.3">
      <c r="A573" s="132">
        <f>A572+1</f>
        <v>46845</v>
      </c>
      <c r="B573" s="138"/>
      <c r="C573" s="126" t="str" cm="1">
        <f t="array" ref="C573">IF(B573="","",B573-IFERROR(LOOKUP(2,1/($B$6:B572&lt;&gt;""),$B$6:B572),Settings!$B$5))</f>
        <v/>
      </c>
      <c r="D573" s="127" t="str">
        <f>IF(B573="","",AVERAGE(B567:B573))</f>
        <v/>
      </c>
      <c r="E573" s="143"/>
      <c r="F573" s="144"/>
      <c r="G573" s="138"/>
      <c r="H573" s="143"/>
      <c r="I573" s="144"/>
      <c r="J573" s="145"/>
      <c r="K573" s="138"/>
      <c r="L573" s="146"/>
      <c r="M573" s="127" t="str">
        <f>IF(B573="","",B573/((Settings!$B$7)/100)^2)</f>
        <v/>
      </c>
      <c r="N573" s="25">
        <f>Settings!$B$6</f>
        <v>100</v>
      </c>
      <c r="O573" s="3" t="e">
        <f t="shared" si="48"/>
        <v>#N/A</v>
      </c>
      <c r="P573" s="3" t="e">
        <f t="shared" si="49"/>
        <v>#N/A</v>
      </c>
      <c r="Q573" s="3" t="e">
        <f t="shared" si="50"/>
        <v>#N/A</v>
      </c>
      <c r="R573" s="131">
        <f t="shared" si="51"/>
        <v>46845</v>
      </c>
      <c r="S573" s="3" t="e">
        <f t="shared" si="52"/>
        <v>#N/A</v>
      </c>
      <c r="T573" s="3" t="e">
        <f t="shared" si="53"/>
        <v>#N/A</v>
      </c>
      <c r="U573" s="3">
        <f>Settings!$B$6</f>
        <v>100</v>
      </c>
    </row>
    <row r="574" spans="1:21" ht="18" customHeight="1" x14ac:dyDescent="0.3">
      <c r="A574" s="124">
        <f>A573+1</f>
        <v>46846</v>
      </c>
      <c r="B574" s="137"/>
      <c r="C574" s="126" t="str" cm="1">
        <f t="array" ref="C574">IF(B574="","",B574-IFERROR(LOOKUP(2,1/($B$6:B573&lt;&gt;""),$B$6:B573),Settings!$B$5))</f>
        <v/>
      </c>
      <c r="D574" s="127" t="str">
        <f>IF(B574="","",AVERAGE(B568:B574))</f>
        <v/>
      </c>
      <c r="E574" s="139"/>
      <c r="F574" s="140"/>
      <c r="G574" s="137"/>
      <c r="H574" s="139"/>
      <c r="I574" s="140"/>
      <c r="J574" s="141"/>
      <c r="K574" s="137"/>
      <c r="L574" s="142"/>
      <c r="M574" s="127" t="str">
        <f>IF(B574="","",B574/((Settings!$B$7)/100)^2)</f>
        <v/>
      </c>
      <c r="N574" s="25">
        <f>Settings!$B$6</f>
        <v>100</v>
      </c>
      <c r="O574" s="3" t="e">
        <f t="shared" si="48"/>
        <v>#N/A</v>
      </c>
      <c r="P574" s="3" t="e">
        <f t="shared" si="49"/>
        <v>#N/A</v>
      </c>
      <c r="Q574" s="3" t="e">
        <f t="shared" si="50"/>
        <v>#N/A</v>
      </c>
      <c r="R574" s="131">
        <f t="shared" si="51"/>
        <v>46846</v>
      </c>
      <c r="S574" s="3" t="e">
        <f t="shared" si="52"/>
        <v>#N/A</v>
      </c>
      <c r="T574" s="3" t="e">
        <f t="shared" si="53"/>
        <v>#N/A</v>
      </c>
      <c r="U574" s="3">
        <f>Settings!$B$6</f>
        <v>100</v>
      </c>
    </row>
    <row r="575" spans="1:21" ht="18" customHeight="1" x14ac:dyDescent="0.3">
      <c r="A575" s="132">
        <f>A574+1</f>
        <v>46847</v>
      </c>
      <c r="B575" s="138"/>
      <c r="C575" s="126" t="str" cm="1">
        <f t="array" ref="C575">IF(B575="","",B575-IFERROR(LOOKUP(2,1/($B$6:B574&lt;&gt;""),$B$6:B574),Settings!$B$5))</f>
        <v/>
      </c>
      <c r="D575" s="127" t="str">
        <f>IF(B575="","",AVERAGE(B569:B575))</f>
        <v/>
      </c>
      <c r="E575" s="143"/>
      <c r="F575" s="144"/>
      <c r="G575" s="138"/>
      <c r="H575" s="143"/>
      <c r="I575" s="144"/>
      <c r="J575" s="145"/>
      <c r="K575" s="138"/>
      <c r="L575" s="146"/>
      <c r="M575" s="127" t="str">
        <f>IF(B575="","",B575/((Settings!$B$7)/100)^2)</f>
        <v/>
      </c>
      <c r="N575" s="25">
        <f>Settings!$B$6</f>
        <v>100</v>
      </c>
      <c r="O575" s="3" t="e">
        <f t="shared" si="48"/>
        <v>#N/A</v>
      </c>
      <c r="P575" s="3" t="e">
        <f t="shared" si="49"/>
        <v>#N/A</v>
      </c>
      <c r="Q575" s="3" t="e">
        <f t="shared" si="50"/>
        <v>#N/A</v>
      </c>
      <c r="R575" s="131">
        <f t="shared" si="51"/>
        <v>46847</v>
      </c>
      <c r="S575" s="3" t="e">
        <f t="shared" si="52"/>
        <v>#N/A</v>
      </c>
      <c r="T575" s="3" t="e">
        <f t="shared" si="53"/>
        <v>#N/A</v>
      </c>
      <c r="U575" s="3">
        <f>Settings!$B$6</f>
        <v>100</v>
      </c>
    </row>
    <row r="576" spans="1:21" ht="18" customHeight="1" x14ac:dyDescent="0.3">
      <c r="A576" s="124">
        <f>A575+1</f>
        <v>46848</v>
      </c>
      <c r="B576" s="137"/>
      <c r="C576" s="126" t="str" cm="1">
        <f t="array" ref="C576">IF(B576="","",B576-IFERROR(LOOKUP(2,1/($B$6:B575&lt;&gt;""),$B$6:B575),Settings!$B$5))</f>
        <v/>
      </c>
      <c r="D576" s="127" t="str">
        <f>IF(B576="","",AVERAGE(B570:B576))</f>
        <v/>
      </c>
      <c r="E576" s="139"/>
      <c r="F576" s="140"/>
      <c r="G576" s="137"/>
      <c r="H576" s="139"/>
      <c r="I576" s="140"/>
      <c r="J576" s="141"/>
      <c r="K576" s="137"/>
      <c r="L576" s="142"/>
      <c r="M576" s="127" t="str">
        <f>IF(B576="","",B576/((Settings!$B$7)/100)^2)</f>
        <v/>
      </c>
      <c r="N576" s="25">
        <f>Settings!$B$6</f>
        <v>100</v>
      </c>
      <c r="O576" s="3" t="e">
        <f t="shared" si="48"/>
        <v>#N/A</v>
      </c>
      <c r="P576" s="3" t="e">
        <f t="shared" si="49"/>
        <v>#N/A</v>
      </c>
      <c r="Q576" s="3" t="e">
        <f t="shared" si="50"/>
        <v>#N/A</v>
      </c>
      <c r="R576" s="131">
        <f t="shared" si="51"/>
        <v>46848</v>
      </c>
      <c r="S576" s="3" t="e">
        <f t="shared" si="52"/>
        <v>#N/A</v>
      </c>
      <c r="T576" s="3" t="e">
        <f t="shared" si="53"/>
        <v>#N/A</v>
      </c>
      <c r="U576" s="3">
        <f>Settings!$B$6</f>
        <v>100</v>
      </c>
    </row>
    <row r="577" spans="1:21" ht="18" customHeight="1" x14ac:dyDescent="0.3">
      <c r="A577" s="132">
        <f>A576+1</f>
        <v>46849</v>
      </c>
      <c r="B577" s="138"/>
      <c r="C577" s="126" t="str" cm="1">
        <f t="array" ref="C577">IF(B577="","",B577-IFERROR(LOOKUP(2,1/($B$6:B576&lt;&gt;""),$B$6:B576),Settings!$B$5))</f>
        <v/>
      </c>
      <c r="D577" s="127" t="str">
        <f>IF(B577="","",AVERAGE(B571:B577))</f>
        <v/>
      </c>
      <c r="E577" s="143"/>
      <c r="F577" s="144"/>
      <c r="G577" s="138"/>
      <c r="H577" s="143"/>
      <c r="I577" s="144"/>
      <c r="J577" s="145"/>
      <c r="K577" s="138"/>
      <c r="L577" s="146"/>
      <c r="M577" s="127" t="str">
        <f>IF(B577="","",B577/((Settings!$B$7)/100)^2)</f>
        <v/>
      </c>
      <c r="N577" s="25">
        <f>Settings!$B$6</f>
        <v>100</v>
      </c>
      <c r="O577" s="3" t="e">
        <f t="shared" si="48"/>
        <v>#N/A</v>
      </c>
      <c r="P577" s="3" t="e">
        <f t="shared" si="49"/>
        <v>#N/A</v>
      </c>
      <c r="Q577" s="3" t="e">
        <f t="shared" si="50"/>
        <v>#N/A</v>
      </c>
      <c r="R577" s="131">
        <f t="shared" si="51"/>
        <v>46849</v>
      </c>
      <c r="S577" s="3" t="e">
        <f t="shared" si="52"/>
        <v>#N/A</v>
      </c>
      <c r="T577" s="3" t="e">
        <f t="shared" si="53"/>
        <v>#N/A</v>
      </c>
      <c r="U577" s="3">
        <f>Settings!$B$6</f>
        <v>100</v>
      </c>
    </row>
    <row r="578" spans="1:21" ht="18" customHeight="1" x14ac:dyDescent="0.3">
      <c r="A578" s="124">
        <f>A577+1</f>
        <v>46850</v>
      </c>
      <c r="B578" s="137"/>
      <c r="C578" s="126" t="str" cm="1">
        <f t="array" ref="C578">IF(B578="","",B578-IFERROR(LOOKUP(2,1/($B$6:B577&lt;&gt;""),$B$6:B577),Settings!$B$5))</f>
        <v/>
      </c>
      <c r="D578" s="127" t="str">
        <f>IF(B578="","",AVERAGE(B572:B578))</f>
        <v/>
      </c>
      <c r="E578" s="139"/>
      <c r="F578" s="140"/>
      <c r="G578" s="137"/>
      <c r="H578" s="139"/>
      <c r="I578" s="140"/>
      <c r="J578" s="141"/>
      <c r="K578" s="137"/>
      <c r="L578" s="142"/>
      <c r="M578" s="127" t="str">
        <f>IF(B578="","",B578/((Settings!$B$7)/100)^2)</f>
        <v/>
      </c>
      <c r="N578" s="25">
        <f>Settings!$B$6</f>
        <v>100</v>
      </c>
      <c r="O578" s="3" t="e">
        <f t="shared" si="48"/>
        <v>#N/A</v>
      </c>
      <c r="P578" s="3" t="e">
        <f t="shared" si="49"/>
        <v>#N/A</v>
      </c>
      <c r="Q578" s="3" t="e">
        <f t="shared" si="50"/>
        <v>#N/A</v>
      </c>
      <c r="R578" s="131">
        <f t="shared" si="51"/>
        <v>46850</v>
      </c>
      <c r="S578" s="3" t="e">
        <f t="shared" si="52"/>
        <v>#N/A</v>
      </c>
      <c r="T578" s="3" t="e">
        <f t="shared" si="53"/>
        <v>#N/A</v>
      </c>
      <c r="U578" s="3">
        <f>Settings!$B$6</f>
        <v>100</v>
      </c>
    </row>
    <row r="579" spans="1:21" ht="18" customHeight="1" x14ac:dyDescent="0.3">
      <c r="A579" s="132">
        <f>A578+1</f>
        <v>46851</v>
      </c>
      <c r="B579" s="138"/>
      <c r="C579" s="126" t="str" cm="1">
        <f t="array" ref="C579">IF(B579="","",B579-IFERROR(LOOKUP(2,1/($B$6:B578&lt;&gt;""),$B$6:B578),Settings!$B$5))</f>
        <v/>
      </c>
      <c r="D579" s="127" t="str">
        <f>IF(B579="","",AVERAGE(B573:B579))</f>
        <v/>
      </c>
      <c r="E579" s="143"/>
      <c r="F579" s="144"/>
      <c r="G579" s="138"/>
      <c r="H579" s="143"/>
      <c r="I579" s="144"/>
      <c r="J579" s="145"/>
      <c r="K579" s="138"/>
      <c r="L579" s="146"/>
      <c r="M579" s="127" t="str">
        <f>IF(B579="","",B579/((Settings!$B$7)/100)^2)</f>
        <v/>
      </c>
      <c r="N579" s="25">
        <f>Settings!$B$6</f>
        <v>100</v>
      </c>
      <c r="O579" s="3" t="e">
        <f t="shared" si="48"/>
        <v>#N/A</v>
      </c>
      <c r="P579" s="3" t="e">
        <f t="shared" si="49"/>
        <v>#N/A</v>
      </c>
      <c r="Q579" s="3" t="e">
        <f t="shared" si="50"/>
        <v>#N/A</v>
      </c>
      <c r="R579" s="131">
        <f t="shared" si="51"/>
        <v>46851</v>
      </c>
      <c r="S579" s="3" t="e">
        <f t="shared" si="52"/>
        <v>#N/A</v>
      </c>
      <c r="T579" s="3" t="e">
        <f t="shared" si="53"/>
        <v>#N/A</v>
      </c>
      <c r="U579" s="3">
        <f>Settings!$B$6</f>
        <v>100</v>
      </c>
    </row>
    <row r="580" spans="1:21" ht="18" customHeight="1" x14ac:dyDescent="0.3">
      <c r="A580" s="124">
        <f>A579+1</f>
        <v>46852</v>
      </c>
      <c r="B580" s="137"/>
      <c r="C580" s="126" t="str" cm="1">
        <f t="array" ref="C580">IF(B580="","",B580-IFERROR(LOOKUP(2,1/($B$6:B579&lt;&gt;""),$B$6:B579),Settings!$B$5))</f>
        <v/>
      </c>
      <c r="D580" s="127" t="str">
        <f>IF(B580="","",AVERAGE(B574:B580))</f>
        <v/>
      </c>
      <c r="E580" s="139"/>
      <c r="F580" s="140"/>
      <c r="G580" s="137"/>
      <c r="H580" s="139"/>
      <c r="I580" s="140"/>
      <c r="J580" s="141"/>
      <c r="K580" s="137"/>
      <c r="L580" s="142"/>
      <c r="M580" s="127" t="str">
        <f>IF(B580="","",B580/((Settings!$B$7)/100)^2)</f>
        <v/>
      </c>
      <c r="N580" s="25">
        <f>Settings!$B$6</f>
        <v>100</v>
      </c>
      <c r="O580" s="3" t="e">
        <f t="shared" si="48"/>
        <v>#N/A</v>
      </c>
      <c r="P580" s="3" t="e">
        <f t="shared" si="49"/>
        <v>#N/A</v>
      </c>
      <c r="Q580" s="3" t="e">
        <f t="shared" si="50"/>
        <v>#N/A</v>
      </c>
      <c r="R580" s="131">
        <f t="shared" si="51"/>
        <v>46852</v>
      </c>
      <c r="S580" s="3" t="e">
        <f t="shared" si="52"/>
        <v>#N/A</v>
      </c>
      <c r="T580" s="3" t="e">
        <f t="shared" si="53"/>
        <v>#N/A</v>
      </c>
      <c r="U580" s="3">
        <f>Settings!$B$6</f>
        <v>100</v>
      </c>
    </row>
    <row r="581" spans="1:21" ht="18" customHeight="1" x14ac:dyDescent="0.3">
      <c r="A581" s="132">
        <f>A580+1</f>
        <v>46853</v>
      </c>
      <c r="B581" s="138"/>
      <c r="C581" s="126" t="str" cm="1">
        <f t="array" ref="C581">IF(B581="","",B581-IFERROR(LOOKUP(2,1/($B$6:B580&lt;&gt;""),$B$6:B580),Settings!$B$5))</f>
        <v/>
      </c>
      <c r="D581" s="127" t="str">
        <f>IF(B581="","",AVERAGE(B575:B581))</f>
        <v/>
      </c>
      <c r="E581" s="143"/>
      <c r="F581" s="144"/>
      <c r="G581" s="138"/>
      <c r="H581" s="143"/>
      <c r="I581" s="144"/>
      <c r="J581" s="145"/>
      <c r="K581" s="138"/>
      <c r="L581" s="146"/>
      <c r="M581" s="127" t="str">
        <f>IF(B581="","",B581/((Settings!$B$7)/100)^2)</f>
        <v/>
      </c>
      <c r="N581" s="25">
        <f>Settings!$B$6</f>
        <v>100</v>
      </c>
      <c r="O581" s="3" t="e">
        <f t="shared" si="48"/>
        <v>#N/A</v>
      </c>
      <c r="P581" s="3" t="e">
        <f t="shared" si="49"/>
        <v>#N/A</v>
      </c>
      <c r="Q581" s="3" t="e">
        <f t="shared" si="50"/>
        <v>#N/A</v>
      </c>
      <c r="R581" s="131">
        <f t="shared" si="51"/>
        <v>46853</v>
      </c>
      <c r="S581" s="3" t="e">
        <f t="shared" si="52"/>
        <v>#N/A</v>
      </c>
      <c r="T581" s="3" t="e">
        <f t="shared" si="53"/>
        <v>#N/A</v>
      </c>
      <c r="U581" s="3">
        <f>Settings!$B$6</f>
        <v>100</v>
      </c>
    </row>
    <row r="582" spans="1:21" ht="18" customHeight="1" x14ac:dyDescent="0.3">
      <c r="A582" s="124">
        <f>A581+1</f>
        <v>46854</v>
      </c>
      <c r="B582" s="137"/>
      <c r="C582" s="126" t="str" cm="1">
        <f t="array" ref="C582">IF(B582="","",B582-IFERROR(LOOKUP(2,1/($B$6:B581&lt;&gt;""),$B$6:B581),Settings!$B$5))</f>
        <v/>
      </c>
      <c r="D582" s="127" t="str">
        <f>IF(B582="","",AVERAGE(B576:B582))</f>
        <v/>
      </c>
      <c r="E582" s="139"/>
      <c r="F582" s="140"/>
      <c r="G582" s="137"/>
      <c r="H582" s="139"/>
      <c r="I582" s="140"/>
      <c r="J582" s="141"/>
      <c r="K582" s="137"/>
      <c r="L582" s="142"/>
      <c r="M582" s="127" t="str">
        <f>IF(B582="","",B582/((Settings!$B$7)/100)^2)</f>
        <v/>
      </c>
      <c r="N582" s="25">
        <f>Settings!$B$6</f>
        <v>100</v>
      </c>
      <c r="O582" s="3" t="e">
        <f t="shared" si="48"/>
        <v>#N/A</v>
      </c>
      <c r="P582" s="3" t="e">
        <f t="shared" si="49"/>
        <v>#N/A</v>
      </c>
      <c r="Q582" s="3" t="e">
        <f t="shared" si="50"/>
        <v>#N/A</v>
      </c>
      <c r="R582" s="131">
        <f t="shared" si="51"/>
        <v>46854</v>
      </c>
      <c r="S582" s="3" t="e">
        <f t="shared" si="52"/>
        <v>#N/A</v>
      </c>
      <c r="T582" s="3" t="e">
        <f t="shared" si="53"/>
        <v>#N/A</v>
      </c>
      <c r="U582" s="3">
        <f>Settings!$B$6</f>
        <v>100</v>
      </c>
    </row>
    <row r="583" spans="1:21" ht="18" customHeight="1" x14ac:dyDescent="0.3">
      <c r="A583" s="132">
        <f>A582+1</f>
        <v>46855</v>
      </c>
      <c r="B583" s="138"/>
      <c r="C583" s="126" t="str" cm="1">
        <f t="array" ref="C583">IF(B583="","",B583-IFERROR(LOOKUP(2,1/($B$6:B582&lt;&gt;""),$B$6:B582),Settings!$B$5))</f>
        <v/>
      </c>
      <c r="D583" s="127" t="str">
        <f>IF(B583="","",AVERAGE(B577:B583))</f>
        <v/>
      </c>
      <c r="E583" s="143"/>
      <c r="F583" s="144"/>
      <c r="G583" s="138"/>
      <c r="H583" s="143"/>
      <c r="I583" s="144"/>
      <c r="J583" s="145"/>
      <c r="K583" s="138"/>
      <c r="L583" s="146"/>
      <c r="M583" s="127" t="str">
        <f>IF(B583="","",B583/((Settings!$B$7)/100)^2)</f>
        <v/>
      </c>
      <c r="N583" s="25">
        <f>Settings!$B$6</f>
        <v>100</v>
      </c>
      <c r="O583" s="3" t="e">
        <f t="shared" ref="O583:O646" si="54">IF($B583="",NA(),$B583)</f>
        <v>#N/A</v>
      </c>
      <c r="P583" s="3" t="e">
        <f t="shared" ref="P583:P646" si="55">IF($D583="",NA(),$D583)</f>
        <v>#N/A</v>
      </c>
      <c r="Q583" s="3" t="e">
        <f t="shared" ref="Q583:Q646" si="56">IF($M583="",NA(),$M583)</f>
        <v>#N/A</v>
      </c>
      <c r="R583" s="131">
        <f t="shared" ref="R583:R646" si="57">A583</f>
        <v>46855</v>
      </c>
      <c r="S583" s="3" t="e">
        <f t="shared" ref="S583:S646" si="58">IF($B583="",NA(),$B583)</f>
        <v>#N/A</v>
      </c>
      <c r="T583" s="3" t="e">
        <f t="shared" ref="T583:T646" si="59">IF($D583="",NA(),$D583)</f>
        <v>#N/A</v>
      </c>
      <c r="U583" s="3">
        <f>Settings!$B$6</f>
        <v>100</v>
      </c>
    </row>
    <row r="584" spans="1:21" ht="18" customHeight="1" x14ac:dyDescent="0.3">
      <c r="A584" s="124">
        <f>A583+1</f>
        <v>46856</v>
      </c>
      <c r="B584" s="137"/>
      <c r="C584" s="126" t="str" cm="1">
        <f t="array" ref="C584">IF(B584="","",B584-IFERROR(LOOKUP(2,1/($B$6:B583&lt;&gt;""),$B$6:B583),Settings!$B$5))</f>
        <v/>
      </c>
      <c r="D584" s="127" t="str">
        <f>IF(B584="","",AVERAGE(B578:B584))</f>
        <v/>
      </c>
      <c r="E584" s="139"/>
      <c r="F584" s="140"/>
      <c r="G584" s="137"/>
      <c r="H584" s="139"/>
      <c r="I584" s="140"/>
      <c r="J584" s="141"/>
      <c r="K584" s="137"/>
      <c r="L584" s="142"/>
      <c r="M584" s="127" t="str">
        <f>IF(B584="","",B584/((Settings!$B$7)/100)^2)</f>
        <v/>
      </c>
      <c r="N584" s="25">
        <f>Settings!$B$6</f>
        <v>100</v>
      </c>
      <c r="O584" s="3" t="e">
        <f t="shared" si="54"/>
        <v>#N/A</v>
      </c>
      <c r="P584" s="3" t="e">
        <f t="shared" si="55"/>
        <v>#N/A</v>
      </c>
      <c r="Q584" s="3" t="e">
        <f t="shared" si="56"/>
        <v>#N/A</v>
      </c>
      <c r="R584" s="131">
        <f t="shared" si="57"/>
        <v>46856</v>
      </c>
      <c r="S584" s="3" t="e">
        <f t="shared" si="58"/>
        <v>#N/A</v>
      </c>
      <c r="T584" s="3" t="e">
        <f t="shared" si="59"/>
        <v>#N/A</v>
      </c>
      <c r="U584" s="3">
        <f>Settings!$B$6</f>
        <v>100</v>
      </c>
    </row>
    <row r="585" spans="1:21" ht="18" customHeight="1" x14ac:dyDescent="0.3">
      <c r="A585" s="132">
        <f>A584+1</f>
        <v>46857</v>
      </c>
      <c r="B585" s="138"/>
      <c r="C585" s="126" t="str" cm="1">
        <f t="array" ref="C585">IF(B585="","",B585-IFERROR(LOOKUP(2,1/($B$6:B584&lt;&gt;""),$B$6:B584),Settings!$B$5))</f>
        <v/>
      </c>
      <c r="D585" s="127" t="str">
        <f>IF(B585="","",AVERAGE(B579:B585))</f>
        <v/>
      </c>
      <c r="E585" s="143"/>
      <c r="F585" s="144"/>
      <c r="G585" s="138"/>
      <c r="H585" s="143"/>
      <c r="I585" s="144"/>
      <c r="J585" s="145"/>
      <c r="K585" s="138"/>
      <c r="L585" s="146"/>
      <c r="M585" s="127" t="str">
        <f>IF(B585="","",B585/((Settings!$B$7)/100)^2)</f>
        <v/>
      </c>
      <c r="N585" s="25">
        <f>Settings!$B$6</f>
        <v>100</v>
      </c>
      <c r="O585" s="3" t="e">
        <f t="shared" si="54"/>
        <v>#N/A</v>
      </c>
      <c r="P585" s="3" t="e">
        <f t="shared" si="55"/>
        <v>#N/A</v>
      </c>
      <c r="Q585" s="3" t="e">
        <f t="shared" si="56"/>
        <v>#N/A</v>
      </c>
      <c r="R585" s="131">
        <f t="shared" si="57"/>
        <v>46857</v>
      </c>
      <c r="S585" s="3" t="e">
        <f t="shared" si="58"/>
        <v>#N/A</v>
      </c>
      <c r="T585" s="3" t="e">
        <f t="shared" si="59"/>
        <v>#N/A</v>
      </c>
      <c r="U585" s="3">
        <f>Settings!$B$6</f>
        <v>100</v>
      </c>
    </row>
    <row r="586" spans="1:21" ht="18" customHeight="1" x14ac:dyDescent="0.3">
      <c r="A586" s="124">
        <f>A585+1</f>
        <v>46858</v>
      </c>
      <c r="B586" s="137"/>
      <c r="C586" s="126" t="str" cm="1">
        <f t="array" ref="C586">IF(B586="","",B586-IFERROR(LOOKUP(2,1/($B$6:B585&lt;&gt;""),$B$6:B585),Settings!$B$5))</f>
        <v/>
      </c>
      <c r="D586" s="127" t="str">
        <f>IF(B586="","",AVERAGE(B580:B586))</f>
        <v/>
      </c>
      <c r="E586" s="139"/>
      <c r="F586" s="140"/>
      <c r="G586" s="137"/>
      <c r="H586" s="139"/>
      <c r="I586" s="140"/>
      <c r="J586" s="141"/>
      <c r="K586" s="137"/>
      <c r="L586" s="142"/>
      <c r="M586" s="127" t="str">
        <f>IF(B586="","",B586/((Settings!$B$7)/100)^2)</f>
        <v/>
      </c>
      <c r="N586" s="25">
        <f>Settings!$B$6</f>
        <v>100</v>
      </c>
      <c r="O586" s="3" t="e">
        <f t="shared" si="54"/>
        <v>#N/A</v>
      </c>
      <c r="P586" s="3" t="e">
        <f t="shared" si="55"/>
        <v>#N/A</v>
      </c>
      <c r="Q586" s="3" t="e">
        <f t="shared" si="56"/>
        <v>#N/A</v>
      </c>
      <c r="R586" s="131">
        <f t="shared" si="57"/>
        <v>46858</v>
      </c>
      <c r="S586" s="3" t="e">
        <f t="shared" si="58"/>
        <v>#N/A</v>
      </c>
      <c r="T586" s="3" t="e">
        <f t="shared" si="59"/>
        <v>#N/A</v>
      </c>
      <c r="U586" s="3">
        <f>Settings!$B$6</f>
        <v>100</v>
      </c>
    </row>
    <row r="587" spans="1:21" ht="18" customHeight="1" x14ac:dyDescent="0.3">
      <c r="A587" s="132">
        <f>A586+1</f>
        <v>46859</v>
      </c>
      <c r="B587" s="138"/>
      <c r="C587" s="126" t="str" cm="1">
        <f t="array" ref="C587">IF(B587="","",B587-IFERROR(LOOKUP(2,1/($B$6:B586&lt;&gt;""),$B$6:B586),Settings!$B$5))</f>
        <v/>
      </c>
      <c r="D587" s="127" t="str">
        <f>IF(B587="","",AVERAGE(B581:B587))</f>
        <v/>
      </c>
      <c r="E587" s="143"/>
      <c r="F587" s="144"/>
      <c r="G587" s="138"/>
      <c r="H587" s="143"/>
      <c r="I587" s="144"/>
      <c r="J587" s="145"/>
      <c r="K587" s="138"/>
      <c r="L587" s="146"/>
      <c r="M587" s="127" t="str">
        <f>IF(B587="","",B587/((Settings!$B$7)/100)^2)</f>
        <v/>
      </c>
      <c r="N587" s="25">
        <f>Settings!$B$6</f>
        <v>100</v>
      </c>
      <c r="O587" s="3" t="e">
        <f t="shared" si="54"/>
        <v>#N/A</v>
      </c>
      <c r="P587" s="3" t="e">
        <f t="shared" si="55"/>
        <v>#N/A</v>
      </c>
      <c r="Q587" s="3" t="e">
        <f t="shared" si="56"/>
        <v>#N/A</v>
      </c>
      <c r="R587" s="131">
        <f t="shared" si="57"/>
        <v>46859</v>
      </c>
      <c r="S587" s="3" t="e">
        <f t="shared" si="58"/>
        <v>#N/A</v>
      </c>
      <c r="T587" s="3" t="e">
        <f t="shared" si="59"/>
        <v>#N/A</v>
      </c>
      <c r="U587" s="3">
        <f>Settings!$B$6</f>
        <v>100</v>
      </c>
    </row>
    <row r="588" spans="1:21" ht="18" customHeight="1" x14ac:dyDescent="0.3">
      <c r="A588" s="124">
        <f>A587+1</f>
        <v>46860</v>
      </c>
      <c r="B588" s="137"/>
      <c r="C588" s="126" t="str" cm="1">
        <f t="array" ref="C588">IF(B588="","",B588-IFERROR(LOOKUP(2,1/($B$6:B587&lt;&gt;""),$B$6:B587),Settings!$B$5))</f>
        <v/>
      </c>
      <c r="D588" s="127" t="str">
        <f>IF(B588="","",AVERAGE(B582:B588))</f>
        <v/>
      </c>
      <c r="E588" s="139"/>
      <c r="F588" s="140"/>
      <c r="G588" s="137"/>
      <c r="H588" s="139"/>
      <c r="I588" s="140"/>
      <c r="J588" s="141"/>
      <c r="K588" s="137"/>
      <c r="L588" s="142"/>
      <c r="M588" s="127" t="str">
        <f>IF(B588="","",B588/((Settings!$B$7)/100)^2)</f>
        <v/>
      </c>
      <c r="N588" s="25">
        <f>Settings!$B$6</f>
        <v>100</v>
      </c>
      <c r="O588" s="3" t="e">
        <f t="shared" si="54"/>
        <v>#N/A</v>
      </c>
      <c r="P588" s="3" t="e">
        <f t="shared" si="55"/>
        <v>#N/A</v>
      </c>
      <c r="Q588" s="3" t="e">
        <f t="shared" si="56"/>
        <v>#N/A</v>
      </c>
      <c r="R588" s="131">
        <f t="shared" si="57"/>
        <v>46860</v>
      </c>
      <c r="S588" s="3" t="e">
        <f t="shared" si="58"/>
        <v>#N/A</v>
      </c>
      <c r="T588" s="3" t="e">
        <f t="shared" si="59"/>
        <v>#N/A</v>
      </c>
      <c r="U588" s="3">
        <f>Settings!$B$6</f>
        <v>100</v>
      </c>
    </row>
    <row r="589" spans="1:21" ht="18" customHeight="1" x14ac:dyDescent="0.3">
      <c r="A589" s="132">
        <f>A588+1</f>
        <v>46861</v>
      </c>
      <c r="B589" s="138"/>
      <c r="C589" s="126" t="str" cm="1">
        <f t="array" ref="C589">IF(B589="","",B589-IFERROR(LOOKUP(2,1/($B$6:B588&lt;&gt;""),$B$6:B588),Settings!$B$5))</f>
        <v/>
      </c>
      <c r="D589" s="127" t="str">
        <f>IF(B589="","",AVERAGE(B583:B589))</f>
        <v/>
      </c>
      <c r="E589" s="143"/>
      <c r="F589" s="144"/>
      <c r="G589" s="138"/>
      <c r="H589" s="143"/>
      <c r="I589" s="144"/>
      <c r="J589" s="145"/>
      <c r="K589" s="138"/>
      <c r="L589" s="146"/>
      <c r="M589" s="127" t="str">
        <f>IF(B589="","",B589/((Settings!$B$7)/100)^2)</f>
        <v/>
      </c>
      <c r="N589" s="25">
        <f>Settings!$B$6</f>
        <v>100</v>
      </c>
      <c r="O589" s="3" t="e">
        <f t="shared" si="54"/>
        <v>#N/A</v>
      </c>
      <c r="P589" s="3" t="e">
        <f t="shared" si="55"/>
        <v>#N/A</v>
      </c>
      <c r="Q589" s="3" t="e">
        <f t="shared" si="56"/>
        <v>#N/A</v>
      </c>
      <c r="R589" s="131">
        <f t="shared" si="57"/>
        <v>46861</v>
      </c>
      <c r="S589" s="3" t="e">
        <f t="shared" si="58"/>
        <v>#N/A</v>
      </c>
      <c r="T589" s="3" t="e">
        <f t="shared" si="59"/>
        <v>#N/A</v>
      </c>
      <c r="U589" s="3">
        <f>Settings!$B$6</f>
        <v>100</v>
      </c>
    </row>
    <row r="590" spans="1:21" ht="18" customHeight="1" x14ac:dyDescent="0.3">
      <c r="A590" s="124">
        <f>A589+1</f>
        <v>46862</v>
      </c>
      <c r="B590" s="137"/>
      <c r="C590" s="126" t="str" cm="1">
        <f t="array" ref="C590">IF(B590="","",B590-IFERROR(LOOKUP(2,1/($B$6:B589&lt;&gt;""),$B$6:B589),Settings!$B$5))</f>
        <v/>
      </c>
      <c r="D590" s="127" t="str">
        <f>IF(B590="","",AVERAGE(B584:B590))</f>
        <v/>
      </c>
      <c r="E590" s="139"/>
      <c r="F590" s="140"/>
      <c r="G590" s="137"/>
      <c r="H590" s="139"/>
      <c r="I590" s="140"/>
      <c r="J590" s="141"/>
      <c r="K590" s="137"/>
      <c r="L590" s="142"/>
      <c r="M590" s="127" t="str">
        <f>IF(B590="","",B590/((Settings!$B$7)/100)^2)</f>
        <v/>
      </c>
      <c r="N590" s="25">
        <f>Settings!$B$6</f>
        <v>100</v>
      </c>
      <c r="O590" s="3" t="e">
        <f t="shared" si="54"/>
        <v>#N/A</v>
      </c>
      <c r="P590" s="3" t="e">
        <f t="shared" si="55"/>
        <v>#N/A</v>
      </c>
      <c r="Q590" s="3" t="e">
        <f t="shared" si="56"/>
        <v>#N/A</v>
      </c>
      <c r="R590" s="131">
        <f t="shared" si="57"/>
        <v>46862</v>
      </c>
      <c r="S590" s="3" t="e">
        <f t="shared" si="58"/>
        <v>#N/A</v>
      </c>
      <c r="T590" s="3" t="e">
        <f t="shared" si="59"/>
        <v>#N/A</v>
      </c>
      <c r="U590" s="3">
        <f>Settings!$B$6</f>
        <v>100</v>
      </c>
    </row>
    <row r="591" spans="1:21" ht="18" customHeight="1" x14ac:dyDescent="0.3">
      <c r="A591" s="132">
        <f>A590+1</f>
        <v>46863</v>
      </c>
      <c r="B591" s="138"/>
      <c r="C591" s="126" t="str" cm="1">
        <f t="array" ref="C591">IF(B591="","",B591-IFERROR(LOOKUP(2,1/($B$6:B590&lt;&gt;""),$B$6:B590),Settings!$B$5))</f>
        <v/>
      </c>
      <c r="D591" s="127" t="str">
        <f>IF(B591="","",AVERAGE(B585:B591))</f>
        <v/>
      </c>
      <c r="E591" s="143"/>
      <c r="F591" s="144"/>
      <c r="G591" s="138"/>
      <c r="H591" s="143"/>
      <c r="I591" s="144"/>
      <c r="J591" s="145"/>
      <c r="K591" s="138"/>
      <c r="L591" s="146"/>
      <c r="M591" s="127" t="str">
        <f>IF(B591="","",B591/((Settings!$B$7)/100)^2)</f>
        <v/>
      </c>
      <c r="N591" s="25">
        <f>Settings!$B$6</f>
        <v>100</v>
      </c>
      <c r="O591" s="3" t="e">
        <f t="shared" si="54"/>
        <v>#N/A</v>
      </c>
      <c r="P591" s="3" t="e">
        <f t="shared" si="55"/>
        <v>#N/A</v>
      </c>
      <c r="Q591" s="3" t="e">
        <f t="shared" si="56"/>
        <v>#N/A</v>
      </c>
      <c r="R591" s="131">
        <f t="shared" si="57"/>
        <v>46863</v>
      </c>
      <c r="S591" s="3" t="e">
        <f t="shared" si="58"/>
        <v>#N/A</v>
      </c>
      <c r="T591" s="3" t="e">
        <f t="shared" si="59"/>
        <v>#N/A</v>
      </c>
      <c r="U591" s="3">
        <f>Settings!$B$6</f>
        <v>100</v>
      </c>
    </row>
    <row r="592" spans="1:21" ht="18" customHeight="1" x14ac:dyDescent="0.3">
      <c r="A592" s="124">
        <f>A591+1</f>
        <v>46864</v>
      </c>
      <c r="B592" s="137"/>
      <c r="C592" s="126" t="str" cm="1">
        <f t="array" ref="C592">IF(B592="","",B592-IFERROR(LOOKUP(2,1/($B$6:B591&lt;&gt;""),$B$6:B591),Settings!$B$5))</f>
        <v/>
      </c>
      <c r="D592" s="127" t="str">
        <f>IF(B592="","",AVERAGE(B586:B592))</f>
        <v/>
      </c>
      <c r="E592" s="139"/>
      <c r="F592" s="140"/>
      <c r="G592" s="137"/>
      <c r="H592" s="139"/>
      <c r="I592" s="140"/>
      <c r="J592" s="141"/>
      <c r="K592" s="137"/>
      <c r="L592" s="142"/>
      <c r="M592" s="127" t="str">
        <f>IF(B592="","",B592/((Settings!$B$7)/100)^2)</f>
        <v/>
      </c>
      <c r="N592" s="25">
        <f>Settings!$B$6</f>
        <v>100</v>
      </c>
      <c r="O592" s="3" t="e">
        <f t="shared" si="54"/>
        <v>#N/A</v>
      </c>
      <c r="P592" s="3" t="e">
        <f t="shared" si="55"/>
        <v>#N/A</v>
      </c>
      <c r="Q592" s="3" t="e">
        <f t="shared" si="56"/>
        <v>#N/A</v>
      </c>
      <c r="R592" s="131">
        <f t="shared" si="57"/>
        <v>46864</v>
      </c>
      <c r="S592" s="3" t="e">
        <f t="shared" si="58"/>
        <v>#N/A</v>
      </c>
      <c r="T592" s="3" t="e">
        <f t="shared" si="59"/>
        <v>#N/A</v>
      </c>
      <c r="U592" s="3">
        <f>Settings!$B$6</f>
        <v>100</v>
      </c>
    </row>
    <row r="593" spans="1:21" ht="18" customHeight="1" x14ac:dyDescent="0.3">
      <c r="A593" s="132">
        <f>A592+1</f>
        <v>46865</v>
      </c>
      <c r="B593" s="138"/>
      <c r="C593" s="126" t="str" cm="1">
        <f t="array" ref="C593">IF(B593="","",B593-IFERROR(LOOKUP(2,1/($B$6:B592&lt;&gt;""),$B$6:B592),Settings!$B$5))</f>
        <v/>
      </c>
      <c r="D593" s="127" t="str">
        <f>IF(B593="","",AVERAGE(B587:B593))</f>
        <v/>
      </c>
      <c r="E593" s="143"/>
      <c r="F593" s="144"/>
      <c r="G593" s="138"/>
      <c r="H593" s="143"/>
      <c r="I593" s="144"/>
      <c r="J593" s="145"/>
      <c r="K593" s="138"/>
      <c r="L593" s="146"/>
      <c r="M593" s="127" t="str">
        <f>IF(B593="","",B593/((Settings!$B$7)/100)^2)</f>
        <v/>
      </c>
      <c r="N593" s="25">
        <f>Settings!$B$6</f>
        <v>100</v>
      </c>
      <c r="O593" s="3" t="e">
        <f t="shared" si="54"/>
        <v>#N/A</v>
      </c>
      <c r="P593" s="3" t="e">
        <f t="shared" si="55"/>
        <v>#N/A</v>
      </c>
      <c r="Q593" s="3" t="e">
        <f t="shared" si="56"/>
        <v>#N/A</v>
      </c>
      <c r="R593" s="131">
        <f t="shared" si="57"/>
        <v>46865</v>
      </c>
      <c r="S593" s="3" t="e">
        <f t="shared" si="58"/>
        <v>#N/A</v>
      </c>
      <c r="T593" s="3" t="e">
        <f t="shared" si="59"/>
        <v>#N/A</v>
      </c>
      <c r="U593" s="3">
        <f>Settings!$B$6</f>
        <v>100</v>
      </c>
    </row>
    <row r="594" spans="1:21" ht="18" customHeight="1" x14ac:dyDescent="0.3">
      <c r="A594" s="124">
        <f>A593+1</f>
        <v>46866</v>
      </c>
      <c r="B594" s="137"/>
      <c r="C594" s="126" t="str" cm="1">
        <f t="array" ref="C594">IF(B594="","",B594-IFERROR(LOOKUP(2,1/($B$6:B593&lt;&gt;""),$B$6:B593),Settings!$B$5))</f>
        <v/>
      </c>
      <c r="D594" s="127" t="str">
        <f>IF(B594="","",AVERAGE(B588:B594))</f>
        <v/>
      </c>
      <c r="E594" s="139"/>
      <c r="F594" s="140"/>
      <c r="G594" s="137"/>
      <c r="H594" s="139"/>
      <c r="I594" s="140"/>
      <c r="J594" s="141"/>
      <c r="K594" s="137"/>
      <c r="L594" s="142"/>
      <c r="M594" s="127" t="str">
        <f>IF(B594="","",B594/((Settings!$B$7)/100)^2)</f>
        <v/>
      </c>
      <c r="N594" s="25">
        <f>Settings!$B$6</f>
        <v>100</v>
      </c>
      <c r="O594" s="3" t="e">
        <f t="shared" si="54"/>
        <v>#N/A</v>
      </c>
      <c r="P594" s="3" t="e">
        <f t="shared" si="55"/>
        <v>#N/A</v>
      </c>
      <c r="Q594" s="3" t="e">
        <f t="shared" si="56"/>
        <v>#N/A</v>
      </c>
      <c r="R594" s="131">
        <f t="shared" si="57"/>
        <v>46866</v>
      </c>
      <c r="S594" s="3" t="e">
        <f t="shared" si="58"/>
        <v>#N/A</v>
      </c>
      <c r="T594" s="3" t="e">
        <f t="shared" si="59"/>
        <v>#N/A</v>
      </c>
      <c r="U594" s="3">
        <f>Settings!$B$6</f>
        <v>100</v>
      </c>
    </row>
    <row r="595" spans="1:21" ht="18" customHeight="1" x14ac:dyDescent="0.3">
      <c r="A595" s="132">
        <f>A594+1</f>
        <v>46867</v>
      </c>
      <c r="B595" s="138"/>
      <c r="C595" s="126" t="str" cm="1">
        <f t="array" ref="C595">IF(B595="","",B595-IFERROR(LOOKUP(2,1/($B$6:B594&lt;&gt;""),$B$6:B594),Settings!$B$5))</f>
        <v/>
      </c>
      <c r="D595" s="127" t="str">
        <f>IF(B595="","",AVERAGE(B589:B595))</f>
        <v/>
      </c>
      <c r="E595" s="143"/>
      <c r="F595" s="144"/>
      <c r="G595" s="138"/>
      <c r="H595" s="143"/>
      <c r="I595" s="144"/>
      <c r="J595" s="145"/>
      <c r="K595" s="138"/>
      <c r="L595" s="146"/>
      <c r="M595" s="127" t="str">
        <f>IF(B595="","",B595/((Settings!$B$7)/100)^2)</f>
        <v/>
      </c>
      <c r="N595" s="25">
        <f>Settings!$B$6</f>
        <v>100</v>
      </c>
      <c r="O595" s="3" t="e">
        <f t="shared" si="54"/>
        <v>#N/A</v>
      </c>
      <c r="P595" s="3" t="e">
        <f t="shared" si="55"/>
        <v>#N/A</v>
      </c>
      <c r="Q595" s="3" t="e">
        <f t="shared" si="56"/>
        <v>#N/A</v>
      </c>
      <c r="R595" s="131">
        <f t="shared" si="57"/>
        <v>46867</v>
      </c>
      <c r="S595" s="3" t="e">
        <f t="shared" si="58"/>
        <v>#N/A</v>
      </c>
      <c r="T595" s="3" t="e">
        <f t="shared" si="59"/>
        <v>#N/A</v>
      </c>
      <c r="U595" s="3">
        <f>Settings!$B$6</f>
        <v>100</v>
      </c>
    </row>
    <row r="596" spans="1:21" ht="18" customHeight="1" x14ac:dyDescent="0.3">
      <c r="A596" s="124">
        <f>A595+1</f>
        <v>46868</v>
      </c>
      <c r="B596" s="137"/>
      <c r="C596" s="126" t="str" cm="1">
        <f t="array" ref="C596">IF(B596="","",B596-IFERROR(LOOKUP(2,1/($B$6:B595&lt;&gt;""),$B$6:B595),Settings!$B$5))</f>
        <v/>
      </c>
      <c r="D596" s="127" t="str">
        <f>IF(B596="","",AVERAGE(B590:B596))</f>
        <v/>
      </c>
      <c r="E596" s="139"/>
      <c r="F596" s="140"/>
      <c r="G596" s="137"/>
      <c r="H596" s="139"/>
      <c r="I596" s="140"/>
      <c r="J596" s="141"/>
      <c r="K596" s="137"/>
      <c r="L596" s="142"/>
      <c r="M596" s="127" t="str">
        <f>IF(B596="","",B596/((Settings!$B$7)/100)^2)</f>
        <v/>
      </c>
      <c r="N596" s="25">
        <f>Settings!$B$6</f>
        <v>100</v>
      </c>
      <c r="O596" s="3" t="e">
        <f t="shared" si="54"/>
        <v>#N/A</v>
      </c>
      <c r="P596" s="3" t="e">
        <f t="shared" si="55"/>
        <v>#N/A</v>
      </c>
      <c r="Q596" s="3" t="e">
        <f t="shared" si="56"/>
        <v>#N/A</v>
      </c>
      <c r="R596" s="131">
        <f t="shared" si="57"/>
        <v>46868</v>
      </c>
      <c r="S596" s="3" t="e">
        <f t="shared" si="58"/>
        <v>#N/A</v>
      </c>
      <c r="T596" s="3" t="e">
        <f t="shared" si="59"/>
        <v>#N/A</v>
      </c>
      <c r="U596" s="3">
        <f>Settings!$B$6</f>
        <v>100</v>
      </c>
    </row>
    <row r="597" spans="1:21" ht="18" customHeight="1" x14ac:dyDescent="0.3">
      <c r="A597" s="132">
        <f>A596+1</f>
        <v>46869</v>
      </c>
      <c r="B597" s="138"/>
      <c r="C597" s="126" t="str" cm="1">
        <f t="array" ref="C597">IF(B597="","",B597-IFERROR(LOOKUP(2,1/($B$6:B596&lt;&gt;""),$B$6:B596),Settings!$B$5))</f>
        <v/>
      </c>
      <c r="D597" s="127" t="str">
        <f>IF(B597="","",AVERAGE(B591:B597))</f>
        <v/>
      </c>
      <c r="E597" s="143"/>
      <c r="F597" s="144"/>
      <c r="G597" s="138"/>
      <c r="H597" s="143"/>
      <c r="I597" s="144"/>
      <c r="J597" s="145"/>
      <c r="K597" s="138"/>
      <c r="L597" s="146"/>
      <c r="M597" s="127" t="str">
        <f>IF(B597="","",B597/((Settings!$B$7)/100)^2)</f>
        <v/>
      </c>
      <c r="N597" s="25">
        <f>Settings!$B$6</f>
        <v>100</v>
      </c>
      <c r="O597" s="3" t="e">
        <f t="shared" si="54"/>
        <v>#N/A</v>
      </c>
      <c r="P597" s="3" t="e">
        <f t="shared" si="55"/>
        <v>#N/A</v>
      </c>
      <c r="Q597" s="3" t="e">
        <f t="shared" si="56"/>
        <v>#N/A</v>
      </c>
      <c r="R597" s="131">
        <f t="shared" si="57"/>
        <v>46869</v>
      </c>
      <c r="S597" s="3" t="e">
        <f t="shared" si="58"/>
        <v>#N/A</v>
      </c>
      <c r="T597" s="3" t="e">
        <f t="shared" si="59"/>
        <v>#N/A</v>
      </c>
      <c r="U597" s="3">
        <f>Settings!$B$6</f>
        <v>100</v>
      </c>
    </row>
    <row r="598" spans="1:21" ht="18" customHeight="1" x14ac:dyDescent="0.3">
      <c r="A598" s="124">
        <f>A597+1</f>
        <v>46870</v>
      </c>
      <c r="B598" s="137"/>
      <c r="C598" s="126" t="str" cm="1">
        <f t="array" ref="C598">IF(B598="","",B598-IFERROR(LOOKUP(2,1/($B$6:B597&lt;&gt;""),$B$6:B597),Settings!$B$5))</f>
        <v/>
      </c>
      <c r="D598" s="127" t="str">
        <f>IF(B598="","",AVERAGE(B592:B598))</f>
        <v/>
      </c>
      <c r="E598" s="139"/>
      <c r="F598" s="140"/>
      <c r="G598" s="137"/>
      <c r="H598" s="139"/>
      <c r="I598" s="140"/>
      <c r="J598" s="141"/>
      <c r="K598" s="137"/>
      <c r="L598" s="142"/>
      <c r="M598" s="127" t="str">
        <f>IF(B598="","",B598/((Settings!$B$7)/100)^2)</f>
        <v/>
      </c>
      <c r="N598" s="25">
        <f>Settings!$B$6</f>
        <v>100</v>
      </c>
      <c r="O598" s="3" t="e">
        <f t="shared" si="54"/>
        <v>#N/A</v>
      </c>
      <c r="P598" s="3" t="e">
        <f t="shared" si="55"/>
        <v>#N/A</v>
      </c>
      <c r="Q598" s="3" t="e">
        <f t="shared" si="56"/>
        <v>#N/A</v>
      </c>
      <c r="R598" s="131">
        <f t="shared" si="57"/>
        <v>46870</v>
      </c>
      <c r="S598" s="3" t="e">
        <f t="shared" si="58"/>
        <v>#N/A</v>
      </c>
      <c r="T598" s="3" t="e">
        <f t="shared" si="59"/>
        <v>#N/A</v>
      </c>
      <c r="U598" s="3">
        <f>Settings!$B$6</f>
        <v>100</v>
      </c>
    </row>
    <row r="599" spans="1:21" ht="18" customHeight="1" x14ac:dyDescent="0.3">
      <c r="A599" s="132">
        <f>A598+1</f>
        <v>46871</v>
      </c>
      <c r="B599" s="138"/>
      <c r="C599" s="126" t="str" cm="1">
        <f t="array" ref="C599">IF(B599="","",B599-IFERROR(LOOKUP(2,1/($B$6:B598&lt;&gt;""),$B$6:B598),Settings!$B$5))</f>
        <v/>
      </c>
      <c r="D599" s="127" t="str">
        <f>IF(B599="","",AVERAGE(B593:B599))</f>
        <v/>
      </c>
      <c r="E599" s="143"/>
      <c r="F599" s="144"/>
      <c r="G599" s="138"/>
      <c r="H599" s="143"/>
      <c r="I599" s="144"/>
      <c r="J599" s="145"/>
      <c r="K599" s="138"/>
      <c r="L599" s="146"/>
      <c r="M599" s="127" t="str">
        <f>IF(B599="","",B599/((Settings!$B$7)/100)^2)</f>
        <v/>
      </c>
      <c r="N599" s="25">
        <f>Settings!$B$6</f>
        <v>100</v>
      </c>
      <c r="O599" s="3" t="e">
        <f t="shared" si="54"/>
        <v>#N/A</v>
      </c>
      <c r="P599" s="3" t="e">
        <f t="shared" si="55"/>
        <v>#N/A</v>
      </c>
      <c r="Q599" s="3" t="e">
        <f t="shared" si="56"/>
        <v>#N/A</v>
      </c>
      <c r="R599" s="131">
        <f t="shared" si="57"/>
        <v>46871</v>
      </c>
      <c r="S599" s="3" t="e">
        <f t="shared" si="58"/>
        <v>#N/A</v>
      </c>
      <c r="T599" s="3" t="e">
        <f t="shared" si="59"/>
        <v>#N/A</v>
      </c>
      <c r="U599" s="3">
        <f>Settings!$B$6</f>
        <v>100</v>
      </c>
    </row>
    <row r="600" spans="1:21" ht="18" customHeight="1" x14ac:dyDescent="0.3">
      <c r="A600" s="124">
        <f>A599+1</f>
        <v>46872</v>
      </c>
      <c r="B600" s="137"/>
      <c r="C600" s="126" t="str" cm="1">
        <f t="array" ref="C600">IF(B600="","",B600-IFERROR(LOOKUP(2,1/($B$6:B599&lt;&gt;""),$B$6:B599),Settings!$B$5))</f>
        <v/>
      </c>
      <c r="D600" s="127" t="str">
        <f>IF(B600="","",AVERAGE(B594:B600))</f>
        <v/>
      </c>
      <c r="E600" s="139"/>
      <c r="F600" s="140"/>
      <c r="G600" s="137"/>
      <c r="H600" s="139"/>
      <c r="I600" s="140"/>
      <c r="J600" s="141"/>
      <c r="K600" s="137"/>
      <c r="L600" s="142"/>
      <c r="M600" s="127" t="str">
        <f>IF(B600="","",B600/((Settings!$B$7)/100)^2)</f>
        <v/>
      </c>
      <c r="N600" s="25">
        <f>Settings!$B$6</f>
        <v>100</v>
      </c>
      <c r="O600" s="3" t="e">
        <f t="shared" si="54"/>
        <v>#N/A</v>
      </c>
      <c r="P600" s="3" t="e">
        <f t="shared" si="55"/>
        <v>#N/A</v>
      </c>
      <c r="Q600" s="3" t="e">
        <f t="shared" si="56"/>
        <v>#N/A</v>
      </c>
      <c r="R600" s="131">
        <f t="shared" si="57"/>
        <v>46872</v>
      </c>
      <c r="S600" s="3" t="e">
        <f t="shared" si="58"/>
        <v>#N/A</v>
      </c>
      <c r="T600" s="3" t="e">
        <f t="shared" si="59"/>
        <v>#N/A</v>
      </c>
      <c r="U600" s="3">
        <f>Settings!$B$6</f>
        <v>100</v>
      </c>
    </row>
    <row r="601" spans="1:21" ht="18" customHeight="1" x14ac:dyDescent="0.3">
      <c r="A601" s="132">
        <f>A600+1</f>
        <v>46873</v>
      </c>
      <c r="B601" s="138"/>
      <c r="C601" s="126" t="str" cm="1">
        <f t="array" ref="C601">IF(B601="","",B601-IFERROR(LOOKUP(2,1/($B$6:B600&lt;&gt;""),$B$6:B600),Settings!$B$5))</f>
        <v/>
      </c>
      <c r="D601" s="127" t="str">
        <f>IF(B601="","",AVERAGE(B595:B601))</f>
        <v/>
      </c>
      <c r="E601" s="143"/>
      <c r="F601" s="144"/>
      <c r="G601" s="138"/>
      <c r="H601" s="143"/>
      <c r="I601" s="144"/>
      <c r="J601" s="145"/>
      <c r="K601" s="138"/>
      <c r="L601" s="146"/>
      <c r="M601" s="127" t="str">
        <f>IF(B601="","",B601/((Settings!$B$7)/100)^2)</f>
        <v/>
      </c>
      <c r="N601" s="25">
        <f>Settings!$B$6</f>
        <v>100</v>
      </c>
      <c r="O601" s="3" t="e">
        <f t="shared" si="54"/>
        <v>#N/A</v>
      </c>
      <c r="P601" s="3" t="e">
        <f t="shared" si="55"/>
        <v>#N/A</v>
      </c>
      <c r="Q601" s="3" t="e">
        <f t="shared" si="56"/>
        <v>#N/A</v>
      </c>
      <c r="R601" s="131">
        <f t="shared" si="57"/>
        <v>46873</v>
      </c>
      <c r="S601" s="3" t="e">
        <f t="shared" si="58"/>
        <v>#N/A</v>
      </c>
      <c r="T601" s="3" t="e">
        <f t="shared" si="59"/>
        <v>#N/A</v>
      </c>
      <c r="U601" s="3">
        <f>Settings!$B$6</f>
        <v>100</v>
      </c>
    </row>
    <row r="602" spans="1:21" ht="18" customHeight="1" x14ac:dyDescent="0.3">
      <c r="A602" s="124">
        <f>A601+1</f>
        <v>46874</v>
      </c>
      <c r="B602" s="137"/>
      <c r="C602" s="126" t="str" cm="1">
        <f t="array" ref="C602">IF(B602="","",B602-IFERROR(LOOKUP(2,1/($B$6:B601&lt;&gt;""),$B$6:B601),Settings!$B$5))</f>
        <v/>
      </c>
      <c r="D602" s="127" t="str">
        <f>IF(B602="","",AVERAGE(B596:B602))</f>
        <v/>
      </c>
      <c r="E602" s="139"/>
      <c r="F602" s="140"/>
      <c r="G602" s="137"/>
      <c r="H602" s="139"/>
      <c r="I602" s="140"/>
      <c r="J602" s="141"/>
      <c r="K602" s="137"/>
      <c r="L602" s="142"/>
      <c r="M602" s="127" t="str">
        <f>IF(B602="","",B602/((Settings!$B$7)/100)^2)</f>
        <v/>
      </c>
      <c r="N602" s="25">
        <f>Settings!$B$6</f>
        <v>100</v>
      </c>
      <c r="O602" s="3" t="e">
        <f t="shared" si="54"/>
        <v>#N/A</v>
      </c>
      <c r="P602" s="3" t="e">
        <f t="shared" si="55"/>
        <v>#N/A</v>
      </c>
      <c r="Q602" s="3" t="e">
        <f t="shared" si="56"/>
        <v>#N/A</v>
      </c>
      <c r="R602" s="131">
        <f t="shared" si="57"/>
        <v>46874</v>
      </c>
      <c r="S602" s="3" t="e">
        <f t="shared" si="58"/>
        <v>#N/A</v>
      </c>
      <c r="T602" s="3" t="e">
        <f t="shared" si="59"/>
        <v>#N/A</v>
      </c>
      <c r="U602" s="3">
        <f>Settings!$B$6</f>
        <v>100</v>
      </c>
    </row>
    <row r="603" spans="1:21" ht="18" customHeight="1" x14ac:dyDescent="0.3">
      <c r="A603" s="132">
        <f>A602+1</f>
        <v>46875</v>
      </c>
      <c r="B603" s="138"/>
      <c r="C603" s="126" t="str" cm="1">
        <f t="array" ref="C603">IF(B603="","",B603-IFERROR(LOOKUP(2,1/($B$6:B602&lt;&gt;""),$B$6:B602),Settings!$B$5))</f>
        <v/>
      </c>
      <c r="D603" s="127" t="str">
        <f>IF(B603="","",AVERAGE(B597:B603))</f>
        <v/>
      </c>
      <c r="E603" s="143"/>
      <c r="F603" s="144"/>
      <c r="G603" s="138"/>
      <c r="H603" s="143"/>
      <c r="I603" s="144"/>
      <c r="J603" s="145"/>
      <c r="K603" s="138"/>
      <c r="L603" s="146"/>
      <c r="M603" s="127" t="str">
        <f>IF(B603="","",B603/((Settings!$B$7)/100)^2)</f>
        <v/>
      </c>
      <c r="N603" s="25">
        <f>Settings!$B$6</f>
        <v>100</v>
      </c>
      <c r="O603" s="3" t="e">
        <f t="shared" si="54"/>
        <v>#N/A</v>
      </c>
      <c r="P603" s="3" t="e">
        <f t="shared" si="55"/>
        <v>#N/A</v>
      </c>
      <c r="Q603" s="3" t="e">
        <f t="shared" si="56"/>
        <v>#N/A</v>
      </c>
      <c r="R603" s="131">
        <f t="shared" si="57"/>
        <v>46875</v>
      </c>
      <c r="S603" s="3" t="e">
        <f t="shared" si="58"/>
        <v>#N/A</v>
      </c>
      <c r="T603" s="3" t="e">
        <f t="shared" si="59"/>
        <v>#N/A</v>
      </c>
      <c r="U603" s="3">
        <f>Settings!$B$6</f>
        <v>100</v>
      </c>
    </row>
    <row r="604" spans="1:21" ht="18" customHeight="1" x14ac:dyDescent="0.3">
      <c r="A604" s="124">
        <f>A603+1</f>
        <v>46876</v>
      </c>
      <c r="B604" s="137"/>
      <c r="C604" s="126" t="str" cm="1">
        <f t="array" ref="C604">IF(B604="","",B604-IFERROR(LOOKUP(2,1/($B$6:B603&lt;&gt;""),$B$6:B603),Settings!$B$5))</f>
        <v/>
      </c>
      <c r="D604" s="127" t="str">
        <f>IF(B604="","",AVERAGE(B598:B604))</f>
        <v/>
      </c>
      <c r="E604" s="139"/>
      <c r="F604" s="140"/>
      <c r="G604" s="137"/>
      <c r="H604" s="139"/>
      <c r="I604" s="140"/>
      <c r="J604" s="141"/>
      <c r="K604" s="137"/>
      <c r="L604" s="142"/>
      <c r="M604" s="127" t="str">
        <f>IF(B604="","",B604/((Settings!$B$7)/100)^2)</f>
        <v/>
      </c>
      <c r="N604" s="25">
        <f>Settings!$B$6</f>
        <v>100</v>
      </c>
      <c r="O604" s="3" t="e">
        <f t="shared" si="54"/>
        <v>#N/A</v>
      </c>
      <c r="P604" s="3" t="e">
        <f t="shared" si="55"/>
        <v>#N/A</v>
      </c>
      <c r="Q604" s="3" t="e">
        <f t="shared" si="56"/>
        <v>#N/A</v>
      </c>
      <c r="R604" s="131">
        <f t="shared" si="57"/>
        <v>46876</v>
      </c>
      <c r="S604" s="3" t="e">
        <f t="shared" si="58"/>
        <v>#N/A</v>
      </c>
      <c r="T604" s="3" t="e">
        <f t="shared" si="59"/>
        <v>#N/A</v>
      </c>
      <c r="U604" s="3">
        <f>Settings!$B$6</f>
        <v>100</v>
      </c>
    </row>
    <row r="605" spans="1:21" ht="18" customHeight="1" x14ac:dyDescent="0.3">
      <c r="A605" s="132">
        <f>A604+1</f>
        <v>46877</v>
      </c>
      <c r="B605" s="138"/>
      <c r="C605" s="126" t="str" cm="1">
        <f t="array" ref="C605">IF(B605="","",B605-IFERROR(LOOKUP(2,1/($B$6:B604&lt;&gt;""),$B$6:B604),Settings!$B$5))</f>
        <v/>
      </c>
      <c r="D605" s="127" t="str">
        <f>IF(B605="","",AVERAGE(B599:B605))</f>
        <v/>
      </c>
      <c r="E605" s="143"/>
      <c r="F605" s="144"/>
      <c r="G605" s="138"/>
      <c r="H605" s="143"/>
      <c r="I605" s="144"/>
      <c r="J605" s="145"/>
      <c r="K605" s="138"/>
      <c r="L605" s="146"/>
      <c r="M605" s="127" t="str">
        <f>IF(B605="","",B605/((Settings!$B$7)/100)^2)</f>
        <v/>
      </c>
      <c r="N605" s="25">
        <f>Settings!$B$6</f>
        <v>100</v>
      </c>
      <c r="O605" s="3" t="e">
        <f t="shared" si="54"/>
        <v>#N/A</v>
      </c>
      <c r="P605" s="3" t="e">
        <f t="shared" si="55"/>
        <v>#N/A</v>
      </c>
      <c r="Q605" s="3" t="e">
        <f t="shared" si="56"/>
        <v>#N/A</v>
      </c>
      <c r="R605" s="131">
        <f t="shared" si="57"/>
        <v>46877</v>
      </c>
      <c r="S605" s="3" t="e">
        <f t="shared" si="58"/>
        <v>#N/A</v>
      </c>
      <c r="T605" s="3" t="e">
        <f t="shared" si="59"/>
        <v>#N/A</v>
      </c>
      <c r="U605" s="3">
        <f>Settings!$B$6</f>
        <v>100</v>
      </c>
    </row>
    <row r="606" spans="1:21" ht="18" customHeight="1" x14ac:dyDescent="0.3">
      <c r="A606" s="124">
        <f>A605+1</f>
        <v>46878</v>
      </c>
      <c r="B606" s="137"/>
      <c r="C606" s="126" t="str" cm="1">
        <f t="array" ref="C606">IF(B606="","",B606-IFERROR(LOOKUP(2,1/($B$6:B605&lt;&gt;""),$B$6:B605),Settings!$B$5))</f>
        <v/>
      </c>
      <c r="D606" s="127" t="str">
        <f>IF(B606="","",AVERAGE(B600:B606))</f>
        <v/>
      </c>
      <c r="E606" s="139"/>
      <c r="F606" s="140"/>
      <c r="G606" s="137"/>
      <c r="H606" s="139"/>
      <c r="I606" s="140"/>
      <c r="J606" s="141"/>
      <c r="K606" s="137"/>
      <c r="L606" s="142"/>
      <c r="M606" s="127" t="str">
        <f>IF(B606="","",B606/((Settings!$B$7)/100)^2)</f>
        <v/>
      </c>
      <c r="N606" s="25">
        <f>Settings!$B$6</f>
        <v>100</v>
      </c>
      <c r="O606" s="3" t="e">
        <f t="shared" si="54"/>
        <v>#N/A</v>
      </c>
      <c r="P606" s="3" t="e">
        <f t="shared" si="55"/>
        <v>#N/A</v>
      </c>
      <c r="Q606" s="3" t="e">
        <f t="shared" si="56"/>
        <v>#N/A</v>
      </c>
      <c r="R606" s="131">
        <f t="shared" si="57"/>
        <v>46878</v>
      </c>
      <c r="S606" s="3" t="e">
        <f t="shared" si="58"/>
        <v>#N/A</v>
      </c>
      <c r="T606" s="3" t="e">
        <f t="shared" si="59"/>
        <v>#N/A</v>
      </c>
      <c r="U606" s="3">
        <f>Settings!$B$6</f>
        <v>100</v>
      </c>
    </row>
    <row r="607" spans="1:21" ht="18" customHeight="1" x14ac:dyDescent="0.3">
      <c r="A607" s="132">
        <f>A606+1</f>
        <v>46879</v>
      </c>
      <c r="B607" s="138"/>
      <c r="C607" s="126" t="str" cm="1">
        <f t="array" ref="C607">IF(B607="","",B607-IFERROR(LOOKUP(2,1/($B$6:B606&lt;&gt;""),$B$6:B606),Settings!$B$5))</f>
        <v/>
      </c>
      <c r="D607" s="127" t="str">
        <f>IF(B607="","",AVERAGE(B601:B607))</f>
        <v/>
      </c>
      <c r="E607" s="143"/>
      <c r="F607" s="144"/>
      <c r="G607" s="138"/>
      <c r="H607" s="143"/>
      <c r="I607" s="144"/>
      <c r="J607" s="145"/>
      <c r="K607" s="138"/>
      <c r="L607" s="146"/>
      <c r="M607" s="127" t="str">
        <f>IF(B607="","",B607/((Settings!$B$7)/100)^2)</f>
        <v/>
      </c>
      <c r="N607" s="25">
        <f>Settings!$B$6</f>
        <v>100</v>
      </c>
      <c r="O607" s="3" t="e">
        <f t="shared" si="54"/>
        <v>#N/A</v>
      </c>
      <c r="P607" s="3" t="e">
        <f t="shared" si="55"/>
        <v>#N/A</v>
      </c>
      <c r="Q607" s="3" t="e">
        <f t="shared" si="56"/>
        <v>#N/A</v>
      </c>
      <c r="R607" s="131">
        <f t="shared" si="57"/>
        <v>46879</v>
      </c>
      <c r="S607" s="3" t="e">
        <f t="shared" si="58"/>
        <v>#N/A</v>
      </c>
      <c r="T607" s="3" t="e">
        <f t="shared" si="59"/>
        <v>#N/A</v>
      </c>
      <c r="U607" s="3">
        <f>Settings!$B$6</f>
        <v>100</v>
      </c>
    </row>
    <row r="608" spans="1:21" ht="18" customHeight="1" x14ac:dyDescent="0.3">
      <c r="A608" s="124">
        <f>A607+1</f>
        <v>46880</v>
      </c>
      <c r="B608" s="137"/>
      <c r="C608" s="126" t="str" cm="1">
        <f t="array" ref="C608">IF(B608="","",B608-IFERROR(LOOKUP(2,1/($B$6:B607&lt;&gt;""),$B$6:B607),Settings!$B$5))</f>
        <v/>
      </c>
      <c r="D608" s="127" t="str">
        <f>IF(B608="","",AVERAGE(B602:B608))</f>
        <v/>
      </c>
      <c r="E608" s="139"/>
      <c r="F608" s="140"/>
      <c r="G608" s="137"/>
      <c r="H608" s="139"/>
      <c r="I608" s="140"/>
      <c r="J608" s="141"/>
      <c r="K608" s="137"/>
      <c r="L608" s="142"/>
      <c r="M608" s="127" t="str">
        <f>IF(B608="","",B608/((Settings!$B$7)/100)^2)</f>
        <v/>
      </c>
      <c r="N608" s="25">
        <f>Settings!$B$6</f>
        <v>100</v>
      </c>
      <c r="O608" s="3" t="e">
        <f t="shared" si="54"/>
        <v>#N/A</v>
      </c>
      <c r="P608" s="3" t="e">
        <f t="shared" si="55"/>
        <v>#N/A</v>
      </c>
      <c r="Q608" s="3" t="e">
        <f t="shared" si="56"/>
        <v>#N/A</v>
      </c>
      <c r="R608" s="131">
        <f t="shared" si="57"/>
        <v>46880</v>
      </c>
      <c r="S608" s="3" t="e">
        <f t="shared" si="58"/>
        <v>#N/A</v>
      </c>
      <c r="T608" s="3" t="e">
        <f t="shared" si="59"/>
        <v>#N/A</v>
      </c>
      <c r="U608" s="3">
        <f>Settings!$B$6</f>
        <v>100</v>
      </c>
    </row>
    <row r="609" spans="1:21" ht="18" customHeight="1" x14ac:dyDescent="0.3">
      <c r="A609" s="132">
        <f>A608+1</f>
        <v>46881</v>
      </c>
      <c r="B609" s="138"/>
      <c r="C609" s="126" t="str" cm="1">
        <f t="array" ref="C609">IF(B609="","",B609-IFERROR(LOOKUP(2,1/($B$6:B608&lt;&gt;""),$B$6:B608),Settings!$B$5))</f>
        <v/>
      </c>
      <c r="D609" s="127" t="str">
        <f>IF(B609="","",AVERAGE(B603:B609))</f>
        <v/>
      </c>
      <c r="E609" s="143"/>
      <c r="F609" s="144"/>
      <c r="G609" s="138"/>
      <c r="H609" s="143"/>
      <c r="I609" s="144"/>
      <c r="J609" s="145"/>
      <c r="K609" s="138"/>
      <c r="L609" s="146"/>
      <c r="M609" s="127" t="str">
        <f>IF(B609="","",B609/((Settings!$B$7)/100)^2)</f>
        <v/>
      </c>
      <c r="N609" s="25">
        <f>Settings!$B$6</f>
        <v>100</v>
      </c>
      <c r="O609" s="3" t="e">
        <f t="shared" si="54"/>
        <v>#N/A</v>
      </c>
      <c r="P609" s="3" t="e">
        <f t="shared" si="55"/>
        <v>#N/A</v>
      </c>
      <c r="Q609" s="3" t="e">
        <f t="shared" si="56"/>
        <v>#N/A</v>
      </c>
      <c r="R609" s="131">
        <f t="shared" si="57"/>
        <v>46881</v>
      </c>
      <c r="S609" s="3" t="e">
        <f t="shared" si="58"/>
        <v>#N/A</v>
      </c>
      <c r="T609" s="3" t="e">
        <f t="shared" si="59"/>
        <v>#N/A</v>
      </c>
      <c r="U609" s="3">
        <f>Settings!$B$6</f>
        <v>100</v>
      </c>
    </row>
    <row r="610" spans="1:21" ht="18" customHeight="1" x14ac:dyDescent="0.3">
      <c r="A610" s="124">
        <f>A609+1</f>
        <v>46882</v>
      </c>
      <c r="B610" s="137"/>
      <c r="C610" s="126" t="str" cm="1">
        <f t="array" ref="C610">IF(B610="","",B610-IFERROR(LOOKUP(2,1/($B$6:B609&lt;&gt;""),$B$6:B609),Settings!$B$5))</f>
        <v/>
      </c>
      <c r="D610" s="127" t="str">
        <f>IF(B610="","",AVERAGE(B604:B610))</f>
        <v/>
      </c>
      <c r="E610" s="139"/>
      <c r="F610" s="140"/>
      <c r="G610" s="137"/>
      <c r="H610" s="139"/>
      <c r="I610" s="140"/>
      <c r="J610" s="141"/>
      <c r="K610" s="137"/>
      <c r="L610" s="142"/>
      <c r="M610" s="127" t="str">
        <f>IF(B610="","",B610/((Settings!$B$7)/100)^2)</f>
        <v/>
      </c>
      <c r="N610" s="25">
        <f>Settings!$B$6</f>
        <v>100</v>
      </c>
      <c r="O610" s="3" t="e">
        <f t="shared" si="54"/>
        <v>#N/A</v>
      </c>
      <c r="P610" s="3" t="e">
        <f t="shared" si="55"/>
        <v>#N/A</v>
      </c>
      <c r="Q610" s="3" t="e">
        <f t="shared" si="56"/>
        <v>#N/A</v>
      </c>
      <c r="R610" s="131">
        <f t="shared" si="57"/>
        <v>46882</v>
      </c>
      <c r="S610" s="3" t="e">
        <f t="shared" si="58"/>
        <v>#N/A</v>
      </c>
      <c r="T610" s="3" t="e">
        <f t="shared" si="59"/>
        <v>#N/A</v>
      </c>
      <c r="U610" s="3">
        <f>Settings!$B$6</f>
        <v>100</v>
      </c>
    </row>
    <row r="611" spans="1:21" ht="18" customHeight="1" x14ac:dyDescent="0.3">
      <c r="A611" s="132">
        <f>A610+1</f>
        <v>46883</v>
      </c>
      <c r="B611" s="138"/>
      <c r="C611" s="126" t="str" cm="1">
        <f t="array" ref="C611">IF(B611="","",B611-IFERROR(LOOKUP(2,1/($B$6:B610&lt;&gt;""),$B$6:B610),Settings!$B$5))</f>
        <v/>
      </c>
      <c r="D611" s="127" t="str">
        <f>IF(B611="","",AVERAGE(B605:B611))</f>
        <v/>
      </c>
      <c r="E611" s="143"/>
      <c r="F611" s="144"/>
      <c r="G611" s="138"/>
      <c r="H611" s="143"/>
      <c r="I611" s="144"/>
      <c r="J611" s="145"/>
      <c r="K611" s="138"/>
      <c r="L611" s="146"/>
      <c r="M611" s="127" t="str">
        <f>IF(B611="","",B611/((Settings!$B$7)/100)^2)</f>
        <v/>
      </c>
      <c r="N611" s="25">
        <f>Settings!$B$6</f>
        <v>100</v>
      </c>
      <c r="O611" s="3" t="e">
        <f t="shared" si="54"/>
        <v>#N/A</v>
      </c>
      <c r="P611" s="3" t="e">
        <f t="shared" si="55"/>
        <v>#N/A</v>
      </c>
      <c r="Q611" s="3" t="e">
        <f t="shared" si="56"/>
        <v>#N/A</v>
      </c>
      <c r="R611" s="131">
        <f t="shared" si="57"/>
        <v>46883</v>
      </c>
      <c r="S611" s="3" t="e">
        <f t="shared" si="58"/>
        <v>#N/A</v>
      </c>
      <c r="T611" s="3" t="e">
        <f t="shared" si="59"/>
        <v>#N/A</v>
      </c>
      <c r="U611" s="3">
        <f>Settings!$B$6</f>
        <v>100</v>
      </c>
    </row>
    <row r="612" spans="1:21" ht="18" customHeight="1" x14ac:dyDescent="0.3">
      <c r="A612" s="124">
        <f>A611+1</f>
        <v>46884</v>
      </c>
      <c r="B612" s="137"/>
      <c r="C612" s="126" t="str" cm="1">
        <f t="array" ref="C612">IF(B612="","",B612-IFERROR(LOOKUP(2,1/($B$6:B611&lt;&gt;""),$B$6:B611),Settings!$B$5))</f>
        <v/>
      </c>
      <c r="D612" s="127" t="str">
        <f>IF(B612="","",AVERAGE(B606:B612))</f>
        <v/>
      </c>
      <c r="E612" s="139"/>
      <c r="F612" s="140"/>
      <c r="G612" s="137"/>
      <c r="H612" s="139"/>
      <c r="I612" s="140"/>
      <c r="J612" s="141"/>
      <c r="K612" s="137"/>
      <c r="L612" s="142"/>
      <c r="M612" s="127" t="str">
        <f>IF(B612="","",B612/((Settings!$B$7)/100)^2)</f>
        <v/>
      </c>
      <c r="N612" s="25">
        <f>Settings!$B$6</f>
        <v>100</v>
      </c>
      <c r="O612" s="3" t="e">
        <f t="shared" si="54"/>
        <v>#N/A</v>
      </c>
      <c r="P612" s="3" t="e">
        <f t="shared" si="55"/>
        <v>#N/A</v>
      </c>
      <c r="Q612" s="3" t="e">
        <f t="shared" si="56"/>
        <v>#N/A</v>
      </c>
      <c r="R612" s="131">
        <f t="shared" si="57"/>
        <v>46884</v>
      </c>
      <c r="S612" s="3" t="e">
        <f t="shared" si="58"/>
        <v>#N/A</v>
      </c>
      <c r="T612" s="3" t="e">
        <f t="shared" si="59"/>
        <v>#N/A</v>
      </c>
      <c r="U612" s="3">
        <f>Settings!$B$6</f>
        <v>100</v>
      </c>
    </row>
    <row r="613" spans="1:21" ht="18" customHeight="1" x14ac:dyDescent="0.3">
      <c r="A613" s="132">
        <f>A612+1</f>
        <v>46885</v>
      </c>
      <c r="B613" s="138"/>
      <c r="C613" s="126" t="str" cm="1">
        <f t="array" ref="C613">IF(B613="","",B613-IFERROR(LOOKUP(2,1/($B$6:B612&lt;&gt;""),$B$6:B612),Settings!$B$5))</f>
        <v/>
      </c>
      <c r="D613" s="127" t="str">
        <f>IF(B613="","",AVERAGE(B607:B613))</f>
        <v/>
      </c>
      <c r="E613" s="143"/>
      <c r="F613" s="144"/>
      <c r="G613" s="138"/>
      <c r="H613" s="143"/>
      <c r="I613" s="144"/>
      <c r="J613" s="145"/>
      <c r="K613" s="138"/>
      <c r="L613" s="146"/>
      <c r="M613" s="127" t="str">
        <f>IF(B613="","",B613/((Settings!$B$7)/100)^2)</f>
        <v/>
      </c>
      <c r="N613" s="25">
        <f>Settings!$B$6</f>
        <v>100</v>
      </c>
      <c r="O613" s="3" t="e">
        <f t="shared" si="54"/>
        <v>#N/A</v>
      </c>
      <c r="P613" s="3" t="e">
        <f t="shared" si="55"/>
        <v>#N/A</v>
      </c>
      <c r="Q613" s="3" t="e">
        <f t="shared" si="56"/>
        <v>#N/A</v>
      </c>
      <c r="R613" s="131">
        <f t="shared" si="57"/>
        <v>46885</v>
      </c>
      <c r="S613" s="3" t="e">
        <f t="shared" si="58"/>
        <v>#N/A</v>
      </c>
      <c r="T613" s="3" t="e">
        <f t="shared" si="59"/>
        <v>#N/A</v>
      </c>
      <c r="U613" s="3">
        <f>Settings!$B$6</f>
        <v>100</v>
      </c>
    </row>
    <row r="614" spans="1:21" ht="18" customHeight="1" x14ac:dyDescent="0.3">
      <c r="A614" s="124">
        <f>A613+1</f>
        <v>46886</v>
      </c>
      <c r="B614" s="137"/>
      <c r="C614" s="126" t="str" cm="1">
        <f t="array" ref="C614">IF(B614="","",B614-IFERROR(LOOKUP(2,1/($B$6:B613&lt;&gt;""),$B$6:B613),Settings!$B$5))</f>
        <v/>
      </c>
      <c r="D614" s="127" t="str">
        <f>IF(B614="","",AVERAGE(B608:B614))</f>
        <v/>
      </c>
      <c r="E614" s="139"/>
      <c r="F614" s="140"/>
      <c r="G614" s="137"/>
      <c r="H614" s="139"/>
      <c r="I614" s="140"/>
      <c r="J614" s="141"/>
      <c r="K614" s="137"/>
      <c r="L614" s="142"/>
      <c r="M614" s="127" t="str">
        <f>IF(B614="","",B614/((Settings!$B$7)/100)^2)</f>
        <v/>
      </c>
      <c r="N614" s="25">
        <f>Settings!$B$6</f>
        <v>100</v>
      </c>
      <c r="O614" s="3" t="e">
        <f t="shared" si="54"/>
        <v>#N/A</v>
      </c>
      <c r="P614" s="3" t="e">
        <f t="shared" si="55"/>
        <v>#N/A</v>
      </c>
      <c r="Q614" s="3" t="e">
        <f t="shared" si="56"/>
        <v>#N/A</v>
      </c>
      <c r="R614" s="131">
        <f t="shared" si="57"/>
        <v>46886</v>
      </c>
      <c r="S614" s="3" t="e">
        <f t="shared" si="58"/>
        <v>#N/A</v>
      </c>
      <c r="T614" s="3" t="e">
        <f t="shared" si="59"/>
        <v>#N/A</v>
      </c>
      <c r="U614" s="3">
        <f>Settings!$B$6</f>
        <v>100</v>
      </c>
    </row>
    <row r="615" spans="1:21" ht="18" customHeight="1" x14ac:dyDescent="0.3">
      <c r="A615" s="132">
        <f>A614+1</f>
        <v>46887</v>
      </c>
      <c r="B615" s="138"/>
      <c r="C615" s="126" t="str" cm="1">
        <f t="array" ref="C615">IF(B615="","",B615-IFERROR(LOOKUP(2,1/($B$6:B614&lt;&gt;""),$B$6:B614),Settings!$B$5))</f>
        <v/>
      </c>
      <c r="D615" s="127" t="str">
        <f>IF(B615="","",AVERAGE(B609:B615))</f>
        <v/>
      </c>
      <c r="E615" s="143"/>
      <c r="F615" s="144"/>
      <c r="G615" s="138"/>
      <c r="H615" s="143"/>
      <c r="I615" s="144"/>
      <c r="J615" s="145"/>
      <c r="K615" s="138"/>
      <c r="L615" s="146"/>
      <c r="M615" s="127" t="str">
        <f>IF(B615="","",B615/((Settings!$B$7)/100)^2)</f>
        <v/>
      </c>
      <c r="N615" s="25">
        <f>Settings!$B$6</f>
        <v>100</v>
      </c>
      <c r="O615" s="3" t="e">
        <f t="shared" si="54"/>
        <v>#N/A</v>
      </c>
      <c r="P615" s="3" t="e">
        <f t="shared" si="55"/>
        <v>#N/A</v>
      </c>
      <c r="Q615" s="3" t="e">
        <f t="shared" si="56"/>
        <v>#N/A</v>
      </c>
      <c r="R615" s="131">
        <f t="shared" si="57"/>
        <v>46887</v>
      </c>
      <c r="S615" s="3" t="e">
        <f t="shared" si="58"/>
        <v>#N/A</v>
      </c>
      <c r="T615" s="3" t="e">
        <f t="shared" si="59"/>
        <v>#N/A</v>
      </c>
      <c r="U615" s="3">
        <f>Settings!$B$6</f>
        <v>100</v>
      </c>
    </row>
    <row r="616" spans="1:21" ht="18" customHeight="1" x14ac:dyDescent="0.3">
      <c r="A616" s="124">
        <f>A615+1</f>
        <v>46888</v>
      </c>
      <c r="B616" s="137"/>
      <c r="C616" s="126" t="str" cm="1">
        <f t="array" ref="C616">IF(B616="","",B616-IFERROR(LOOKUP(2,1/($B$6:B615&lt;&gt;""),$B$6:B615),Settings!$B$5))</f>
        <v/>
      </c>
      <c r="D616" s="127" t="str">
        <f>IF(B616="","",AVERAGE(B610:B616))</f>
        <v/>
      </c>
      <c r="E616" s="139"/>
      <c r="F616" s="140"/>
      <c r="G616" s="137"/>
      <c r="H616" s="139"/>
      <c r="I616" s="140"/>
      <c r="J616" s="141"/>
      <c r="K616" s="137"/>
      <c r="L616" s="142"/>
      <c r="M616" s="127" t="str">
        <f>IF(B616="","",B616/((Settings!$B$7)/100)^2)</f>
        <v/>
      </c>
      <c r="N616" s="25">
        <f>Settings!$B$6</f>
        <v>100</v>
      </c>
      <c r="O616" s="3" t="e">
        <f t="shared" si="54"/>
        <v>#N/A</v>
      </c>
      <c r="P616" s="3" t="e">
        <f t="shared" si="55"/>
        <v>#N/A</v>
      </c>
      <c r="Q616" s="3" t="e">
        <f t="shared" si="56"/>
        <v>#N/A</v>
      </c>
      <c r="R616" s="131">
        <f t="shared" si="57"/>
        <v>46888</v>
      </c>
      <c r="S616" s="3" t="e">
        <f t="shared" si="58"/>
        <v>#N/A</v>
      </c>
      <c r="T616" s="3" t="e">
        <f t="shared" si="59"/>
        <v>#N/A</v>
      </c>
      <c r="U616" s="3">
        <f>Settings!$B$6</f>
        <v>100</v>
      </c>
    </row>
    <row r="617" spans="1:21" ht="18" customHeight="1" x14ac:dyDescent="0.3">
      <c r="A617" s="132">
        <f>A616+1</f>
        <v>46889</v>
      </c>
      <c r="B617" s="138"/>
      <c r="C617" s="126" t="str" cm="1">
        <f t="array" ref="C617">IF(B617="","",B617-IFERROR(LOOKUP(2,1/($B$6:B616&lt;&gt;""),$B$6:B616),Settings!$B$5))</f>
        <v/>
      </c>
      <c r="D617" s="127" t="str">
        <f>IF(B617="","",AVERAGE(B611:B617))</f>
        <v/>
      </c>
      <c r="E617" s="143"/>
      <c r="F617" s="144"/>
      <c r="G617" s="138"/>
      <c r="H617" s="143"/>
      <c r="I617" s="144"/>
      <c r="J617" s="145"/>
      <c r="K617" s="138"/>
      <c r="L617" s="146"/>
      <c r="M617" s="127" t="str">
        <f>IF(B617="","",B617/((Settings!$B$7)/100)^2)</f>
        <v/>
      </c>
      <c r="N617" s="25">
        <f>Settings!$B$6</f>
        <v>100</v>
      </c>
      <c r="O617" s="3" t="e">
        <f t="shared" si="54"/>
        <v>#N/A</v>
      </c>
      <c r="P617" s="3" t="e">
        <f t="shared" si="55"/>
        <v>#N/A</v>
      </c>
      <c r="Q617" s="3" t="e">
        <f t="shared" si="56"/>
        <v>#N/A</v>
      </c>
      <c r="R617" s="131">
        <f t="shared" si="57"/>
        <v>46889</v>
      </c>
      <c r="S617" s="3" t="e">
        <f t="shared" si="58"/>
        <v>#N/A</v>
      </c>
      <c r="T617" s="3" t="e">
        <f t="shared" si="59"/>
        <v>#N/A</v>
      </c>
      <c r="U617" s="3">
        <f>Settings!$B$6</f>
        <v>100</v>
      </c>
    </row>
    <row r="618" spans="1:21" ht="18" customHeight="1" x14ac:dyDescent="0.3">
      <c r="A618" s="124">
        <f>A617+1</f>
        <v>46890</v>
      </c>
      <c r="B618" s="137"/>
      <c r="C618" s="126" t="str" cm="1">
        <f t="array" ref="C618">IF(B618="","",B618-IFERROR(LOOKUP(2,1/($B$6:B617&lt;&gt;""),$B$6:B617),Settings!$B$5))</f>
        <v/>
      </c>
      <c r="D618" s="127" t="str">
        <f>IF(B618="","",AVERAGE(B612:B618))</f>
        <v/>
      </c>
      <c r="E618" s="139"/>
      <c r="F618" s="140"/>
      <c r="G618" s="137"/>
      <c r="H618" s="139"/>
      <c r="I618" s="140"/>
      <c r="J618" s="141"/>
      <c r="K618" s="137"/>
      <c r="L618" s="142"/>
      <c r="M618" s="127" t="str">
        <f>IF(B618="","",B618/((Settings!$B$7)/100)^2)</f>
        <v/>
      </c>
      <c r="N618" s="25">
        <f>Settings!$B$6</f>
        <v>100</v>
      </c>
      <c r="O618" s="3" t="e">
        <f t="shared" si="54"/>
        <v>#N/A</v>
      </c>
      <c r="P618" s="3" t="e">
        <f t="shared" si="55"/>
        <v>#N/A</v>
      </c>
      <c r="Q618" s="3" t="e">
        <f t="shared" si="56"/>
        <v>#N/A</v>
      </c>
      <c r="R618" s="131">
        <f t="shared" si="57"/>
        <v>46890</v>
      </c>
      <c r="S618" s="3" t="e">
        <f t="shared" si="58"/>
        <v>#N/A</v>
      </c>
      <c r="T618" s="3" t="e">
        <f t="shared" si="59"/>
        <v>#N/A</v>
      </c>
      <c r="U618" s="3">
        <f>Settings!$B$6</f>
        <v>100</v>
      </c>
    </row>
    <row r="619" spans="1:21" ht="18" customHeight="1" x14ac:dyDescent="0.3">
      <c r="A619" s="132">
        <f>A618+1</f>
        <v>46891</v>
      </c>
      <c r="B619" s="138"/>
      <c r="C619" s="126" t="str" cm="1">
        <f t="array" ref="C619">IF(B619="","",B619-IFERROR(LOOKUP(2,1/($B$6:B618&lt;&gt;""),$B$6:B618),Settings!$B$5))</f>
        <v/>
      </c>
      <c r="D619" s="127" t="str">
        <f>IF(B619="","",AVERAGE(B613:B619))</f>
        <v/>
      </c>
      <c r="E619" s="143"/>
      <c r="F619" s="144"/>
      <c r="G619" s="138"/>
      <c r="H619" s="143"/>
      <c r="I619" s="144"/>
      <c r="J619" s="145"/>
      <c r="K619" s="138"/>
      <c r="L619" s="146"/>
      <c r="M619" s="127" t="str">
        <f>IF(B619="","",B619/((Settings!$B$7)/100)^2)</f>
        <v/>
      </c>
      <c r="N619" s="25">
        <f>Settings!$B$6</f>
        <v>100</v>
      </c>
      <c r="O619" s="3" t="e">
        <f t="shared" si="54"/>
        <v>#N/A</v>
      </c>
      <c r="P619" s="3" t="e">
        <f t="shared" si="55"/>
        <v>#N/A</v>
      </c>
      <c r="Q619" s="3" t="e">
        <f t="shared" si="56"/>
        <v>#N/A</v>
      </c>
      <c r="R619" s="131">
        <f t="shared" si="57"/>
        <v>46891</v>
      </c>
      <c r="S619" s="3" t="e">
        <f t="shared" si="58"/>
        <v>#N/A</v>
      </c>
      <c r="T619" s="3" t="e">
        <f t="shared" si="59"/>
        <v>#N/A</v>
      </c>
      <c r="U619" s="3">
        <f>Settings!$B$6</f>
        <v>100</v>
      </c>
    </row>
    <row r="620" spans="1:21" ht="18" customHeight="1" x14ac:dyDescent="0.3">
      <c r="A620" s="124">
        <f>A619+1</f>
        <v>46892</v>
      </c>
      <c r="B620" s="137"/>
      <c r="C620" s="126" t="str" cm="1">
        <f t="array" ref="C620">IF(B620="","",B620-IFERROR(LOOKUP(2,1/($B$6:B619&lt;&gt;""),$B$6:B619),Settings!$B$5))</f>
        <v/>
      </c>
      <c r="D620" s="127" t="str">
        <f>IF(B620="","",AVERAGE(B614:B620))</f>
        <v/>
      </c>
      <c r="E620" s="139"/>
      <c r="F620" s="140"/>
      <c r="G620" s="137"/>
      <c r="H620" s="139"/>
      <c r="I620" s="140"/>
      <c r="J620" s="141"/>
      <c r="K620" s="137"/>
      <c r="L620" s="142"/>
      <c r="M620" s="127" t="str">
        <f>IF(B620="","",B620/((Settings!$B$7)/100)^2)</f>
        <v/>
      </c>
      <c r="N620" s="25">
        <f>Settings!$B$6</f>
        <v>100</v>
      </c>
      <c r="O620" s="3" t="e">
        <f t="shared" si="54"/>
        <v>#N/A</v>
      </c>
      <c r="P620" s="3" t="e">
        <f t="shared" si="55"/>
        <v>#N/A</v>
      </c>
      <c r="Q620" s="3" t="e">
        <f t="shared" si="56"/>
        <v>#N/A</v>
      </c>
      <c r="R620" s="131">
        <f t="shared" si="57"/>
        <v>46892</v>
      </c>
      <c r="S620" s="3" t="e">
        <f t="shared" si="58"/>
        <v>#N/A</v>
      </c>
      <c r="T620" s="3" t="e">
        <f t="shared" si="59"/>
        <v>#N/A</v>
      </c>
      <c r="U620" s="3">
        <f>Settings!$B$6</f>
        <v>100</v>
      </c>
    </row>
    <row r="621" spans="1:21" ht="18" customHeight="1" x14ac:dyDescent="0.3">
      <c r="A621" s="132">
        <f>A620+1</f>
        <v>46893</v>
      </c>
      <c r="B621" s="138"/>
      <c r="C621" s="126" t="str" cm="1">
        <f t="array" ref="C621">IF(B621="","",B621-IFERROR(LOOKUP(2,1/($B$6:B620&lt;&gt;""),$B$6:B620),Settings!$B$5))</f>
        <v/>
      </c>
      <c r="D621" s="127" t="str">
        <f>IF(B621="","",AVERAGE(B615:B621))</f>
        <v/>
      </c>
      <c r="E621" s="143"/>
      <c r="F621" s="144"/>
      <c r="G621" s="138"/>
      <c r="H621" s="143"/>
      <c r="I621" s="144"/>
      <c r="J621" s="145"/>
      <c r="K621" s="138"/>
      <c r="L621" s="146"/>
      <c r="M621" s="127" t="str">
        <f>IF(B621="","",B621/((Settings!$B$7)/100)^2)</f>
        <v/>
      </c>
      <c r="N621" s="25">
        <f>Settings!$B$6</f>
        <v>100</v>
      </c>
      <c r="O621" s="3" t="e">
        <f t="shared" si="54"/>
        <v>#N/A</v>
      </c>
      <c r="P621" s="3" t="e">
        <f t="shared" si="55"/>
        <v>#N/A</v>
      </c>
      <c r="Q621" s="3" t="e">
        <f t="shared" si="56"/>
        <v>#N/A</v>
      </c>
      <c r="R621" s="131">
        <f t="shared" si="57"/>
        <v>46893</v>
      </c>
      <c r="S621" s="3" t="e">
        <f t="shared" si="58"/>
        <v>#N/A</v>
      </c>
      <c r="T621" s="3" t="e">
        <f t="shared" si="59"/>
        <v>#N/A</v>
      </c>
      <c r="U621" s="3">
        <f>Settings!$B$6</f>
        <v>100</v>
      </c>
    </row>
    <row r="622" spans="1:21" ht="18" customHeight="1" x14ac:dyDescent="0.3">
      <c r="A622" s="124">
        <f>A621+1</f>
        <v>46894</v>
      </c>
      <c r="B622" s="137"/>
      <c r="C622" s="126" t="str" cm="1">
        <f t="array" ref="C622">IF(B622="","",B622-IFERROR(LOOKUP(2,1/($B$6:B621&lt;&gt;""),$B$6:B621),Settings!$B$5))</f>
        <v/>
      </c>
      <c r="D622" s="127" t="str">
        <f>IF(B622="","",AVERAGE(B616:B622))</f>
        <v/>
      </c>
      <c r="E622" s="139"/>
      <c r="F622" s="140"/>
      <c r="G622" s="137"/>
      <c r="H622" s="139"/>
      <c r="I622" s="140"/>
      <c r="J622" s="141"/>
      <c r="K622" s="137"/>
      <c r="L622" s="142"/>
      <c r="M622" s="127" t="str">
        <f>IF(B622="","",B622/((Settings!$B$7)/100)^2)</f>
        <v/>
      </c>
      <c r="N622" s="25">
        <f>Settings!$B$6</f>
        <v>100</v>
      </c>
      <c r="O622" s="3" t="e">
        <f t="shared" si="54"/>
        <v>#N/A</v>
      </c>
      <c r="P622" s="3" t="e">
        <f t="shared" si="55"/>
        <v>#N/A</v>
      </c>
      <c r="Q622" s="3" t="e">
        <f t="shared" si="56"/>
        <v>#N/A</v>
      </c>
      <c r="R622" s="131">
        <f t="shared" si="57"/>
        <v>46894</v>
      </c>
      <c r="S622" s="3" t="e">
        <f t="shared" si="58"/>
        <v>#N/A</v>
      </c>
      <c r="T622" s="3" t="e">
        <f t="shared" si="59"/>
        <v>#N/A</v>
      </c>
      <c r="U622" s="3">
        <f>Settings!$B$6</f>
        <v>100</v>
      </c>
    </row>
    <row r="623" spans="1:21" ht="18" customHeight="1" x14ac:dyDescent="0.3">
      <c r="A623" s="132">
        <f>A622+1</f>
        <v>46895</v>
      </c>
      <c r="B623" s="138"/>
      <c r="C623" s="126" t="str" cm="1">
        <f t="array" ref="C623">IF(B623="","",B623-IFERROR(LOOKUP(2,1/($B$6:B622&lt;&gt;""),$B$6:B622),Settings!$B$5))</f>
        <v/>
      </c>
      <c r="D623" s="127" t="str">
        <f>IF(B623="","",AVERAGE(B617:B623))</f>
        <v/>
      </c>
      <c r="E623" s="143"/>
      <c r="F623" s="144"/>
      <c r="G623" s="138"/>
      <c r="H623" s="143"/>
      <c r="I623" s="144"/>
      <c r="J623" s="145"/>
      <c r="K623" s="138"/>
      <c r="L623" s="146"/>
      <c r="M623" s="127" t="str">
        <f>IF(B623="","",B623/((Settings!$B$7)/100)^2)</f>
        <v/>
      </c>
      <c r="N623" s="25">
        <f>Settings!$B$6</f>
        <v>100</v>
      </c>
      <c r="O623" s="3" t="e">
        <f t="shared" si="54"/>
        <v>#N/A</v>
      </c>
      <c r="P623" s="3" t="e">
        <f t="shared" si="55"/>
        <v>#N/A</v>
      </c>
      <c r="Q623" s="3" t="e">
        <f t="shared" si="56"/>
        <v>#N/A</v>
      </c>
      <c r="R623" s="131">
        <f t="shared" si="57"/>
        <v>46895</v>
      </c>
      <c r="S623" s="3" t="e">
        <f t="shared" si="58"/>
        <v>#N/A</v>
      </c>
      <c r="T623" s="3" t="e">
        <f t="shared" si="59"/>
        <v>#N/A</v>
      </c>
      <c r="U623" s="3">
        <f>Settings!$B$6</f>
        <v>100</v>
      </c>
    </row>
    <row r="624" spans="1:21" ht="18" customHeight="1" x14ac:dyDescent="0.3">
      <c r="A624" s="124">
        <f>A623+1</f>
        <v>46896</v>
      </c>
      <c r="B624" s="137"/>
      <c r="C624" s="126" t="str" cm="1">
        <f t="array" ref="C624">IF(B624="","",B624-IFERROR(LOOKUP(2,1/($B$6:B623&lt;&gt;""),$B$6:B623),Settings!$B$5))</f>
        <v/>
      </c>
      <c r="D624" s="127" t="str">
        <f>IF(B624="","",AVERAGE(B618:B624))</f>
        <v/>
      </c>
      <c r="E624" s="139"/>
      <c r="F624" s="140"/>
      <c r="G624" s="137"/>
      <c r="H624" s="139"/>
      <c r="I624" s="140"/>
      <c r="J624" s="141"/>
      <c r="K624" s="137"/>
      <c r="L624" s="142"/>
      <c r="M624" s="127" t="str">
        <f>IF(B624="","",B624/((Settings!$B$7)/100)^2)</f>
        <v/>
      </c>
      <c r="N624" s="25">
        <f>Settings!$B$6</f>
        <v>100</v>
      </c>
      <c r="O624" s="3" t="e">
        <f t="shared" si="54"/>
        <v>#N/A</v>
      </c>
      <c r="P624" s="3" t="e">
        <f t="shared" si="55"/>
        <v>#N/A</v>
      </c>
      <c r="Q624" s="3" t="e">
        <f t="shared" si="56"/>
        <v>#N/A</v>
      </c>
      <c r="R624" s="131">
        <f t="shared" si="57"/>
        <v>46896</v>
      </c>
      <c r="S624" s="3" t="e">
        <f t="shared" si="58"/>
        <v>#N/A</v>
      </c>
      <c r="T624" s="3" t="e">
        <f t="shared" si="59"/>
        <v>#N/A</v>
      </c>
      <c r="U624" s="3">
        <f>Settings!$B$6</f>
        <v>100</v>
      </c>
    </row>
    <row r="625" spans="1:21" ht="18" customHeight="1" x14ac:dyDescent="0.3">
      <c r="A625" s="132">
        <f>A624+1</f>
        <v>46897</v>
      </c>
      <c r="B625" s="138"/>
      <c r="C625" s="126" t="str" cm="1">
        <f t="array" ref="C625">IF(B625="","",B625-IFERROR(LOOKUP(2,1/($B$6:B624&lt;&gt;""),$B$6:B624),Settings!$B$5))</f>
        <v/>
      </c>
      <c r="D625" s="127" t="str">
        <f>IF(B625="","",AVERAGE(B619:B625))</f>
        <v/>
      </c>
      <c r="E625" s="143"/>
      <c r="F625" s="144"/>
      <c r="G625" s="138"/>
      <c r="H625" s="143"/>
      <c r="I625" s="144"/>
      <c r="J625" s="145"/>
      <c r="K625" s="138"/>
      <c r="L625" s="146"/>
      <c r="M625" s="127" t="str">
        <f>IF(B625="","",B625/((Settings!$B$7)/100)^2)</f>
        <v/>
      </c>
      <c r="N625" s="25">
        <f>Settings!$B$6</f>
        <v>100</v>
      </c>
      <c r="O625" s="3" t="e">
        <f t="shared" si="54"/>
        <v>#N/A</v>
      </c>
      <c r="P625" s="3" t="e">
        <f t="shared" si="55"/>
        <v>#N/A</v>
      </c>
      <c r="Q625" s="3" t="e">
        <f t="shared" si="56"/>
        <v>#N/A</v>
      </c>
      <c r="R625" s="131">
        <f t="shared" si="57"/>
        <v>46897</v>
      </c>
      <c r="S625" s="3" t="e">
        <f t="shared" si="58"/>
        <v>#N/A</v>
      </c>
      <c r="T625" s="3" t="e">
        <f t="shared" si="59"/>
        <v>#N/A</v>
      </c>
      <c r="U625" s="3">
        <f>Settings!$B$6</f>
        <v>100</v>
      </c>
    </row>
    <row r="626" spans="1:21" ht="18" customHeight="1" x14ac:dyDescent="0.3">
      <c r="A626" s="124">
        <f>A625+1</f>
        <v>46898</v>
      </c>
      <c r="B626" s="137"/>
      <c r="C626" s="126" t="str" cm="1">
        <f t="array" ref="C626">IF(B626="","",B626-IFERROR(LOOKUP(2,1/($B$6:B625&lt;&gt;""),$B$6:B625),Settings!$B$5))</f>
        <v/>
      </c>
      <c r="D626" s="127" t="str">
        <f>IF(B626="","",AVERAGE(B620:B626))</f>
        <v/>
      </c>
      <c r="E626" s="139"/>
      <c r="F626" s="140"/>
      <c r="G626" s="137"/>
      <c r="H626" s="139"/>
      <c r="I626" s="140"/>
      <c r="J626" s="141"/>
      <c r="K626" s="137"/>
      <c r="L626" s="142"/>
      <c r="M626" s="127" t="str">
        <f>IF(B626="","",B626/((Settings!$B$7)/100)^2)</f>
        <v/>
      </c>
      <c r="N626" s="25">
        <f>Settings!$B$6</f>
        <v>100</v>
      </c>
      <c r="O626" s="3" t="e">
        <f t="shared" si="54"/>
        <v>#N/A</v>
      </c>
      <c r="P626" s="3" t="e">
        <f t="shared" si="55"/>
        <v>#N/A</v>
      </c>
      <c r="Q626" s="3" t="e">
        <f t="shared" si="56"/>
        <v>#N/A</v>
      </c>
      <c r="R626" s="131">
        <f t="shared" si="57"/>
        <v>46898</v>
      </c>
      <c r="S626" s="3" t="e">
        <f t="shared" si="58"/>
        <v>#N/A</v>
      </c>
      <c r="T626" s="3" t="e">
        <f t="shared" si="59"/>
        <v>#N/A</v>
      </c>
      <c r="U626" s="3">
        <f>Settings!$B$6</f>
        <v>100</v>
      </c>
    </row>
    <row r="627" spans="1:21" ht="18" customHeight="1" x14ac:dyDescent="0.3">
      <c r="A627" s="132">
        <f>A626+1</f>
        <v>46899</v>
      </c>
      <c r="B627" s="138"/>
      <c r="C627" s="126" t="str" cm="1">
        <f t="array" ref="C627">IF(B627="","",B627-IFERROR(LOOKUP(2,1/($B$6:B626&lt;&gt;""),$B$6:B626),Settings!$B$5))</f>
        <v/>
      </c>
      <c r="D627" s="127" t="str">
        <f>IF(B627="","",AVERAGE(B621:B627))</f>
        <v/>
      </c>
      <c r="E627" s="143"/>
      <c r="F627" s="144"/>
      <c r="G627" s="138"/>
      <c r="H627" s="143"/>
      <c r="I627" s="144"/>
      <c r="J627" s="145"/>
      <c r="K627" s="138"/>
      <c r="L627" s="146"/>
      <c r="M627" s="127" t="str">
        <f>IF(B627="","",B627/((Settings!$B$7)/100)^2)</f>
        <v/>
      </c>
      <c r="N627" s="25">
        <f>Settings!$B$6</f>
        <v>100</v>
      </c>
      <c r="O627" s="3" t="e">
        <f t="shared" si="54"/>
        <v>#N/A</v>
      </c>
      <c r="P627" s="3" t="e">
        <f t="shared" si="55"/>
        <v>#N/A</v>
      </c>
      <c r="Q627" s="3" t="e">
        <f t="shared" si="56"/>
        <v>#N/A</v>
      </c>
      <c r="R627" s="131">
        <f t="shared" si="57"/>
        <v>46899</v>
      </c>
      <c r="S627" s="3" t="e">
        <f t="shared" si="58"/>
        <v>#N/A</v>
      </c>
      <c r="T627" s="3" t="e">
        <f t="shared" si="59"/>
        <v>#N/A</v>
      </c>
      <c r="U627" s="3">
        <f>Settings!$B$6</f>
        <v>100</v>
      </c>
    </row>
    <row r="628" spans="1:21" ht="18" customHeight="1" x14ac:dyDescent="0.3">
      <c r="A628" s="124">
        <f>A627+1</f>
        <v>46900</v>
      </c>
      <c r="B628" s="137"/>
      <c r="C628" s="126" t="str" cm="1">
        <f t="array" ref="C628">IF(B628="","",B628-IFERROR(LOOKUP(2,1/($B$6:B627&lt;&gt;""),$B$6:B627),Settings!$B$5))</f>
        <v/>
      </c>
      <c r="D628" s="127" t="str">
        <f>IF(B628="","",AVERAGE(B622:B628))</f>
        <v/>
      </c>
      <c r="E628" s="139"/>
      <c r="F628" s="140"/>
      <c r="G628" s="137"/>
      <c r="H628" s="139"/>
      <c r="I628" s="140"/>
      <c r="J628" s="141"/>
      <c r="K628" s="137"/>
      <c r="L628" s="142"/>
      <c r="M628" s="127" t="str">
        <f>IF(B628="","",B628/((Settings!$B$7)/100)^2)</f>
        <v/>
      </c>
      <c r="N628" s="25">
        <f>Settings!$B$6</f>
        <v>100</v>
      </c>
      <c r="O628" s="3" t="e">
        <f t="shared" si="54"/>
        <v>#N/A</v>
      </c>
      <c r="P628" s="3" t="e">
        <f t="shared" si="55"/>
        <v>#N/A</v>
      </c>
      <c r="Q628" s="3" t="e">
        <f t="shared" si="56"/>
        <v>#N/A</v>
      </c>
      <c r="R628" s="131">
        <f t="shared" si="57"/>
        <v>46900</v>
      </c>
      <c r="S628" s="3" t="e">
        <f t="shared" si="58"/>
        <v>#N/A</v>
      </c>
      <c r="T628" s="3" t="e">
        <f t="shared" si="59"/>
        <v>#N/A</v>
      </c>
      <c r="U628" s="3">
        <f>Settings!$B$6</f>
        <v>100</v>
      </c>
    </row>
    <row r="629" spans="1:21" ht="18" customHeight="1" x14ac:dyDescent="0.3">
      <c r="A629" s="132">
        <f>A628+1</f>
        <v>46901</v>
      </c>
      <c r="B629" s="138"/>
      <c r="C629" s="126" t="str" cm="1">
        <f t="array" ref="C629">IF(B629="","",B629-IFERROR(LOOKUP(2,1/($B$6:B628&lt;&gt;""),$B$6:B628),Settings!$B$5))</f>
        <v/>
      </c>
      <c r="D629" s="127" t="str">
        <f>IF(B629="","",AVERAGE(B623:B629))</f>
        <v/>
      </c>
      <c r="E629" s="143"/>
      <c r="F629" s="144"/>
      <c r="G629" s="138"/>
      <c r="H629" s="143"/>
      <c r="I629" s="144"/>
      <c r="J629" s="145"/>
      <c r="K629" s="138"/>
      <c r="L629" s="146"/>
      <c r="M629" s="127" t="str">
        <f>IF(B629="","",B629/((Settings!$B$7)/100)^2)</f>
        <v/>
      </c>
      <c r="N629" s="25">
        <f>Settings!$B$6</f>
        <v>100</v>
      </c>
      <c r="O629" s="3" t="e">
        <f t="shared" si="54"/>
        <v>#N/A</v>
      </c>
      <c r="P629" s="3" t="e">
        <f t="shared" si="55"/>
        <v>#N/A</v>
      </c>
      <c r="Q629" s="3" t="e">
        <f t="shared" si="56"/>
        <v>#N/A</v>
      </c>
      <c r="R629" s="131">
        <f t="shared" si="57"/>
        <v>46901</v>
      </c>
      <c r="S629" s="3" t="e">
        <f t="shared" si="58"/>
        <v>#N/A</v>
      </c>
      <c r="T629" s="3" t="e">
        <f t="shared" si="59"/>
        <v>#N/A</v>
      </c>
      <c r="U629" s="3">
        <f>Settings!$B$6</f>
        <v>100</v>
      </c>
    </row>
    <row r="630" spans="1:21" ht="18" customHeight="1" x14ac:dyDescent="0.3">
      <c r="A630" s="124">
        <f>A629+1</f>
        <v>46902</v>
      </c>
      <c r="B630" s="137"/>
      <c r="C630" s="126" t="str" cm="1">
        <f t="array" ref="C630">IF(B630="","",B630-IFERROR(LOOKUP(2,1/($B$6:B629&lt;&gt;""),$B$6:B629),Settings!$B$5))</f>
        <v/>
      </c>
      <c r="D630" s="127" t="str">
        <f>IF(B630="","",AVERAGE(B624:B630))</f>
        <v/>
      </c>
      <c r="E630" s="139"/>
      <c r="F630" s="140"/>
      <c r="G630" s="137"/>
      <c r="H630" s="139"/>
      <c r="I630" s="140"/>
      <c r="J630" s="141"/>
      <c r="K630" s="137"/>
      <c r="L630" s="142"/>
      <c r="M630" s="127" t="str">
        <f>IF(B630="","",B630/((Settings!$B$7)/100)^2)</f>
        <v/>
      </c>
      <c r="N630" s="25">
        <f>Settings!$B$6</f>
        <v>100</v>
      </c>
      <c r="O630" s="3" t="e">
        <f t="shared" si="54"/>
        <v>#N/A</v>
      </c>
      <c r="P630" s="3" t="e">
        <f t="shared" si="55"/>
        <v>#N/A</v>
      </c>
      <c r="Q630" s="3" t="e">
        <f t="shared" si="56"/>
        <v>#N/A</v>
      </c>
      <c r="R630" s="131">
        <f t="shared" si="57"/>
        <v>46902</v>
      </c>
      <c r="S630" s="3" t="e">
        <f t="shared" si="58"/>
        <v>#N/A</v>
      </c>
      <c r="T630" s="3" t="e">
        <f t="shared" si="59"/>
        <v>#N/A</v>
      </c>
      <c r="U630" s="3">
        <f>Settings!$B$6</f>
        <v>100</v>
      </c>
    </row>
    <row r="631" spans="1:21" ht="18" customHeight="1" x14ac:dyDescent="0.3">
      <c r="A631" s="132">
        <f>A630+1</f>
        <v>46903</v>
      </c>
      <c r="B631" s="138"/>
      <c r="C631" s="126" t="str" cm="1">
        <f t="array" ref="C631">IF(B631="","",B631-IFERROR(LOOKUP(2,1/($B$6:B630&lt;&gt;""),$B$6:B630),Settings!$B$5))</f>
        <v/>
      </c>
      <c r="D631" s="127" t="str">
        <f>IF(B631="","",AVERAGE(B625:B631))</f>
        <v/>
      </c>
      <c r="E631" s="143"/>
      <c r="F631" s="144"/>
      <c r="G631" s="138"/>
      <c r="H631" s="143"/>
      <c r="I631" s="144"/>
      <c r="J631" s="145"/>
      <c r="K631" s="138"/>
      <c r="L631" s="146"/>
      <c r="M631" s="127" t="str">
        <f>IF(B631="","",B631/((Settings!$B$7)/100)^2)</f>
        <v/>
      </c>
      <c r="N631" s="25">
        <f>Settings!$B$6</f>
        <v>100</v>
      </c>
      <c r="O631" s="3" t="e">
        <f t="shared" si="54"/>
        <v>#N/A</v>
      </c>
      <c r="P631" s="3" t="e">
        <f t="shared" si="55"/>
        <v>#N/A</v>
      </c>
      <c r="Q631" s="3" t="e">
        <f t="shared" si="56"/>
        <v>#N/A</v>
      </c>
      <c r="R631" s="131">
        <f t="shared" si="57"/>
        <v>46903</v>
      </c>
      <c r="S631" s="3" t="e">
        <f t="shared" si="58"/>
        <v>#N/A</v>
      </c>
      <c r="T631" s="3" t="e">
        <f t="shared" si="59"/>
        <v>#N/A</v>
      </c>
      <c r="U631" s="3">
        <f>Settings!$B$6</f>
        <v>100</v>
      </c>
    </row>
    <row r="632" spans="1:21" ht="18" customHeight="1" x14ac:dyDescent="0.3">
      <c r="A632" s="124">
        <f>A631+1</f>
        <v>46904</v>
      </c>
      <c r="B632" s="137"/>
      <c r="C632" s="126" t="str" cm="1">
        <f t="array" ref="C632">IF(B632="","",B632-IFERROR(LOOKUP(2,1/($B$6:B631&lt;&gt;""),$B$6:B631),Settings!$B$5))</f>
        <v/>
      </c>
      <c r="D632" s="127" t="str">
        <f>IF(B632="","",AVERAGE(B626:B632))</f>
        <v/>
      </c>
      <c r="E632" s="139"/>
      <c r="F632" s="140"/>
      <c r="G632" s="137"/>
      <c r="H632" s="139"/>
      <c r="I632" s="140"/>
      <c r="J632" s="141"/>
      <c r="K632" s="137"/>
      <c r="L632" s="142"/>
      <c r="M632" s="127" t="str">
        <f>IF(B632="","",B632/((Settings!$B$7)/100)^2)</f>
        <v/>
      </c>
      <c r="N632" s="25">
        <f>Settings!$B$6</f>
        <v>100</v>
      </c>
      <c r="O632" s="3" t="e">
        <f t="shared" si="54"/>
        <v>#N/A</v>
      </c>
      <c r="P632" s="3" t="e">
        <f t="shared" si="55"/>
        <v>#N/A</v>
      </c>
      <c r="Q632" s="3" t="e">
        <f t="shared" si="56"/>
        <v>#N/A</v>
      </c>
      <c r="R632" s="131">
        <f t="shared" si="57"/>
        <v>46904</v>
      </c>
      <c r="S632" s="3" t="e">
        <f t="shared" si="58"/>
        <v>#N/A</v>
      </c>
      <c r="T632" s="3" t="e">
        <f t="shared" si="59"/>
        <v>#N/A</v>
      </c>
      <c r="U632" s="3">
        <f>Settings!$B$6</f>
        <v>100</v>
      </c>
    </row>
    <row r="633" spans="1:21" ht="18" customHeight="1" x14ac:dyDescent="0.3">
      <c r="A633" s="132">
        <f>A632+1</f>
        <v>46905</v>
      </c>
      <c r="B633" s="138"/>
      <c r="C633" s="126" t="str" cm="1">
        <f t="array" ref="C633">IF(B633="","",B633-IFERROR(LOOKUP(2,1/($B$6:B632&lt;&gt;""),$B$6:B632),Settings!$B$5))</f>
        <v/>
      </c>
      <c r="D633" s="127" t="str">
        <f>IF(B633="","",AVERAGE(B627:B633))</f>
        <v/>
      </c>
      <c r="E633" s="143"/>
      <c r="F633" s="144"/>
      <c r="G633" s="138"/>
      <c r="H633" s="143"/>
      <c r="I633" s="144"/>
      <c r="J633" s="145"/>
      <c r="K633" s="138"/>
      <c r="L633" s="146"/>
      <c r="M633" s="127" t="str">
        <f>IF(B633="","",B633/((Settings!$B$7)/100)^2)</f>
        <v/>
      </c>
      <c r="N633" s="25">
        <f>Settings!$B$6</f>
        <v>100</v>
      </c>
      <c r="O633" s="3" t="e">
        <f t="shared" si="54"/>
        <v>#N/A</v>
      </c>
      <c r="P633" s="3" t="e">
        <f t="shared" si="55"/>
        <v>#N/A</v>
      </c>
      <c r="Q633" s="3" t="e">
        <f t="shared" si="56"/>
        <v>#N/A</v>
      </c>
      <c r="R633" s="131">
        <f t="shared" si="57"/>
        <v>46905</v>
      </c>
      <c r="S633" s="3" t="e">
        <f t="shared" si="58"/>
        <v>#N/A</v>
      </c>
      <c r="T633" s="3" t="e">
        <f t="shared" si="59"/>
        <v>#N/A</v>
      </c>
      <c r="U633" s="3">
        <f>Settings!$B$6</f>
        <v>100</v>
      </c>
    </row>
    <row r="634" spans="1:21" ht="18" customHeight="1" x14ac:dyDescent="0.3">
      <c r="A634" s="124">
        <f>A633+1</f>
        <v>46906</v>
      </c>
      <c r="B634" s="137"/>
      <c r="C634" s="126" t="str" cm="1">
        <f t="array" ref="C634">IF(B634="","",B634-IFERROR(LOOKUP(2,1/($B$6:B633&lt;&gt;""),$B$6:B633),Settings!$B$5))</f>
        <v/>
      </c>
      <c r="D634" s="127" t="str">
        <f>IF(B634="","",AVERAGE(B628:B634))</f>
        <v/>
      </c>
      <c r="E634" s="139"/>
      <c r="F634" s="140"/>
      <c r="G634" s="137"/>
      <c r="H634" s="139"/>
      <c r="I634" s="140"/>
      <c r="J634" s="141"/>
      <c r="K634" s="137"/>
      <c r="L634" s="142"/>
      <c r="M634" s="127" t="str">
        <f>IF(B634="","",B634/((Settings!$B$7)/100)^2)</f>
        <v/>
      </c>
      <c r="N634" s="25">
        <f>Settings!$B$6</f>
        <v>100</v>
      </c>
      <c r="O634" s="3" t="e">
        <f t="shared" si="54"/>
        <v>#N/A</v>
      </c>
      <c r="P634" s="3" t="e">
        <f t="shared" si="55"/>
        <v>#N/A</v>
      </c>
      <c r="Q634" s="3" t="e">
        <f t="shared" si="56"/>
        <v>#N/A</v>
      </c>
      <c r="R634" s="131">
        <f t="shared" si="57"/>
        <v>46906</v>
      </c>
      <c r="S634" s="3" t="e">
        <f t="shared" si="58"/>
        <v>#N/A</v>
      </c>
      <c r="T634" s="3" t="e">
        <f t="shared" si="59"/>
        <v>#N/A</v>
      </c>
      <c r="U634" s="3">
        <f>Settings!$B$6</f>
        <v>100</v>
      </c>
    </row>
    <row r="635" spans="1:21" ht="18" customHeight="1" x14ac:dyDescent="0.3">
      <c r="A635" s="132">
        <f>A634+1</f>
        <v>46907</v>
      </c>
      <c r="B635" s="138"/>
      <c r="C635" s="126" t="str" cm="1">
        <f t="array" ref="C635">IF(B635="","",B635-IFERROR(LOOKUP(2,1/($B$6:B634&lt;&gt;""),$B$6:B634),Settings!$B$5))</f>
        <v/>
      </c>
      <c r="D635" s="127" t="str">
        <f>IF(B635="","",AVERAGE(B629:B635))</f>
        <v/>
      </c>
      <c r="E635" s="143"/>
      <c r="F635" s="144"/>
      <c r="G635" s="138"/>
      <c r="H635" s="143"/>
      <c r="I635" s="144"/>
      <c r="J635" s="145"/>
      <c r="K635" s="138"/>
      <c r="L635" s="146"/>
      <c r="M635" s="127" t="str">
        <f>IF(B635="","",B635/((Settings!$B$7)/100)^2)</f>
        <v/>
      </c>
      <c r="N635" s="25">
        <f>Settings!$B$6</f>
        <v>100</v>
      </c>
      <c r="O635" s="3" t="e">
        <f t="shared" si="54"/>
        <v>#N/A</v>
      </c>
      <c r="P635" s="3" t="e">
        <f t="shared" si="55"/>
        <v>#N/A</v>
      </c>
      <c r="Q635" s="3" t="e">
        <f t="shared" si="56"/>
        <v>#N/A</v>
      </c>
      <c r="R635" s="131">
        <f t="shared" si="57"/>
        <v>46907</v>
      </c>
      <c r="S635" s="3" t="e">
        <f t="shared" si="58"/>
        <v>#N/A</v>
      </c>
      <c r="T635" s="3" t="e">
        <f t="shared" si="59"/>
        <v>#N/A</v>
      </c>
      <c r="U635" s="3">
        <f>Settings!$B$6</f>
        <v>100</v>
      </c>
    </row>
    <row r="636" spans="1:21" ht="18" customHeight="1" x14ac:dyDescent="0.3">
      <c r="A636" s="124">
        <f>A635+1</f>
        <v>46908</v>
      </c>
      <c r="B636" s="137"/>
      <c r="C636" s="126" t="str" cm="1">
        <f t="array" ref="C636">IF(B636="","",B636-IFERROR(LOOKUP(2,1/($B$6:B635&lt;&gt;""),$B$6:B635),Settings!$B$5))</f>
        <v/>
      </c>
      <c r="D636" s="127" t="str">
        <f>IF(B636="","",AVERAGE(B630:B636))</f>
        <v/>
      </c>
      <c r="E636" s="139"/>
      <c r="F636" s="140"/>
      <c r="G636" s="137"/>
      <c r="H636" s="139"/>
      <c r="I636" s="140"/>
      <c r="J636" s="141"/>
      <c r="K636" s="137"/>
      <c r="L636" s="142"/>
      <c r="M636" s="127" t="str">
        <f>IF(B636="","",B636/((Settings!$B$7)/100)^2)</f>
        <v/>
      </c>
      <c r="N636" s="25">
        <f>Settings!$B$6</f>
        <v>100</v>
      </c>
      <c r="O636" s="3" t="e">
        <f t="shared" si="54"/>
        <v>#N/A</v>
      </c>
      <c r="P636" s="3" t="e">
        <f t="shared" si="55"/>
        <v>#N/A</v>
      </c>
      <c r="Q636" s="3" t="e">
        <f t="shared" si="56"/>
        <v>#N/A</v>
      </c>
      <c r="R636" s="131">
        <f t="shared" si="57"/>
        <v>46908</v>
      </c>
      <c r="S636" s="3" t="e">
        <f t="shared" si="58"/>
        <v>#N/A</v>
      </c>
      <c r="T636" s="3" t="e">
        <f t="shared" si="59"/>
        <v>#N/A</v>
      </c>
      <c r="U636" s="3">
        <f>Settings!$B$6</f>
        <v>100</v>
      </c>
    </row>
    <row r="637" spans="1:21" ht="18" customHeight="1" x14ac:dyDescent="0.3">
      <c r="A637" s="132">
        <f>A636+1</f>
        <v>46909</v>
      </c>
      <c r="B637" s="138"/>
      <c r="C637" s="126" t="str" cm="1">
        <f t="array" ref="C637">IF(B637="","",B637-IFERROR(LOOKUP(2,1/($B$6:B636&lt;&gt;""),$B$6:B636),Settings!$B$5))</f>
        <v/>
      </c>
      <c r="D637" s="127" t="str">
        <f>IF(B637="","",AVERAGE(B631:B637))</f>
        <v/>
      </c>
      <c r="E637" s="143"/>
      <c r="F637" s="144"/>
      <c r="G637" s="138"/>
      <c r="H637" s="143"/>
      <c r="I637" s="144"/>
      <c r="J637" s="145"/>
      <c r="K637" s="138"/>
      <c r="L637" s="146"/>
      <c r="M637" s="127" t="str">
        <f>IF(B637="","",B637/((Settings!$B$7)/100)^2)</f>
        <v/>
      </c>
      <c r="N637" s="25">
        <f>Settings!$B$6</f>
        <v>100</v>
      </c>
      <c r="O637" s="3" t="e">
        <f t="shared" si="54"/>
        <v>#N/A</v>
      </c>
      <c r="P637" s="3" t="e">
        <f t="shared" si="55"/>
        <v>#N/A</v>
      </c>
      <c r="Q637" s="3" t="e">
        <f t="shared" si="56"/>
        <v>#N/A</v>
      </c>
      <c r="R637" s="131">
        <f t="shared" si="57"/>
        <v>46909</v>
      </c>
      <c r="S637" s="3" t="e">
        <f t="shared" si="58"/>
        <v>#N/A</v>
      </c>
      <c r="T637" s="3" t="e">
        <f t="shared" si="59"/>
        <v>#N/A</v>
      </c>
      <c r="U637" s="3">
        <f>Settings!$B$6</f>
        <v>100</v>
      </c>
    </row>
    <row r="638" spans="1:21" ht="18" customHeight="1" x14ac:dyDescent="0.3">
      <c r="A638" s="124">
        <f>A637+1</f>
        <v>46910</v>
      </c>
      <c r="B638" s="137"/>
      <c r="C638" s="126" t="str" cm="1">
        <f t="array" ref="C638">IF(B638="","",B638-IFERROR(LOOKUP(2,1/($B$6:B637&lt;&gt;""),$B$6:B637),Settings!$B$5))</f>
        <v/>
      </c>
      <c r="D638" s="127" t="str">
        <f>IF(B638="","",AVERAGE(B632:B638))</f>
        <v/>
      </c>
      <c r="E638" s="139"/>
      <c r="F638" s="140"/>
      <c r="G638" s="137"/>
      <c r="H638" s="139"/>
      <c r="I638" s="140"/>
      <c r="J638" s="141"/>
      <c r="K638" s="137"/>
      <c r="L638" s="142"/>
      <c r="M638" s="127" t="str">
        <f>IF(B638="","",B638/((Settings!$B$7)/100)^2)</f>
        <v/>
      </c>
      <c r="N638" s="25">
        <f>Settings!$B$6</f>
        <v>100</v>
      </c>
      <c r="O638" s="3" t="e">
        <f t="shared" si="54"/>
        <v>#N/A</v>
      </c>
      <c r="P638" s="3" t="e">
        <f t="shared" si="55"/>
        <v>#N/A</v>
      </c>
      <c r="Q638" s="3" t="e">
        <f t="shared" si="56"/>
        <v>#N/A</v>
      </c>
      <c r="R638" s="131">
        <f t="shared" si="57"/>
        <v>46910</v>
      </c>
      <c r="S638" s="3" t="e">
        <f t="shared" si="58"/>
        <v>#N/A</v>
      </c>
      <c r="T638" s="3" t="e">
        <f t="shared" si="59"/>
        <v>#N/A</v>
      </c>
      <c r="U638" s="3">
        <f>Settings!$B$6</f>
        <v>100</v>
      </c>
    </row>
    <row r="639" spans="1:21" ht="18" customHeight="1" x14ac:dyDescent="0.3">
      <c r="A639" s="132">
        <f>A638+1</f>
        <v>46911</v>
      </c>
      <c r="B639" s="138"/>
      <c r="C639" s="126" t="str" cm="1">
        <f t="array" ref="C639">IF(B639="","",B639-IFERROR(LOOKUP(2,1/($B$6:B638&lt;&gt;""),$B$6:B638),Settings!$B$5))</f>
        <v/>
      </c>
      <c r="D639" s="127" t="str">
        <f>IF(B639="","",AVERAGE(B633:B639))</f>
        <v/>
      </c>
      <c r="E639" s="143"/>
      <c r="F639" s="144"/>
      <c r="G639" s="138"/>
      <c r="H639" s="143"/>
      <c r="I639" s="144"/>
      <c r="J639" s="145"/>
      <c r="K639" s="138"/>
      <c r="L639" s="146"/>
      <c r="M639" s="127" t="str">
        <f>IF(B639="","",B639/((Settings!$B$7)/100)^2)</f>
        <v/>
      </c>
      <c r="N639" s="25">
        <f>Settings!$B$6</f>
        <v>100</v>
      </c>
      <c r="O639" s="3" t="e">
        <f t="shared" si="54"/>
        <v>#N/A</v>
      </c>
      <c r="P639" s="3" t="e">
        <f t="shared" si="55"/>
        <v>#N/A</v>
      </c>
      <c r="Q639" s="3" t="e">
        <f t="shared" si="56"/>
        <v>#N/A</v>
      </c>
      <c r="R639" s="131">
        <f t="shared" si="57"/>
        <v>46911</v>
      </c>
      <c r="S639" s="3" t="e">
        <f t="shared" si="58"/>
        <v>#N/A</v>
      </c>
      <c r="T639" s="3" t="e">
        <f t="shared" si="59"/>
        <v>#N/A</v>
      </c>
      <c r="U639" s="3">
        <f>Settings!$B$6</f>
        <v>100</v>
      </c>
    </row>
    <row r="640" spans="1:21" ht="18" customHeight="1" x14ac:dyDescent="0.3">
      <c r="A640" s="124">
        <f>A639+1</f>
        <v>46912</v>
      </c>
      <c r="B640" s="137"/>
      <c r="C640" s="126" t="str" cm="1">
        <f t="array" ref="C640">IF(B640="","",B640-IFERROR(LOOKUP(2,1/($B$6:B639&lt;&gt;""),$B$6:B639),Settings!$B$5))</f>
        <v/>
      </c>
      <c r="D640" s="127" t="str">
        <f>IF(B640="","",AVERAGE(B634:B640))</f>
        <v/>
      </c>
      <c r="E640" s="139"/>
      <c r="F640" s="140"/>
      <c r="G640" s="137"/>
      <c r="H640" s="139"/>
      <c r="I640" s="140"/>
      <c r="J640" s="141"/>
      <c r="K640" s="137"/>
      <c r="L640" s="142"/>
      <c r="M640" s="127" t="str">
        <f>IF(B640="","",B640/((Settings!$B$7)/100)^2)</f>
        <v/>
      </c>
      <c r="N640" s="25">
        <f>Settings!$B$6</f>
        <v>100</v>
      </c>
      <c r="O640" s="3" t="e">
        <f t="shared" si="54"/>
        <v>#N/A</v>
      </c>
      <c r="P640" s="3" t="e">
        <f t="shared" si="55"/>
        <v>#N/A</v>
      </c>
      <c r="Q640" s="3" t="e">
        <f t="shared" si="56"/>
        <v>#N/A</v>
      </c>
      <c r="R640" s="131">
        <f t="shared" si="57"/>
        <v>46912</v>
      </c>
      <c r="S640" s="3" t="e">
        <f t="shared" si="58"/>
        <v>#N/A</v>
      </c>
      <c r="T640" s="3" t="e">
        <f t="shared" si="59"/>
        <v>#N/A</v>
      </c>
      <c r="U640" s="3">
        <f>Settings!$B$6</f>
        <v>100</v>
      </c>
    </row>
    <row r="641" spans="1:21" ht="18" customHeight="1" x14ac:dyDescent="0.3">
      <c r="A641" s="132">
        <f>A640+1</f>
        <v>46913</v>
      </c>
      <c r="B641" s="138"/>
      <c r="C641" s="126" t="str" cm="1">
        <f t="array" ref="C641">IF(B641="","",B641-IFERROR(LOOKUP(2,1/($B$6:B640&lt;&gt;""),$B$6:B640),Settings!$B$5))</f>
        <v/>
      </c>
      <c r="D641" s="127" t="str">
        <f>IF(B641="","",AVERAGE(B635:B641))</f>
        <v/>
      </c>
      <c r="E641" s="143"/>
      <c r="F641" s="144"/>
      <c r="G641" s="138"/>
      <c r="H641" s="143"/>
      <c r="I641" s="144"/>
      <c r="J641" s="145"/>
      <c r="K641" s="138"/>
      <c r="L641" s="146"/>
      <c r="M641" s="127" t="str">
        <f>IF(B641="","",B641/((Settings!$B$7)/100)^2)</f>
        <v/>
      </c>
      <c r="N641" s="25">
        <f>Settings!$B$6</f>
        <v>100</v>
      </c>
      <c r="O641" s="3" t="e">
        <f t="shared" si="54"/>
        <v>#N/A</v>
      </c>
      <c r="P641" s="3" t="e">
        <f t="shared" si="55"/>
        <v>#N/A</v>
      </c>
      <c r="Q641" s="3" t="e">
        <f t="shared" si="56"/>
        <v>#N/A</v>
      </c>
      <c r="R641" s="131">
        <f t="shared" si="57"/>
        <v>46913</v>
      </c>
      <c r="S641" s="3" t="e">
        <f t="shared" si="58"/>
        <v>#N/A</v>
      </c>
      <c r="T641" s="3" t="e">
        <f t="shared" si="59"/>
        <v>#N/A</v>
      </c>
      <c r="U641" s="3">
        <f>Settings!$B$6</f>
        <v>100</v>
      </c>
    </row>
    <row r="642" spans="1:21" ht="18" customHeight="1" x14ac:dyDescent="0.3">
      <c r="A642" s="124">
        <f>A641+1</f>
        <v>46914</v>
      </c>
      <c r="B642" s="137"/>
      <c r="C642" s="126" t="str" cm="1">
        <f t="array" ref="C642">IF(B642="","",B642-IFERROR(LOOKUP(2,1/($B$6:B641&lt;&gt;""),$B$6:B641),Settings!$B$5))</f>
        <v/>
      </c>
      <c r="D642" s="127" t="str">
        <f>IF(B642="","",AVERAGE(B636:B642))</f>
        <v/>
      </c>
      <c r="E642" s="139"/>
      <c r="F642" s="140"/>
      <c r="G642" s="137"/>
      <c r="H642" s="139"/>
      <c r="I642" s="140"/>
      <c r="J642" s="141"/>
      <c r="K642" s="137"/>
      <c r="L642" s="142"/>
      <c r="M642" s="127" t="str">
        <f>IF(B642="","",B642/((Settings!$B$7)/100)^2)</f>
        <v/>
      </c>
      <c r="N642" s="25">
        <f>Settings!$B$6</f>
        <v>100</v>
      </c>
      <c r="O642" s="3" t="e">
        <f t="shared" si="54"/>
        <v>#N/A</v>
      </c>
      <c r="P642" s="3" t="e">
        <f t="shared" si="55"/>
        <v>#N/A</v>
      </c>
      <c r="Q642" s="3" t="e">
        <f t="shared" si="56"/>
        <v>#N/A</v>
      </c>
      <c r="R642" s="131">
        <f t="shared" si="57"/>
        <v>46914</v>
      </c>
      <c r="S642" s="3" t="e">
        <f t="shared" si="58"/>
        <v>#N/A</v>
      </c>
      <c r="T642" s="3" t="e">
        <f t="shared" si="59"/>
        <v>#N/A</v>
      </c>
      <c r="U642" s="3">
        <f>Settings!$B$6</f>
        <v>100</v>
      </c>
    </row>
    <row r="643" spans="1:21" ht="18" customHeight="1" x14ac:dyDescent="0.3">
      <c r="A643" s="132">
        <f>A642+1</f>
        <v>46915</v>
      </c>
      <c r="B643" s="138"/>
      <c r="C643" s="126" t="str" cm="1">
        <f t="array" ref="C643">IF(B643="","",B643-IFERROR(LOOKUP(2,1/($B$6:B642&lt;&gt;""),$B$6:B642),Settings!$B$5))</f>
        <v/>
      </c>
      <c r="D643" s="127" t="str">
        <f>IF(B643="","",AVERAGE(B637:B643))</f>
        <v/>
      </c>
      <c r="E643" s="143"/>
      <c r="F643" s="144"/>
      <c r="G643" s="138"/>
      <c r="H643" s="143"/>
      <c r="I643" s="144"/>
      <c r="J643" s="145"/>
      <c r="K643" s="138"/>
      <c r="L643" s="146"/>
      <c r="M643" s="127" t="str">
        <f>IF(B643="","",B643/((Settings!$B$7)/100)^2)</f>
        <v/>
      </c>
      <c r="N643" s="25">
        <f>Settings!$B$6</f>
        <v>100</v>
      </c>
      <c r="O643" s="3" t="e">
        <f t="shared" si="54"/>
        <v>#N/A</v>
      </c>
      <c r="P643" s="3" t="e">
        <f t="shared" si="55"/>
        <v>#N/A</v>
      </c>
      <c r="Q643" s="3" t="e">
        <f t="shared" si="56"/>
        <v>#N/A</v>
      </c>
      <c r="R643" s="131">
        <f t="shared" si="57"/>
        <v>46915</v>
      </c>
      <c r="S643" s="3" t="e">
        <f t="shared" si="58"/>
        <v>#N/A</v>
      </c>
      <c r="T643" s="3" t="e">
        <f t="shared" si="59"/>
        <v>#N/A</v>
      </c>
      <c r="U643" s="3">
        <f>Settings!$B$6</f>
        <v>100</v>
      </c>
    </row>
    <row r="644" spans="1:21" ht="18" customHeight="1" x14ac:dyDescent="0.3">
      <c r="A644" s="124">
        <f>A643+1</f>
        <v>46916</v>
      </c>
      <c r="B644" s="137"/>
      <c r="C644" s="126" t="str" cm="1">
        <f t="array" ref="C644">IF(B644="","",B644-IFERROR(LOOKUP(2,1/($B$6:B643&lt;&gt;""),$B$6:B643),Settings!$B$5))</f>
        <v/>
      </c>
      <c r="D644" s="127" t="str">
        <f>IF(B644="","",AVERAGE(B638:B644))</f>
        <v/>
      </c>
      <c r="E644" s="139"/>
      <c r="F644" s="140"/>
      <c r="G644" s="137"/>
      <c r="H644" s="139"/>
      <c r="I644" s="140"/>
      <c r="J644" s="141"/>
      <c r="K644" s="137"/>
      <c r="L644" s="142"/>
      <c r="M644" s="127" t="str">
        <f>IF(B644="","",B644/((Settings!$B$7)/100)^2)</f>
        <v/>
      </c>
      <c r="N644" s="25">
        <f>Settings!$B$6</f>
        <v>100</v>
      </c>
      <c r="O644" s="3" t="e">
        <f t="shared" si="54"/>
        <v>#N/A</v>
      </c>
      <c r="P644" s="3" t="e">
        <f t="shared" si="55"/>
        <v>#N/A</v>
      </c>
      <c r="Q644" s="3" t="e">
        <f t="shared" si="56"/>
        <v>#N/A</v>
      </c>
      <c r="R644" s="131">
        <f t="shared" si="57"/>
        <v>46916</v>
      </c>
      <c r="S644" s="3" t="e">
        <f t="shared" si="58"/>
        <v>#N/A</v>
      </c>
      <c r="T644" s="3" t="e">
        <f t="shared" si="59"/>
        <v>#N/A</v>
      </c>
      <c r="U644" s="3">
        <f>Settings!$B$6</f>
        <v>100</v>
      </c>
    </row>
    <row r="645" spans="1:21" ht="18" customHeight="1" x14ac:dyDescent="0.3">
      <c r="A645" s="132">
        <f>A644+1</f>
        <v>46917</v>
      </c>
      <c r="B645" s="138"/>
      <c r="C645" s="126" t="str" cm="1">
        <f t="array" ref="C645">IF(B645="","",B645-IFERROR(LOOKUP(2,1/($B$6:B644&lt;&gt;""),$B$6:B644),Settings!$B$5))</f>
        <v/>
      </c>
      <c r="D645" s="127" t="str">
        <f>IF(B645="","",AVERAGE(B639:B645))</f>
        <v/>
      </c>
      <c r="E645" s="143"/>
      <c r="F645" s="144"/>
      <c r="G645" s="138"/>
      <c r="H645" s="143"/>
      <c r="I645" s="144"/>
      <c r="J645" s="145"/>
      <c r="K645" s="138"/>
      <c r="L645" s="146"/>
      <c r="M645" s="127" t="str">
        <f>IF(B645="","",B645/((Settings!$B$7)/100)^2)</f>
        <v/>
      </c>
      <c r="N645" s="25">
        <f>Settings!$B$6</f>
        <v>100</v>
      </c>
      <c r="O645" s="3" t="e">
        <f t="shared" si="54"/>
        <v>#N/A</v>
      </c>
      <c r="P645" s="3" t="e">
        <f t="shared" si="55"/>
        <v>#N/A</v>
      </c>
      <c r="Q645" s="3" t="e">
        <f t="shared" si="56"/>
        <v>#N/A</v>
      </c>
      <c r="R645" s="131">
        <f t="shared" si="57"/>
        <v>46917</v>
      </c>
      <c r="S645" s="3" t="e">
        <f t="shared" si="58"/>
        <v>#N/A</v>
      </c>
      <c r="T645" s="3" t="e">
        <f t="shared" si="59"/>
        <v>#N/A</v>
      </c>
      <c r="U645" s="3">
        <f>Settings!$B$6</f>
        <v>100</v>
      </c>
    </row>
    <row r="646" spans="1:21" ht="18" customHeight="1" x14ac:dyDescent="0.3">
      <c r="A646" s="124">
        <f>A645+1</f>
        <v>46918</v>
      </c>
      <c r="B646" s="137"/>
      <c r="C646" s="126" t="str" cm="1">
        <f t="array" ref="C646">IF(B646="","",B646-IFERROR(LOOKUP(2,1/($B$6:B645&lt;&gt;""),$B$6:B645),Settings!$B$5))</f>
        <v/>
      </c>
      <c r="D646" s="127" t="str">
        <f>IF(B646="","",AVERAGE(B640:B646))</f>
        <v/>
      </c>
      <c r="E646" s="139"/>
      <c r="F646" s="140"/>
      <c r="G646" s="137"/>
      <c r="H646" s="139"/>
      <c r="I646" s="140"/>
      <c r="J646" s="141"/>
      <c r="K646" s="137"/>
      <c r="L646" s="142"/>
      <c r="M646" s="127" t="str">
        <f>IF(B646="","",B646/((Settings!$B$7)/100)^2)</f>
        <v/>
      </c>
      <c r="N646" s="25">
        <f>Settings!$B$6</f>
        <v>100</v>
      </c>
      <c r="O646" s="3" t="e">
        <f t="shared" si="54"/>
        <v>#N/A</v>
      </c>
      <c r="P646" s="3" t="e">
        <f t="shared" si="55"/>
        <v>#N/A</v>
      </c>
      <c r="Q646" s="3" t="e">
        <f t="shared" si="56"/>
        <v>#N/A</v>
      </c>
      <c r="R646" s="131">
        <f t="shared" si="57"/>
        <v>46918</v>
      </c>
      <c r="S646" s="3" t="e">
        <f t="shared" si="58"/>
        <v>#N/A</v>
      </c>
      <c r="T646" s="3" t="e">
        <f t="shared" si="59"/>
        <v>#N/A</v>
      </c>
      <c r="U646" s="3">
        <f>Settings!$B$6</f>
        <v>100</v>
      </c>
    </row>
    <row r="647" spans="1:21" ht="18" customHeight="1" x14ac:dyDescent="0.3">
      <c r="A647" s="132">
        <f>A646+1</f>
        <v>46919</v>
      </c>
      <c r="B647" s="138"/>
      <c r="C647" s="126" t="str" cm="1">
        <f t="array" ref="C647">IF(B647="","",B647-IFERROR(LOOKUP(2,1/($B$6:B646&lt;&gt;""),$B$6:B646),Settings!$B$5))</f>
        <v/>
      </c>
      <c r="D647" s="127" t="str">
        <f>IF(B647="","",AVERAGE(B641:B647))</f>
        <v/>
      </c>
      <c r="E647" s="143"/>
      <c r="F647" s="144"/>
      <c r="G647" s="138"/>
      <c r="H647" s="143"/>
      <c r="I647" s="144"/>
      <c r="J647" s="145"/>
      <c r="K647" s="138"/>
      <c r="L647" s="146"/>
      <c r="M647" s="127" t="str">
        <f>IF(B647="","",B647/((Settings!$B$7)/100)^2)</f>
        <v/>
      </c>
      <c r="N647" s="25">
        <f>Settings!$B$6</f>
        <v>100</v>
      </c>
      <c r="O647" s="3" t="e">
        <f t="shared" ref="O647:O710" si="60">IF($B647="",NA(),$B647)</f>
        <v>#N/A</v>
      </c>
      <c r="P647" s="3" t="e">
        <f t="shared" ref="P647:P710" si="61">IF($D647="",NA(),$D647)</f>
        <v>#N/A</v>
      </c>
      <c r="Q647" s="3" t="e">
        <f t="shared" ref="Q647:Q710" si="62">IF($M647="",NA(),$M647)</f>
        <v>#N/A</v>
      </c>
      <c r="R647" s="131">
        <f t="shared" ref="R647:R710" si="63">A647</f>
        <v>46919</v>
      </c>
      <c r="S647" s="3" t="e">
        <f t="shared" ref="S647:S710" si="64">IF($B647="",NA(),$B647)</f>
        <v>#N/A</v>
      </c>
      <c r="T647" s="3" t="e">
        <f t="shared" ref="T647:T710" si="65">IF($D647="",NA(),$D647)</f>
        <v>#N/A</v>
      </c>
      <c r="U647" s="3">
        <f>Settings!$B$6</f>
        <v>100</v>
      </c>
    </row>
    <row r="648" spans="1:21" ht="18" customHeight="1" x14ac:dyDescent="0.3">
      <c r="A648" s="124">
        <f>A647+1</f>
        <v>46920</v>
      </c>
      <c r="B648" s="137"/>
      <c r="C648" s="126" t="str" cm="1">
        <f t="array" ref="C648">IF(B648="","",B648-IFERROR(LOOKUP(2,1/($B$6:B647&lt;&gt;""),$B$6:B647),Settings!$B$5))</f>
        <v/>
      </c>
      <c r="D648" s="127" t="str">
        <f>IF(B648="","",AVERAGE(B642:B648))</f>
        <v/>
      </c>
      <c r="E648" s="139"/>
      <c r="F648" s="140"/>
      <c r="G648" s="137"/>
      <c r="H648" s="139"/>
      <c r="I648" s="140"/>
      <c r="J648" s="141"/>
      <c r="K648" s="137"/>
      <c r="L648" s="142"/>
      <c r="M648" s="127" t="str">
        <f>IF(B648="","",B648/((Settings!$B$7)/100)^2)</f>
        <v/>
      </c>
      <c r="N648" s="25">
        <f>Settings!$B$6</f>
        <v>100</v>
      </c>
      <c r="O648" s="3" t="e">
        <f t="shared" si="60"/>
        <v>#N/A</v>
      </c>
      <c r="P648" s="3" t="e">
        <f t="shared" si="61"/>
        <v>#N/A</v>
      </c>
      <c r="Q648" s="3" t="e">
        <f t="shared" si="62"/>
        <v>#N/A</v>
      </c>
      <c r="R648" s="131">
        <f t="shared" si="63"/>
        <v>46920</v>
      </c>
      <c r="S648" s="3" t="e">
        <f t="shared" si="64"/>
        <v>#N/A</v>
      </c>
      <c r="T648" s="3" t="e">
        <f t="shared" si="65"/>
        <v>#N/A</v>
      </c>
      <c r="U648" s="3">
        <f>Settings!$B$6</f>
        <v>100</v>
      </c>
    </row>
    <row r="649" spans="1:21" ht="18" customHeight="1" x14ac:dyDescent="0.3">
      <c r="A649" s="132">
        <f>A648+1</f>
        <v>46921</v>
      </c>
      <c r="B649" s="138"/>
      <c r="C649" s="126" t="str" cm="1">
        <f t="array" ref="C649">IF(B649="","",B649-IFERROR(LOOKUP(2,1/($B$6:B648&lt;&gt;""),$B$6:B648),Settings!$B$5))</f>
        <v/>
      </c>
      <c r="D649" s="127" t="str">
        <f>IF(B649="","",AVERAGE(B643:B649))</f>
        <v/>
      </c>
      <c r="E649" s="143"/>
      <c r="F649" s="144"/>
      <c r="G649" s="138"/>
      <c r="H649" s="143"/>
      <c r="I649" s="144"/>
      <c r="J649" s="145"/>
      <c r="K649" s="138"/>
      <c r="L649" s="146"/>
      <c r="M649" s="127" t="str">
        <f>IF(B649="","",B649/((Settings!$B$7)/100)^2)</f>
        <v/>
      </c>
      <c r="N649" s="25">
        <f>Settings!$B$6</f>
        <v>100</v>
      </c>
      <c r="O649" s="3" t="e">
        <f t="shared" si="60"/>
        <v>#N/A</v>
      </c>
      <c r="P649" s="3" t="e">
        <f t="shared" si="61"/>
        <v>#N/A</v>
      </c>
      <c r="Q649" s="3" t="e">
        <f t="shared" si="62"/>
        <v>#N/A</v>
      </c>
      <c r="R649" s="131">
        <f t="shared" si="63"/>
        <v>46921</v>
      </c>
      <c r="S649" s="3" t="e">
        <f t="shared" si="64"/>
        <v>#N/A</v>
      </c>
      <c r="T649" s="3" t="e">
        <f t="shared" si="65"/>
        <v>#N/A</v>
      </c>
      <c r="U649" s="3">
        <f>Settings!$B$6</f>
        <v>100</v>
      </c>
    </row>
    <row r="650" spans="1:21" ht="18" customHeight="1" x14ac:dyDescent="0.3">
      <c r="A650" s="124">
        <f>A649+1</f>
        <v>46922</v>
      </c>
      <c r="B650" s="137"/>
      <c r="C650" s="126" t="str" cm="1">
        <f t="array" ref="C650">IF(B650="","",B650-IFERROR(LOOKUP(2,1/($B$6:B649&lt;&gt;""),$B$6:B649),Settings!$B$5))</f>
        <v/>
      </c>
      <c r="D650" s="127" t="str">
        <f>IF(B650="","",AVERAGE(B644:B650))</f>
        <v/>
      </c>
      <c r="E650" s="139"/>
      <c r="F650" s="140"/>
      <c r="G650" s="137"/>
      <c r="H650" s="139"/>
      <c r="I650" s="140"/>
      <c r="J650" s="141"/>
      <c r="K650" s="137"/>
      <c r="L650" s="142"/>
      <c r="M650" s="127" t="str">
        <f>IF(B650="","",B650/((Settings!$B$7)/100)^2)</f>
        <v/>
      </c>
      <c r="N650" s="25">
        <f>Settings!$B$6</f>
        <v>100</v>
      </c>
      <c r="O650" s="3" t="e">
        <f t="shared" si="60"/>
        <v>#N/A</v>
      </c>
      <c r="P650" s="3" t="e">
        <f t="shared" si="61"/>
        <v>#N/A</v>
      </c>
      <c r="Q650" s="3" t="e">
        <f t="shared" si="62"/>
        <v>#N/A</v>
      </c>
      <c r="R650" s="131">
        <f t="shared" si="63"/>
        <v>46922</v>
      </c>
      <c r="S650" s="3" t="e">
        <f t="shared" si="64"/>
        <v>#N/A</v>
      </c>
      <c r="T650" s="3" t="e">
        <f t="shared" si="65"/>
        <v>#N/A</v>
      </c>
      <c r="U650" s="3">
        <f>Settings!$B$6</f>
        <v>100</v>
      </c>
    </row>
    <row r="651" spans="1:21" ht="18" customHeight="1" x14ac:dyDescent="0.3">
      <c r="A651" s="132">
        <f>A650+1</f>
        <v>46923</v>
      </c>
      <c r="B651" s="138"/>
      <c r="C651" s="126" t="str" cm="1">
        <f t="array" ref="C651">IF(B651="","",B651-IFERROR(LOOKUP(2,1/($B$6:B650&lt;&gt;""),$B$6:B650),Settings!$B$5))</f>
        <v/>
      </c>
      <c r="D651" s="127" t="str">
        <f>IF(B651="","",AVERAGE(B645:B651))</f>
        <v/>
      </c>
      <c r="E651" s="143"/>
      <c r="F651" s="144"/>
      <c r="G651" s="138"/>
      <c r="H651" s="143"/>
      <c r="I651" s="144"/>
      <c r="J651" s="145"/>
      <c r="K651" s="138"/>
      <c r="L651" s="146"/>
      <c r="M651" s="127" t="str">
        <f>IF(B651="","",B651/((Settings!$B$7)/100)^2)</f>
        <v/>
      </c>
      <c r="N651" s="25">
        <f>Settings!$B$6</f>
        <v>100</v>
      </c>
      <c r="O651" s="3" t="e">
        <f t="shared" si="60"/>
        <v>#N/A</v>
      </c>
      <c r="P651" s="3" t="e">
        <f t="shared" si="61"/>
        <v>#N/A</v>
      </c>
      <c r="Q651" s="3" t="e">
        <f t="shared" si="62"/>
        <v>#N/A</v>
      </c>
      <c r="R651" s="131">
        <f t="shared" si="63"/>
        <v>46923</v>
      </c>
      <c r="S651" s="3" t="e">
        <f t="shared" si="64"/>
        <v>#N/A</v>
      </c>
      <c r="T651" s="3" t="e">
        <f t="shared" si="65"/>
        <v>#N/A</v>
      </c>
      <c r="U651" s="3">
        <f>Settings!$B$6</f>
        <v>100</v>
      </c>
    </row>
    <row r="652" spans="1:21" ht="18" customHeight="1" x14ac:dyDescent="0.3">
      <c r="A652" s="124">
        <f>A651+1</f>
        <v>46924</v>
      </c>
      <c r="B652" s="137"/>
      <c r="C652" s="126" t="str" cm="1">
        <f t="array" ref="C652">IF(B652="","",B652-IFERROR(LOOKUP(2,1/($B$6:B651&lt;&gt;""),$B$6:B651),Settings!$B$5))</f>
        <v/>
      </c>
      <c r="D652" s="127" t="str">
        <f>IF(B652="","",AVERAGE(B646:B652))</f>
        <v/>
      </c>
      <c r="E652" s="139"/>
      <c r="F652" s="140"/>
      <c r="G652" s="137"/>
      <c r="H652" s="139"/>
      <c r="I652" s="140"/>
      <c r="J652" s="141"/>
      <c r="K652" s="137"/>
      <c r="L652" s="142"/>
      <c r="M652" s="127" t="str">
        <f>IF(B652="","",B652/((Settings!$B$7)/100)^2)</f>
        <v/>
      </c>
      <c r="N652" s="25">
        <f>Settings!$B$6</f>
        <v>100</v>
      </c>
      <c r="O652" s="3" t="e">
        <f t="shared" si="60"/>
        <v>#N/A</v>
      </c>
      <c r="P652" s="3" t="e">
        <f t="shared" si="61"/>
        <v>#N/A</v>
      </c>
      <c r="Q652" s="3" t="e">
        <f t="shared" si="62"/>
        <v>#N/A</v>
      </c>
      <c r="R652" s="131">
        <f t="shared" si="63"/>
        <v>46924</v>
      </c>
      <c r="S652" s="3" t="e">
        <f t="shared" si="64"/>
        <v>#N/A</v>
      </c>
      <c r="T652" s="3" t="e">
        <f t="shared" si="65"/>
        <v>#N/A</v>
      </c>
      <c r="U652" s="3">
        <f>Settings!$B$6</f>
        <v>100</v>
      </c>
    </row>
    <row r="653" spans="1:21" ht="18" customHeight="1" x14ac:dyDescent="0.3">
      <c r="A653" s="132">
        <f>A652+1</f>
        <v>46925</v>
      </c>
      <c r="B653" s="138"/>
      <c r="C653" s="126" t="str" cm="1">
        <f t="array" ref="C653">IF(B653="","",B653-IFERROR(LOOKUP(2,1/($B$6:B652&lt;&gt;""),$B$6:B652),Settings!$B$5))</f>
        <v/>
      </c>
      <c r="D653" s="127" t="str">
        <f>IF(B653="","",AVERAGE(B647:B653))</f>
        <v/>
      </c>
      <c r="E653" s="143"/>
      <c r="F653" s="144"/>
      <c r="G653" s="138"/>
      <c r="H653" s="143"/>
      <c r="I653" s="144"/>
      <c r="J653" s="145"/>
      <c r="K653" s="138"/>
      <c r="L653" s="146"/>
      <c r="M653" s="127" t="str">
        <f>IF(B653="","",B653/((Settings!$B$7)/100)^2)</f>
        <v/>
      </c>
      <c r="N653" s="25">
        <f>Settings!$B$6</f>
        <v>100</v>
      </c>
      <c r="O653" s="3" t="e">
        <f t="shared" si="60"/>
        <v>#N/A</v>
      </c>
      <c r="P653" s="3" t="e">
        <f t="shared" si="61"/>
        <v>#N/A</v>
      </c>
      <c r="Q653" s="3" t="e">
        <f t="shared" si="62"/>
        <v>#N/A</v>
      </c>
      <c r="R653" s="131">
        <f t="shared" si="63"/>
        <v>46925</v>
      </c>
      <c r="S653" s="3" t="e">
        <f t="shared" si="64"/>
        <v>#N/A</v>
      </c>
      <c r="T653" s="3" t="e">
        <f t="shared" si="65"/>
        <v>#N/A</v>
      </c>
      <c r="U653" s="3">
        <f>Settings!$B$6</f>
        <v>100</v>
      </c>
    </row>
    <row r="654" spans="1:21" ht="18" customHeight="1" x14ac:dyDescent="0.3">
      <c r="A654" s="124">
        <f>A653+1</f>
        <v>46926</v>
      </c>
      <c r="B654" s="137"/>
      <c r="C654" s="126" t="str" cm="1">
        <f t="array" ref="C654">IF(B654="","",B654-IFERROR(LOOKUP(2,1/($B$6:B653&lt;&gt;""),$B$6:B653),Settings!$B$5))</f>
        <v/>
      </c>
      <c r="D654" s="127" t="str">
        <f>IF(B654="","",AVERAGE(B648:B654))</f>
        <v/>
      </c>
      <c r="E654" s="139"/>
      <c r="F654" s="140"/>
      <c r="G654" s="137"/>
      <c r="H654" s="139"/>
      <c r="I654" s="140"/>
      <c r="J654" s="141"/>
      <c r="K654" s="137"/>
      <c r="L654" s="142"/>
      <c r="M654" s="127" t="str">
        <f>IF(B654="","",B654/((Settings!$B$7)/100)^2)</f>
        <v/>
      </c>
      <c r="N654" s="25">
        <f>Settings!$B$6</f>
        <v>100</v>
      </c>
      <c r="O654" s="3" t="e">
        <f t="shared" si="60"/>
        <v>#N/A</v>
      </c>
      <c r="P654" s="3" t="e">
        <f t="shared" si="61"/>
        <v>#N/A</v>
      </c>
      <c r="Q654" s="3" t="e">
        <f t="shared" si="62"/>
        <v>#N/A</v>
      </c>
      <c r="R654" s="131">
        <f t="shared" si="63"/>
        <v>46926</v>
      </c>
      <c r="S654" s="3" t="e">
        <f t="shared" si="64"/>
        <v>#N/A</v>
      </c>
      <c r="T654" s="3" t="e">
        <f t="shared" si="65"/>
        <v>#N/A</v>
      </c>
      <c r="U654" s="3">
        <f>Settings!$B$6</f>
        <v>100</v>
      </c>
    </row>
    <row r="655" spans="1:21" ht="18" customHeight="1" x14ac:dyDescent="0.3">
      <c r="A655" s="132">
        <f>A654+1</f>
        <v>46927</v>
      </c>
      <c r="B655" s="138"/>
      <c r="C655" s="126" t="str" cm="1">
        <f t="array" ref="C655">IF(B655="","",B655-IFERROR(LOOKUP(2,1/($B$6:B654&lt;&gt;""),$B$6:B654),Settings!$B$5))</f>
        <v/>
      </c>
      <c r="D655" s="127" t="str">
        <f>IF(B655="","",AVERAGE(B649:B655))</f>
        <v/>
      </c>
      <c r="E655" s="143"/>
      <c r="F655" s="144"/>
      <c r="G655" s="138"/>
      <c r="H655" s="143"/>
      <c r="I655" s="144"/>
      <c r="J655" s="145"/>
      <c r="K655" s="138"/>
      <c r="L655" s="146"/>
      <c r="M655" s="127" t="str">
        <f>IF(B655="","",B655/((Settings!$B$7)/100)^2)</f>
        <v/>
      </c>
      <c r="N655" s="25">
        <f>Settings!$B$6</f>
        <v>100</v>
      </c>
      <c r="O655" s="3" t="e">
        <f t="shared" si="60"/>
        <v>#N/A</v>
      </c>
      <c r="P655" s="3" t="e">
        <f t="shared" si="61"/>
        <v>#N/A</v>
      </c>
      <c r="Q655" s="3" t="e">
        <f t="shared" si="62"/>
        <v>#N/A</v>
      </c>
      <c r="R655" s="131">
        <f t="shared" si="63"/>
        <v>46927</v>
      </c>
      <c r="S655" s="3" t="e">
        <f t="shared" si="64"/>
        <v>#N/A</v>
      </c>
      <c r="T655" s="3" t="e">
        <f t="shared" si="65"/>
        <v>#N/A</v>
      </c>
      <c r="U655" s="3">
        <f>Settings!$B$6</f>
        <v>100</v>
      </c>
    </row>
    <row r="656" spans="1:21" ht="18" customHeight="1" x14ac:dyDescent="0.3">
      <c r="A656" s="124">
        <f>A655+1</f>
        <v>46928</v>
      </c>
      <c r="B656" s="137"/>
      <c r="C656" s="126" t="str" cm="1">
        <f t="array" ref="C656">IF(B656="","",B656-IFERROR(LOOKUP(2,1/($B$6:B655&lt;&gt;""),$B$6:B655),Settings!$B$5))</f>
        <v/>
      </c>
      <c r="D656" s="127" t="str">
        <f>IF(B656="","",AVERAGE(B650:B656))</f>
        <v/>
      </c>
      <c r="E656" s="139"/>
      <c r="F656" s="140"/>
      <c r="G656" s="137"/>
      <c r="H656" s="139"/>
      <c r="I656" s="140"/>
      <c r="J656" s="141"/>
      <c r="K656" s="137"/>
      <c r="L656" s="142"/>
      <c r="M656" s="127" t="str">
        <f>IF(B656="","",B656/((Settings!$B$7)/100)^2)</f>
        <v/>
      </c>
      <c r="N656" s="25">
        <f>Settings!$B$6</f>
        <v>100</v>
      </c>
      <c r="O656" s="3" t="e">
        <f t="shared" si="60"/>
        <v>#N/A</v>
      </c>
      <c r="P656" s="3" t="e">
        <f t="shared" si="61"/>
        <v>#N/A</v>
      </c>
      <c r="Q656" s="3" t="e">
        <f t="shared" si="62"/>
        <v>#N/A</v>
      </c>
      <c r="R656" s="131">
        <f t="shared" si="63"/>
        <v>46928</v>
      </c>
      <c r="S656" s="3" t="e">
        <f t="shared" si="64"/>
        <v>#N/A</v>
      </c>
      <c r="T656" s="3" t="e">
        <f t="shared" si="65"/>
        <v>#N/A</v>
      </c>
      <c r="U656" s="3">
        <f>Settings!$B$6</f>
        <v>100</v>
      </c>
    </row>
    <row r="657" spans="1:21" ht="18" customHeight="1" x14ac:dyDescent="0.3">
      <c r="A657" s="132">
        <f>A656+1</f>
        <v>46929</v>
      </c>
      <c r="B657" s="138"/>
      <c r="C657" s="126" t="str" cm="1">
        <f t="array" ref="C657">IF(B657="","",B657-IFERROR(LOOKUP(2,1/($B$6:B656&lt;&gt;""),$B$6:B656),Settings!$B$5))</f>
        <v/>
      </c>
      <c r="D657" s="127" t="str">
        <f>IF(B657="","",AVERAGE(B651:B657))</f>
        <v/>
      </c>
      <c r="E657" s="143"/>
      <c r="F657" s="144"/>
      <c r="G657" s="138"/>
      <c r="H657" s="143"/>
      <c r="I657" s="144"/>
      <c r="J657" s="145"/>
      <c r="K657" s="138"/>
      <c r="L657" s="146"/>
      <c r="M657" s="127" t="str">
        <f>IF(B657="","",B657/((Settings!$B$7)/100)^2)</f>
        <v/>
      </c>
      <c r="N657" s="25">
        <f>Settings!$B$6</f>
        <v>100</v>
      </c>
      <c r="O657" s="3" t="e">
        <f t="shared" si="60"/>
        <v>#N/A</v>
      </c>
      <c r="P657" s="3" t="e">
        <f t="shared" si="61"/>
        <v>#N/A</v>
      </c>
      <c r="Q657" s="3" t="e">
        <f t="shared" si="62"/>
        <v>#N/A</v>
      </c>
      <c r="R657" s="131">
        <f t="shared" si="63"/>
        <v>46929</v>
      </c>
      <c r="S657" s="3" t="e">
        <f t="shared" si="64"/>
        <v>#N/A</v>
      </c>
      <c r="T657" s="3" t="e">
        <f t="shared" si="65"/>
        <v>#N/A</v>
      </c>
      <c r="U657" s="3">
        <f>Settings!$B$6</f>
        <v>100</v>
      </c>
    </row>
    <row r="658" spans="1:21" ht="18" customHeight="1" x14ac:dyDescent="0.3">
      <c r="A658" s="124">
        <f>A657+1</f>
        <v>46930</v>
      </c>
      <c r="B658" s="137"/>
      <c r="C658" s="126" t="str" cm="1">
        <f t="array" ref="C658">IF(B658="","",B658-IFERROR(LOOKUP(2,1/($B$6:B657&lt;&gt;""),$B$6:B657),Settings!$B$5))</f>
        <v/>
      </c>
      <c r="D658" s="127" t="str">
        <f>IF(B658="","",AVERAGE(B652:B658))</f>
        <v/>
      </c>
      <c r="E658" s="139"/>
      <c r="F658" s="140"/>
      <c r="G658" s="137"/>
      <c r="H658" s="139"/>
      <c r="I658" s="140"/>
      <c r="J658" s="141"/>
      <c r="K658" s="137"/>
      <c r="L658" s="142"/>
      <c r="M658" s="127" t="str">
        <f>IF(B658="","",B658/((Settings!$B$7)/100)^2)</f>
        <v/>
      </c>
      <c r="N658" s="25">
        <f>Settings!$B$6</f>
        <v>100</v>
      </c>
      <c r="O658" s="3" t="e">
        <f t="shared" si="60"/>
        <v>#N/A</v>
      </c>
      <c r="P658" s="3" t="e">
        <f t="shared" si="61"/>
        <v>#N/A</v>
      </c>
      <c r="Q658" s="3" t="e">
        <f t="shared" si="62"/>
        <v>#N/A</v>
      </c>
      <c r="R658" s="131">
        <f t="shared" si="63"/>
        <v>46930</v>
      </c>
      <c r="S658" s="3" t="e">
        <f t="shared" si="64"/>
        <v>#N/A</v>
      </c>
      <c r="T658" s="3" t="e">
        <f t="shared" si="65"/>
        <v>#N/A</v>
      </c>
      <c r="U658" s="3">
        <f>Settings!$B$6</f>
        <v>100</v>
      </c>
    </row>
    <row r="659" spans="1:21" ht="18" customHeight="1" x14ac:dyDescent="0.3">
      <c r="A659" s="132">
        <f>A658+1</f>
        <v>46931</v>
      </c>
      <c r="B659" s="138"/>
      <c r="C659" s="126" t="str" cm="1">
        <f t="array" ref="C659">IF(B659="","",B659-IFERROR(LOOKUP(2,1/($B$6:B658&lt;&gt;""),$B$6:B658),Settings!$B$5))</f>
        <v/>
      </c>
      <c r="D659" s="127" t="str">
        <f>IF(B659="","",AVERAGE(B653:B659))</f>
        <v/>
      </c>
      <c r="E659" s="143"/>
      <c r="F659" s="144"/>
      <c r="G659" s="138"/>
      <c r="H659" s="143"/>
      <c r="I659" s="144"/>
      <c r="J659" s="145"/>
      <c r="K659" s="138"/>
      <c r="L659" s="146"/>
      <c r="M659" s="127" t="str">
        <f>IF(B659="","",B659/((Settings!$B$7)/100)^2)</f>
        <v/>
      </c>
      <c r="N659" s="25">
        <f>Settings!$B$6</f>
        <v>100</v>
      </c>
      <c r="O659" s="3" t="e">
        <f t="shared" si="60"/>
        <v>#N/A</v>
      </c>
      <c r="P659" s="3" t="e">
        <f t="shared" si="61"/>
        <v>#N/A</v>
      </c>
      <c r="Q659" s="3" t="e">
        <f t="shared" si="62"/>
        <v>#N/A</v>
      </c>
      <c r="R659" s="131">
        <f t="shared" si="63"/>
        <v>46931</v>
      </c>
      <c r="S659" s="3" t="e">
        <f t="shared" si="64"/>
        <v>#N/A</v>
      </c>
      <c r="T659" s="3" t="e">
        <f t="shared" si="65"/>
        <v>#N/A</v>
      </c>
      <c r="U659" s="3">
        <f>Settings!$B$6</f>
        <v>100</v>
      </c>
    </row>
    <row r="660" spans="1:21" ht="18" customHeight="1" x14ac:dyDescent="0.3">
      <c r="A660" s="124">
        <f>A659+1</f>
        <v>46932</v>
      </c>
      <c r="B660" s="137"/>
      <c r="C660" s="126" t="str" cm="1">
        <f t="array" ref="C660">IF(B660="","",B660-IFERROR(LOOKUP(2,1/($B$6:B659&lt;&gt;""),$B$6:B659),Settings!$B$5))</f>
        <v/>
      </c>
      <c r="D660" s="127" t="str">
        <f>IF(B660="","",AVERAGE(B654:B660))</f>
        <v/>
      </c>
      <c r="E660" s="139"/>
      <c r="F660" s="140"/>
      <c r="G660" s="137"/>
      <c r="H660" s="139"/>
      <c r="I660" s="140"/>
      <c r="J660" s="141"/>
      <c r="K660" s="137"/>
      <c r="L660" s="142"/>
      <c r="M660" s="127" t="str">
        <f>IF(B660="","",B660/((Settings!$B$7)/100)^2)</f>
        <v/>
      </c>
      <c r="N660" s="25">
        <f>Settings!$B$6</f>
        <v>100</v>
      </c>
      <c r="O660" s="3" t="e">
        <f t="shared" si="60"/>
        <v>#N/A</v>
      </c>
      <c r="P660" s="3" t="e">
        <f t="shared" si="61"/>
        <v>#N/A</v>
      </c>
      <c r="Q660" s="3" t="e">
        <f t="shared" si="62"/>
        <v>#N/A</v>
      </c>
      <c r="R660" s="131">
        <f t="shared" si="63"/>
        <v>46932</v>
      </c>
      <c r="S660" s="3" t="e">
        <f t="shared" si="64"/>
        <v>#N/A</v>
      </c>
      <c r="T660" s="3" t="e">
        <f t="shared" si="65"/>
        <v>#N/A</v>
      </c>
      <c r="U660" s="3">
        <f>Settings!$B$6</f>
        <v>100</v>
      </c>
    </row>
    <row r="661" spans="1:21" ht="18" customHeight="1" x14ac:dyDescent="0.3">
      <c r="A661" s="132">
        <f>A660+1</f>
        <v>46933</v>
      </c>
      <c r="B661" s="138"/>
      <c r="C661" s="126" t="str" cm="1">
        <f t="array" ref="C661">IF(B661="","",B661-IFERROR(LOOKUP(2,1/($B$6:B660&lt;&gt;""),$B$6:B660),Settings!$B$5))</f>
        <v/>
      </c>
      <c r="D661" s="127" t="str">
        <f>IF(B661="","",AVERAGE(B655:B661))</f>
        <v/>
      </c>
      <c r="E661" s="143"/>
      <c r="F661" s="144"/>
      <c r="G661" s="138"/>
      <c r="H661" s="143"/>
      <c r="I661" s="144"/>
      <c r="J661" s="145"/>
      <c r="K661" s="138"/>
      <c r="L661" s="146"/>
      <c r="M661" s="127" t="str">
        <f>IF(B661="","",B661/((Settings!$B$7)/100)^2)</f>
        <v/>
      </c>
      <c r="N661" s="25">
        <f>Settings!$B$6</f>
        <v>100</v>
      </c>
      <c r="O661" s="3" t="e">
        <f t="shared" si="60"/>
        <v>#N/A</v>
      </c>
      <c r="P661" s="3" t="e">
        <f t="shared" si="61"/>
        <v>#N/A</v>
      </c>
      <c r="Q661" s="3" t="e">
        <f t="shared" si="62"/>
        <v>#N/A</v>
      </c>
      <c r="R661" s="131">
        <f t="shared" si="63"/>
        <v>46933</v>
      </c>
      <c r="S661" s="3" t="e">
        <f t="shared" si="64"/>
        <v>#N/A</v>
      </c>
      <c r="T661" s="3" t="e">
        <f t="shared" si="65"/>
        <v>#N/A</v>
      </c>
      <c r="U661" s="3">
        <f>Settings!$B$6</f>
        <v>100</v>
      </c>
    </row>
    <row r="662" spans="1:21" ht="18" customHeight="1" x14ac:dyDescent="0.3">
      <c r="A662" s="124">
        <f>A661+1</f>
        <v>46934</v>
      </c>
      <c r="B662" s="137"/>
      <c r="C662" s="126" t="str" cm="1">
        <f t="array" ref="C662">IF(B662="","",B662-IFERROR(LOOKUP(2,1/($B$6:B661&lt;&gt;""),$B$6:B661),Settings!$B$5))</f>
        <v/>
      </c>
      <c r="D662" s="127" t="str">
        <f>IF(B662="","",AVERAGE(B656:B662))</f>
        <v/>
      </c>
      <c r="E662" s="139"/>
      <c r="F662" s="140"/>
      <c r="G662" s="137"/>
      <c r="H662" s="139"/>
      <c r="I662" s="140"/>
      <c r="J662" s="141"/>
      <c r="K662" s="137"/>
      <c r="L662" s="142"/>
      <c r="M662" s="127" t="str">
        <f>IF(B662="","",B662/((Settings!$B$7)/100)^2)</f>
        <v/>
      </c>
      <c r="N662" s="25">
        <f>Settings!$B$6</f>
        <v>100</v>
      </c>
      <c r="O662" s="3" t="e">
        <f t="shared" si="60"/>
        <v>#N/A</v>
      </c>
      <c r="P662" s="3" t="e">
        <f t="shared" si="61"/>
        <v>#N/A</v>
      </c>
      <c r="Q662" s="3" t="e">
        <f t="shared" si="62"/>
        <v>#N/A</v>
      </c>
      <c r="R662" s="131">
        <f t="shared" si="63"/>
        <v>46934</v>
      </c>
      <c r="S662" s="3" t="e">
        <f t="shared" si="64"/>
        <v>#N/A</v>
      </c>
      <c r="T662" s="3" t="e">
        <f t="shared" si="65"/>
        <v>#N/A</v>
      </c>
      <c r="U662" s="3">
        <f>Settings!$B$6</f>
        <v>100</v>
      </c>
    </row>
    <row r="663" spans="1:21" ht="18" customHeight="1" x14ac:dyDescent="0.3">
      <c r="A663" s="132">
        <f>A662+1</f>
        <v>46935</v>
      </c>
      <c r="B663" s="138"/>
      <c r="C663" s="126" t="str" cm="1">
        <f t="array" ref="C663">IF(B663="","",B663-IFERROR(LOOKUP(2,1/($B$6:B662&lt;&gt;""),$B$6:B662),Settings!$B$5))</f>
        <v/>
      </c>
      <c r="D663" s="127" t="str">
        <f>IF(B663="","",AVERAGE(B657:B663))</f>
        <v/>
      </c>
      <c r="E663" s="143"/>
      <c r="F663" s="144"/>
      <c r="G663" s="138"/>
      <c r="H663" s="143"/>
      <c r="I663" s="144"/>
      <c r="J663" s="145"/>
      <c r="K663" s="138"/>
      <c r="L663" s="146"/>
      <c r="M663" s="127" t="str">
        <f>IF(B663="","",B663/((Settings!$B$7)/100)^2)</f>
        <v/>
      </c>
      <c r="N663" s="25">
        <f>Settings!$B$6</f>
        <v>100</v>
      </c>
      <c r="O663" s="3" t="e">
        <f t="shared" si="60"/>
        <v>#N/A</v>
      </c>
      <c r="P663" s="3" t="e">
        <f t="shared" si="61"/>
        <v>#N/A</v>
      </c>
      <c r="Q663" s="3" t="e">
        <f t="shared" si="62"/>
        <v>#N/A</v>
      </c>
      <c r="R663" s="131">
        <f t="shared" si="63"/>
        <v>46935</v>
      </c>
      <c r="S663" s="3" t="e">
        <f t="shared" si="64"/>
        <v>#N/A</v>
      </c>
      <c r="T663" s="3" t="e">
        <f t="shared" si="65"/>
        <v>#N/A</v>
      </c>
      <c r="U663" s="3">
        <f>Settings!$B$6</f>
        <v>100</v>
      </c>
    </row>
    <row r="664" spans="1:21" ht="18" customHeight="1" x14ac:dyDescent="0.3">
      <c r="A664" s="124">
        <f>A663+1</f>
        <v>46936</v>
      </c>
      <c r="B664" s="137"/>
      <c r="C664" s="126" t="str" cm="1">
        <f t="array" ref="C664">IF(B664="","",B664-IFERROR(LOOKUP(2,1/($B$6:B663&lt;&gt;""),$B$6:B663),Settings!$B$5))</f>
        <v/>
      </c>
      <c r="D664" s="127" t="str">
        <f>IF(B664="","",AVERAGE(B658:B664))</f>
        <v/>
      </c>
      <c r="E664" s="139"/>
      <c r="F664" s="140"/>
      <c r="G664" s="137"/>
      <c r="H664" s="139"/>
      <c r="I664" s="140"/>
      <c r="J664" s="141"/>
      <c r="K664" s="137"/>
      <c r="L664" s="142"/>
      <c r="M664" s="127" t="str">
        <f>IF(B664="","",B664/((Settings!$B$7)/100)^2)</f>
        <v/>
      </c>
      <c r="N664" s="25">
        <f>Settings!$B$6</f>
        <v>100</v>
      </c>
      <c r="O664" s="3" t="e">
        <f t="shared" si="60"/>
        <v>#N/A</v>
      </c>
      <c r="P664" s="3" t="e">
        <f t="shared" si="61"/>
        <v>#N/A</v>
      </c>
      <c r="Q664" s="3" t="e">
        <f t="shared" si="62"/>
        <v>#N/A</v>
      </c>
      <c r="R664" s="131">
        <f t="shared" si="63"/>
        <v>46936</v>
      </c>
      <c r="S664" s="3" t="e">
        <f t="shared" si="64"/>
        <v>#N/A</v>
      </c>
      <c r="T664" s="3" t="e">
        <f t="shared" si="65"/>
        <v>#N/A</v>
      </c>
      <c r="U664" s="3">
        <f>Settings!$B$6</f>
        <v>100</v>
      </c>
    </row>
    <row r="665" spans="1:21" ht="18" customHeight="1" x14ac:dyDescent="0.3">
      <c r="A665" s="132">
        <f>A664+1</f>
        <v>46937</v>
      </c>
      <c r="B665" s="138"/>
      <c r="C665" s="126" t="str" cm="1">
        <f t="array" ref="C665">IF(B665="","",B665-IFERROR(LOOKUP(2,1/($B$6:B664&lt;&gt;""),$B$6:B664),Settings!$B$5))</f>
        <v/>
      </c>
      <c r="D665" s="127" t="str">
        <f>IF(B665="","",AVERAGE(B659:B665))</f>
        <v/>
      </c>
      <c r="E665" s="143"/>
      <c r="F665" s="144"/>
      <c r="G665" s="138"/>
      <c r="H665" s="143"/>
      <c r="I665" s="144"/>
      <c r="J665" s="145"/>
      <c r="K665" s="138"/>
      <c r="L665" s="146"/>
      <c r="M665" s="127" t="str">
        <f>IF(B665="","",B665/((Settings!$B$7)/100)^2)</f>
        <v/>
      </c>
      <c r="N665" s="25">
        <f>Settings!$B$6</f>
        <v>100</v>
      </c>
      <c r="O665" s="3" t="e">
        <f t="shared" si="60"/>
        <v>#N/A</v>
      </c>
      <c r="P665" s="3" t="e">
        <f t="shared" si="61"/>
        <v>#N/A</v>
      </c>
      <c r="Q665" s="3" t="e">
        <f t="shared" si="62"/>
        <v>#N/A</v>
      </c>
      <c r="R665" s="131">
        <f t="shared" si="63"/>
        <v>46937</v>
      </c>
      <c r="S665" s="3" t="e">
        <f t="shared" si="64"/>
        <v>#N/A</v>
      </c>
      <c r="T665" s="3" t="e">
        <f t="shared" si="65"/>
        <v>#N/A</v>
      </c>
      <c r="U665" s="3">
        <f>Settings!$B$6</f>
        <v>100</v>
      </c>
    </row>
    <row r="666" spans="1:21" ht="18" customHeight="1" x14ac:dyDescent="0.3">
      <c r="A666" s="124">
        <f>A665+1</f>
        <v>46938</v>
      </c>
      <c r="B666" s="137"/>
      <c r="C666" s="126" t="str" cm="1">
        <f t="array" ref="C666">IF(B666="","",B666-IFERROR(LOOKUP(2,1/($B$6:B665&lt;&gt;""),$B$6:B665),Settings!$B$5))</f>
        <v/>
      </c>
      <c r="D666" s="127" t="str">
        <f>IF(B666="","",AVERAGE(B660:B666))</f>
        <v/>
      </c>
      <c r="E666" s="139"/>
      <c r="F666" s="140"/>
      <c r="G666" s="137"/>
      <c r="H666" s="139"/>
      <c r="I666" s="140"/>
      <c r="J666" s="141"/>
      <c r="K666" s="137"/>
      <c r="L666" s="142"/>
      <c r="M666" s="127" t="str">
        <f>IF(B666="","",B666/((Settings!$B$7)/100)^2)</f>
        <v/>
      </c>
      <c r="N666" s="25">
        <f>Settings!$B$6</f>
        <v>100</v>
      </c>
      <c r="O666" s="3" t="e">
        <f t="shared" si="60"/>
        <v>#N/A</v>
      </c>
      <c r="P666" s="3" t="e">
        <f t="shared" si="61"/>
        <v>#N/A</v>
      </c>
      <c r="Q666" s="3" t="e">
        <f t="shared" si="62"/>
        <v>#N/A</v>
      </c>
      <c r="R666" s="131">
        <f t="shared" si="63"/>
        <v>46938</v>
      </c>
      <c r="S666" s="3" t="e">
        <f t="shared" si="64"/>
        <v>#N/A</v>
      </c>
      <c r="T666" s="3" t="e">
        <f t="shared" si="65"/>
        <v>#N/A</v>
      </c>
      <c r="U666" s="3">
        <f>Settings!$B$6</f>
        <v>100</v>
      </c>
    </row>
    <row r="667" spans="1:21" ht="18" customHeight="1" x14ac:dyDescent="0.3">
      <c r="A667" s="132">
        <f>A666+1</f>
        <v>46939</v>
      </c>
      <c r="B667" s="138"/>
      <c r="C667" s="126" t="str" cm="1">
        <f t="array" ref="C667">IF(B667="","",B667-IFERROR(LOOKUP(2,1/($B$6:B666&lt;&gt;""),$B$6:B666),Settings!$B$5))</f>
        <v/>
      </c>
      <c r="D667" s="127" t="str">
        <f>IF(B667="","",AVERAGE(B661:B667))</f>
        <v/>
      </c>
      <c r="E667" s="143"/>
      <c r="F667" s="144"/>
      <c r="G667" s="138"/>
      <c r="H667" s="143"/>
      <c r="I667" s="144"/>
      <c r="J667" s="145"/>
      <c r="K667" s="138"/>
      <c r="L667" s="146"/>
      <c r="M667" s="127" t="str">
        <f>IF(B667="","",B667/((Settings!$B$7)/100)^2)</f>
        <v/>
      </c>
      <c r="N667" s="25">
        <f>Settings!$B$6</f>
        <v>100</v>
      </c>
      <c r="O667" s="3" t="e">
        <f t="shared" si="60"/>
        <v>#N/A</v>
      </c>
      <c r="P667" s="3" t="e">
        <f t="shared" si="61"/>
        <v>#N/A</v>
      </c>
      <c r="Q667" s="3" t="e">
        <f t="shared" si="62"/>
        <v>#N/A</v>
      </c>
      <c r="R667" s="131">
        <f t="shared" si="63"/>
        <v>46939</v>
      </c>
      <c r="S667" s="3" t="e">
        <f t="shared" si="64"/>
        <v>#N/A</v>
      </c>
      <c r="T667" s="3" t="e">
        <f t="shared" si="65"/>
        <v>#N/A</v>
      </c>
      <c r="U667" s="3">
        <f>Settings!$B$6</f>
        <v>100</v>
      </c>
    </row>
    <row r="668" spans="1:21" ht="18" customHeight="1" x14ac:dyDescent="0.3">
      <c r="A668" s="124">
        <f>A667+1</f>
        <v>46940</v>
      </c>
      <c r="B668" s="137"/>
      <c r="C668" s="126" t="str" cm="1">
        <f t="array" ref="C668">IF(B668="","",B668-IFERROR(LOOKUP(2,1/($B$6:B667&lt;&gt;""),$B$6:B667),Settings!$B$5))</f>
        <v/>
      </c>
      <c r="D668" s="127" t="str">
        <f>IF(B668="","",AVERAGE(B662:B668))</f>
        <v/>
      </c>
      <c r="E668" s="139"/>
      <c r="F668" s="140"/>
      <c r="G668" s="137"/>
      <c r="H668" s="139"/>
      <c r="I668" s="140"/>
      <c r="J668" s="141"/>
      <c r="K668" s="137"/>
      <c r="L668" s="142"/>
      <c r="M668" s="127" t="str">
        <f>IF(B668="","",B668/((Settings!$B$7)/100)^2)</f>
        <v/>
      </c>
      <c r="N668" s="25">
        <f>Settings!$B$6</f>
        <v>100</v>
      </c>
      <c r="O668" s="3" t="e">
        <f t="shared" si="60"/>
        <v>#N/A</v>
      </c>
      <c r="P668" s="3" t="e">
        <f t="shared" si="61"/>
        <v>#N/A</v>
      </c>
      <c r="Q668" s="3" t="e">
        <f t="shared" si="62"/>
        <v>#N/A</v>
      </c>
      <c r="R668" s="131">
        <f t="shared" si="63"/>
        <v>46940</v>
      </c>
      <c r="S668" s="3" t="e">
        <f t="shared" si="64"/>
        <v>#N/A</v>
      </c>
      <c r="T668" s="3" t="e">
        <f t="shared" si="65"/>
        <v>#N/A</v>
      </c>
      <c r="U668" s="3">
        <f>Settings!$B$6</f>
        <v>100</v>
      </c>
    </row>
    <row r="669" spans="1:21" ht="18" customHeight="1" x14ac:dyDescent="0.3">
      <c r="A669" s="132">
        <f>A668+1</f>
        <v>46941</v>
      </c>
      <c r="B669" s="138"/>
      <c r="C669" s="126" t="str" cm="1">
        <f t="array" ref="C669">IF(B669="","",B669-IFERROR(LOOKUP(2,1/($B$6:B668&lt;&gt;""),$B$6:B668),Settings!$B$5))</f>
        <v/>
      </c>
      <c r="D669" s="127" t="str">
        <f>IF(B669="","",AVERAGE(B663:B669))</f>
        <v/>
      </c>
      <c r="E669" s="143"/>
      <c r="F669" s="144"/>
      <c r="G669" s="138"/>
      <c r="H669" s="143"/>
      <c r="I669" s="144"/>
      <c r="J669" s="145"/>
      <c r="K669" s="138"/>
      <c r="L669" s="146"/>
      <c r="M669" s="127" t="str">
        <f>IF(B669="","",B669/((Settings!$B$7)/100)^2)</f>
        <v/>
      </c>
      <c r="N669" s="25">
        <f>Settings!$B$6</f>
        <v>100</v>
      </c>
      <c r="O669" s="3" t="e">
        <f t="shared" si="60"/>
        <v>#N/A</v>
      </c>
      <c r="P669" s="3" t="e">
        <f t="shared" si="61"/>
        <v>#N/A</v>
      </c>
      <c r="Q669" s="3" t="e">
        <f t="shared" si="62"/>
        <v>#N/A</v>
      </c>
      <c r="R669" s="131">
        <f t="shared" si="63"/>
        <v>46941</v>
      </c>
      <c r="S669" s="3" t="e">
        <f t="shared" si="64"/>
        <v>#N/A</v>
      </c>
      <c r="T669" s="3" t="e">
        <f t="shared" si="65"/>
        <v>#N/A</v>
      </c>
      <c r="U669" s="3">
        <f>Settings!$B$6</f>
        <v>100</v>
      </c>
    </row>
    <row r="670" spans="1:21" ht="18" customHeight="1" x14ac:dyDescent="0.3">
      <c r="A670" s="124">
        <f>A669+1</f>
        <v>46942</v>
      </c>
      <c r="B670" s="137"/>
      <c r="C670" s="126" t="str" cm="1">
        <f t="array" ref="C670">IF(B670="","",B670-IFERROR(LOOKUP(2,1/($B$6:B669&lt;&gt;""),$B$6:B669),Settings!$B$5))</f>
        <v/>
      </c>
      <c r="D670" s="127" t="str">
        <f>IF(B670="","",AVERAGE(B664:B670))</f>
        <v/>
      </c>
      <c r="E670" s="139"/>
      <c r="F670" s="140"/>
      <c r="G670" s="137"/>
      <c r="H670" s="139"/>
      <c r="I670" s="140"/>
      <c r="J670" s="141"/>
      <c r="K670" s="137"/>
      <c r="L670" s="142"/>
      <c r="M670" s="127" t="str">
        <f>IF(B670="","",B670/((Settings!$B$7)/100)^2)</f>
        <v/>
      </c>
      <c r="N670" s="25">
        <f>Settings!$B$6</f>
        <v>100</v>
      </c>
      <c r="O670" s="3" t="e">
        <f t="shared" si="60"/>
        <v>#N/A</v>
      </c>
      <c r="P670" s="3" t="e">
        <f t="shared" si="61"/>
        <v>#N/A</v>
      </c>
      <c r="Q670" s="3" t="e">
        <f t="shared" si="62"/>
        <v>#N/A</v>
      </c>
      <c r="R670" s="131">
        <f t="shared" si="63"/>
        <v>46942</v>
      </c>
      <c r="S670" s="3" t="e">
        <f t="shared" si="64"/>
        <v>#N/A</v>
      </c>
      <c r="T670" s="3" t="e">
        <f t="shared" si="65"/>
        <v>#N/A</v>
      </c>
      <c r="U670" s="3">
        <f>Settings!$B$6</f>
        <v>100</v>
      </c>
    </row>
    <row r="671" spans="1:21" ht="18" customHeight="1" x14ac:dyDescent="0.3">
      <c r="A671" s="132">
        <f>A670+1</f>
        <v>46943</v>
      </c>
      <c r="B671" s="138"/>
      <c r="C671" s="126" t="str" cm="1">
        <f t="array" ref="C671">IF(B671="","",B671-IFERROR(LOOKUP(2,1/($B$6:B670&lt;&gt;""),$B$6:B670),Settings!$B$5))</f>
        <v/>
      </c>
      <c r="D671" s="127" t="str">
        <f>IF(B671="","",AVERAGE(B665:B671))</f>
        <v/>
      </c>
      <c r="E671" s="143"/>
      <c r="F671" s="144"/>
      <c r="G671" s="138"/>
      <c r="H671" s="143"/>
      <c r="I671" s="144"/>
      <c r="J671" s="145"/>
      <c r="K671" s="138"/>
      <c r="L671" s="146"/>
      <c r="M671" s="127" t="str">
        <f>IF(B671="","",B671/((Settings!$B$7)/100)^2)</f>
        <v/>
      </c>
      <c r="N671" s="25">
        <f>Settings!$B$6</f>
        <v>100</v>
      </c>
      <c r="O671" s="3" t="e">
        <f t="shared" si="60"/>
        <v>#N/A</v>
      </c>
      <c r="P671" s="3" t="e">
        <f t="shared" si="61"/>
        <v>#N/A</v>
      </c>
      <c r="Q671" s="3" t="e">
        <f t="shared" si="62"/>
        <v>#N/A</v>
      </c>
      <c r="R671" s="131">
        <f t="shared" si="63"/>
        <v>46943</v>
      </c>
      <c r="S671" s="3" t="e">
        <f t="shared" si="64"/>
        <v>#N/A</v>
      </c>
      <c r="T671" s="3" t="e">
        <f t="shared" si="65"/>
        <v>#N/A</v>
      </c>
      <c r="U671" s="3">
        <f>Settings!$B$6</f>
        <v>100</v>
      </c>
    </row>
    <row r="672" spans="1:21" ht="18" customHeight="1" x14ac:dyDescent="0.3">
      <c r="A672" s="124">
        <f>A671+1</f>
        <v>46944</v>
      </c>
      <c r="B672" s="137"/>
      <c r="C672" s="126" t="str" cm="1">
        <f t="array" ref="C672">IF(B672="","",B672-IFERROR(LOOKUP(2,1/($B$6:B671&lt;&gt;""),$B$6:B671),Settings!$B$5))</f>
        <v/>
      </c>
      <c r="D672" s="127" t="str">
        <f>IF(B672="","",AVERAGE(B666:B672))</f>
        <v/>
      </c>
      <c r="E672" s="139"/>
      <c r="F672" s="140"/>
      <c r="G672" s="137"/>
      <c r="H672" s="139"/>
      <c r="I672" s="140"/>
      <c r="J672" s="141"/>
      <c r="K672" s="137"/>
      <c r="L672" s="142"/>
      <c r="M672" s="127" t="str">
        <f>IF(B672="","",B672/((Settings!$B$7)/100)^2)</f>
        <v/>
      </c>
      <c r="N672" s="25">
        <f>Settings!$B$6</f>
        <v>100</v>
      </c>
      <c r="O672" s="3" t="e">
        <f t="shared" si="60"/>
        <v>#N/A</v>
      </c>
      <c r="P672" s="3" t="e">
        <f t="shared" si="61"/>
        <v>#N/A</v>
      </c>
      <c r="Q672" s="3" t="e">
        <f t="shared" si="62"/>
        <v>#N/A</v>
      </c>
      <c r="R672" s="131">
        <f t="shared" si="63"/>
        <v>46944</v>
      </c>
      <c r="S672" s="3" t="e">
        <f t="shared" si="64"/>
        <v>#N/A</v>
      </c>
      <c r="T672" s="3" t="e">
        <f t="shared" si="65"/>
        <v>#N/A</v>
      </c>
      <c r="U672" s="3">
        <f>Settings!$B$6</f>
        <v>100</v>
      </c>
    </row>
    <row r="673" spans="1:21" ht="18" customHeight="1" x14ac:dyDescent="0.3">
      <c r="A673" s="132">
        <f>A672+1</f>
        <v>46945</v>
      </c>
      <c r="B673" s="138"/>
      <c r="C673" s="126" t="str" cm="1">
        <f t="array" ref="C673">IF(B673="","",B673-IFERROR(LOOKUP(2,1/($B$6:B672&lt;&gt;""),$B$6:B672),Settings!$B$5))</f>
        <v/>
      </c>
      <c r="D673" s="127" t="str">
        <f>IF(B673="","",AVERAGE(B667:B673))</f>
        <v/>
      </c>
      <c r="E673" s="143"/>
      <c r="F673" s="144"/>
      <c r="G673" s="138"/>
      <c r="H673" s="143"/>
      <c r="I673" s="144"/>
      <c r="J673" s="145"/>
      <c r="K673" s="138"/>
      <c r="L673" s="146"/>
      <c r="M673" s="127" t="str">
        <f>IF(B673="","",B673/((Settings!$B$7)/100)^2)</f>
        <v/>
      </c>
      <c r="N673" s="25">
        <f>Settings!$B$6</f>
        <v>100</v>
      </c>
      <c r="O673" s="3" t="e">
        <f t="shared" si="60"/>
        <v>#N/A</v>
      </c>
      <c r="P673" s="3" t="e">
        <f t="shared" si="61"/>
        <v>#N/A</v>
      </c>
      <c r="Q673" s="3" t="e">
        <f t="shared" si="62"/>
        <v>#N/A</v>
      </c>
      <c r="R673" s="131">
        <f t="shared" si="63"/>
        <v>46945</v>
      </c>
      <c r="S673" s="3" t="e">
        <f t="shared" si="64"/>
        <v>#N/A</v>
      </c>
      <c r="T673" s="3" t="e">
        <f t="shared" si="65"/>
        <v>#N/A</v>
      </c>
      <c r="U673" s="3">
        <f>Settings!$B$6</f>
        <v>100</v>
      </c>
    </row>
    <row r="674" spans="1:21" ht="18" customHeight="1" x14ac:dyDescent="0.3">
      <c r="A674" s="124">
        <f>A673+1</f>
        <v>46946</v>
      </c>
      <c r="B674" s="137"/>
      <c r="C674" s="126" t="str" cm="1">
        <f t="array" ref="C674">IF(B674="","",B674-IFERROR(LOOKUP(2,1/($B$6:B673&lt;&gt;""),$B$6:B673),Settings!$B$5))</f>
        <v/>
      </c>
      <c r="D674" s="127" t="str">
        <f>IF(B674="","",AVERAGE(B668:B674))</f>
        <v/>
      </c>
      <c r="E674" s="139"/>
      <c r="F674" s="140"/>
      <c r="G674" s="137"/>
      <c r="H674" s="139"/>
      <c r="I674" s="140"/>
      <c r="J674" s="141"/>
      <c r="K674" s="137"/>
      <c r="L674" s="142"/>
      <c r="M674" s="127" t="str">
        <f>IF(B674="","",B674/((Settings!$B$7)/100)^2)</f>
        <v/>
      </c>
      <c r="N674" s="25">
        <f>Settings!$B$6</f>
        <v>100</v>
      </c>
      <c r="O674" s="3" t="e">
        <f t="shared" si="60"/>
        <v>#N/A</v>
      </c>
      <c r="P674" s="3" t="e">
        <f t="shared" si="61"/>
        <v>#N/A</v>
      </c>
      <c r="Q674" s="3" t="e">
        <f t="shared" si="62"/>
        <v>#N/A</v>
      </c>
      <c r="R674" s="131">
        <f t="shared" si="63"/>
        <v>46946</v>
      </c>
      <c r="S674" s="3" t="e">
        <f t="shared" si="64"/>
        <v>#N/A</v>
      </c>
      <c r="T674" s="3" t="e">
        <f t="shared" si="65"/>
        <v>#N/A</v>
      </c>
      <c r="U674" s="3">
        <f>Settings!$B$6</f>
        <v>100</v>
      </c>
    </row>
    <row r="675" spans="1:21" ht="18" customHeight="1" x14ac:dyDescent="0.3">
      <c r="A675" s="132">
        <f>A674+1</f>
        <v>46947</v>
      </c>
      <c r="B675" s="138"/>
      <c r="C675" s="126" t="str" cm="1">
        <f t="array" ref="C675">IF(B675="","",B675-IFERROR(LOOKUP(2,1/($B$6:B674&lt;&gt;""),$B$6:B674),Settings!$B$5))</f>
        <v/>
      </c>
      <c r="D675" s="127" t="str">
        <f>IF(B675="","",AVERAGE(B669:B675))</f>
        <v/>
      </c>
      <c r="E675" s="143"/>
      <c r="F675" s="144"/>
      <c r="G675" s="138"/>
      <c r="H675" s="143"/>
      <c r="I675" s="144"/>
      <c r="J675" s="145"/>
      <c r="K675" s="138"/>
      <c r="L675" s="146"/>
      <c r="M675" s="127" t="str">
        <f>IF(B675="","",B675/((Settings!$B$7)/100)^2)</f>
        <v/>
      </c>
      <c r="N675" s="25">
        <f>Settings!$B$6</f>
        <v>100</v>
      </c>
      <c r="O675" s="3" t="e">
        <f t="shared" si="60"/>
        <v>#N/A</v>
      </c>
      <c r="P675" s="3" t="e">
        <f t="shared" si="61"/>
        <v>#N/A</v>
      </c>
      <c r="Q675" s="3" t="e">
        <f t="shared" si="62"/>
        <v>#N/A</v>
      </c>
      <c r="R675" s="131">
        <f t="shared" si="63"/>
        <v>46947</v>
      </c>
      <c r="S675" s="3" t="e">
        <f t="shared" si="64"/>
        <v>#N/A</v>
      </c>
      <c r="T675" s="3" t="e">
        <f t="shared" si="65"/>
        <v>#N/A</v>
      </c>
      <c r="U675" s="3">
        <f>Settings!$B$6</f>
        <v>100</v>
      </c>
    </row>
    <row r="676" spans="1:21" ht="18" customHeight="1" x14ac:dyDescent="0.3">
      <c r="A676" s="124">
        <f>A675+1</f>
        <v>46948</v>
      </c>
      <c r="B676" s="137"/>
      <c r="C676" s="126" t="str" cm="1">
        <f t="array" ref="C676">IF(B676="","",B676-IFERROR(LOOKUP(2,1/($B$6:B675&lt;&gt;""),$B$6:B675),Settings!$B$5))</f>
        <v/>
      </c>
      <c r="D676" s="127" t="str">
        <f>IF(B676="","",AVERAGE(B670:B676))</f>
        <v/>
      </c>
      <c r="E676" s="139"/>
      <c r="F676" s="140"/>
      <c r="G676" s="137"/>
      <c r="H676" s="139"/>
      <c r="I676" s="140"/>
      <c r="J676" s="141"/>
      <c r="K676" s="137"/>
      <c r="L676" s="142"/>
      <c r="M676" s="127" t="str">
        <f>IF(B676="","",B676/((Settings!$B$7)/100)^2)</f>
        <v/>
      </c>
      <c r="N676" s="25">
        <f>Settings!$B$6</f>
        <v>100</v>
      </c>
      <c r="O676" s="3" t="e">
        <f t="shared" si="60"/>
        <v>#N/A</v>
      </c>
      <c r="P676" s="3" t="e">
        <f t="shared" si="61"/>
        <v>#N/A</v>
      </c>
      <c r="Q676" s="3" t="e">
        <f t="shared" si="62"/>
        <v>#N/A</v>
      </c>
      <c r="R676" s="131">
        <f t="shared" si="63"/>
        <v>46948</v>
      </c>
      <c r="S676" s="3" t="e">
        <f t="shared" si="64"/>
        <v>#N/A</v>
      </c>
      <c r="T676" s="3" t="e">
        <f t="shared" si="65"/>
        <v>#N/A</v>
      </c>
      <c r="U676" s="3">
        <f>Settings!$B$6</f>
        <v>100</v>
      </c>
    </row>
    <row r="677" spans="1:21" ht="18" customHeight="1" x14ac:dyDescent="0.3">
      <c r="A677" s="132">
        <f>A676+1</f>
        <v>46949</v>
      </c>
      <c r="B677" s="138"/>
      <c r="C677" s="126" t="str" cm="1">
        <f t="array" ref="C677">IF(B677="","",B677-IFERROR(LOOKUP(2,1/($B$6:B676&lt;&gt;""),$B$6:B676),Settings!$B$5))</f>
        <v/>
      </c>
      <c r="D677" s="127" t="str">
        <f>IF(B677="","",AVERAGE(B671:B677))</f>
        <v/>
      </c>
      <c r="E677" s="143"/>
      <c r="F677" s="144"/>
      <c r="G677" s="138"/>
      <c r="H677" s="143"/>
      <c r="I677" s="144"/>
      <c r="J677" s="145"/>
      <c r="K677" s="138"/>
      <c r="L677" s="146"/>
      <c r="M677" s="127" t="str">
        <f>IF(B677="","",B677/((Settings!$B$7)/100)^2)</f>
        <v/>
      </c>
      <c r="N677" s="25">
        <f>Settings!$B$6</f>
        <v>100</v>
      </c>
      <c r="O677" s="3" t="e">
        <f t="shared" si="60"/>
        <v>#N/A</v>
      </c>
      <c r="P677" s="3" t="e">
        <f t="shared" si="61"/>
        <v>#N/A</v>
      </c>
      <c r="Q677" s="3" t="e">
        <f t="shared" si="62"/>
        <v>#N/A</v>
      </c>
      <c r="R677" s="131">
        <f t="shared" si="63"/>
        <v>46949</v>
      </c>
      <c r="S677" s="3" t="e">
        <f t="shared" si="64"/>
        <v>#N/A</v>
      </c>
      <c r="T677" s="3" t="e">
        <f t="shared" si="65"/>
        <v>#N/A</v>
      </c>
      <c r="U677" s="3">
        <f>Settings!$B$6</f>
        <v>100</v>
      </c>
    </row>
    <row r="678" spans="1:21" ht="18" customHeight="1" x14ac:dyDescent="0.3">
      <c r="A678" s="124">
        <f>A677+1</f>
        <v>46950</v>
      </c>
      <c r="B678" s="137"/>
      <c r="C678" s="126" t="str" cm="1">
        <f t="array" ref="C678">IF(B678="","",B678-IFERROR(LOOKUP(2,1/($B$6:B677&lt;&gt;""),$B$6:B677),Settings!$B$5))</f>
        <v/>
      </c>
      <c r="D678" s="127" t="str">
        <f>IF(B678="","",AVERAGE(B672:B678))</f>
        <v/>
      </c>
      <c r="E678" s="139"/>
      <c r="F678" s="140"/>
      <c r="G678" s="137"/>
      <c r="H678" s="139"/>
      <c r="I678" s="140"/>
      <c r="J678" s="141"/>
      <c r="K678" s="137"/>
      <c r="L678" s="142"/>
      <c r="M678" s="127" t="str">
        <f>IF(B678="","",B678/((Settings!$B$7)/100)^2)</f>
        <v/>
      </c>
      <c r="N678" s="25">
        <f>Settings!$B$6</f>
        <v>100</v>
      </c>
      <c r="O678" s="3" t="e">
        <f t="shared" si="60"/>
        <v>#N/A</v>
      </c>
      <c r="P678" s="3" t="e">
        <f t="shared" si="61"/>
        <v>#N/A</v>
      </c>
      <c r="Q678" s="3" t="e">
        <f t="shared" si="62"/>
        <v>#N/A</v>
      </c>
      <c r="R678" s="131">
        <f t="shared" si="63"/>
        <v>46950</v>
      </c>
      <c r="S678" s="3" t="e">
        <f t="shared" si="64"/>
        <v>#N/A</v>
      </c>
      <c r="T678" s="3" t="e">
        <f t="shared" si="65"/>
        <v>#N/A</v>
      </c>
      <c r="U678" s="3">
        <f>Settings!$B$6</f>
        <v>100</v>
      </c>
    </row>
    <row r="679" spans="1:21" ht="18" customHeight="1" x14ac:dyDescent="0.3">
      <c r="A679" s="132">
        <f>A678+1</f>
        <v>46951</v>
      </c>
      <c r="B679" s="138"/>
      <c r="C679" s="126" t="str" cm="1">
        <f t="array" ref="C679">IF(B679="","",B679-IFERROR(LOOKUP(2,1/($B$6:B678&lt;&gt;""),$B$6:B678),Settings!$B$5))</f>
        <v/>
      </c>
      <c r="D679" s="127" t="str">
        <f>IF(B679="","",AVERAGE(B673:B679))</f>
        <v/>
      </c>
      <c r="E679" s="143"/>
      <c r="F679" s="144"/>
      <c r="G679" s="138"/>
      <c r="H679" s="143"/>
      <c r="I679" s="144"/>
      <c r="J679" s="145"/>
      <c r="K679" s="138"/>
      <c r="L679" s="146"/>
      <c r="M679" s="127" t="str">
        <f>IF(B679="","",B679/((Settings!$B$7)/100)^2)</f>
        <v/>
      </c>
      <c r="N679" s="25">
        <f>Settings!$B$6</f>
        <v>100</v>
      </c>
      <c r="O679" s="3" t="e">
        <f t="shared" si="60"/>
        <v>#N/A</v>
      </c>
      <c r="P679" s="3" t="e">
        <f t="shared" si="61"/>
        <v>#N/A</v>
      </c>
      <c r="Q679" s="3" t="e">
        <f t="shared" si="62"/>
        <v>#N/A</v>
      </c>
      <c r="R679" s="131">
        <f t="shared" si="63"/>
        <v>46951</v>
      </c>
      <c r="S679" s="3" t="e">
        <f t="shared" si="64"/>
        <v>#N/A</v>
      </c>
      <c r="T679" s="3" t="e">
        <f t="shared" si="65"/>
        <v>#N/A</v>
      </c>
      <c r="U679" s="3">
        <f>Settings!$B$6</f>
        <v>100</v>
      </c>
    </row>
    <row r="680" spans="1:21" ht="18" customHeight="1" x14ac:dyDescent="0.3">
      <c r="A680" s="124">
        <f>A679+1</f>
        <v>46952</v>
      </c>
      <c r="B680" s="137"/>
      <c r="C680" s="126" t="str" cm="1">
        <f t="array" ref="C680">IF(B680="","",B680-IFERROR(LOOKUP(2,1/($B$6:B679&lt;&gt;""),$B$6:B679),Settings!$B$5))</f>
        <v/>
      </c>
      <c r="D680" s="127" t="str">
        <f>IF(B680="","",AVERAGE(B674:B680))</f>
        <v/>
      </c>
      <c r="E680" s="139"/>
      <c r="F680" s="140"/>
      <c r="G680" s="137"/>
      <c r="H680" s="139"/>
      <c r="I680" s="140"/>
      <c r="J680" s="141"/>
      <c r="K680" s="137"/>
      <c r="L680" s="142"/>
      <c r="M680" s="127" t="str">
        <f>IF(B680="","",B680/((Settings!$B$7)/100)^2)</f>
        <v/>
      </c>
      <c r="N680" s="25">
        <f>Settings!$B$6</f>
        <v>100</v>
      </c>
      <c r="O680" s="3" t="e">
        <f t="shared" si="60"/>
        <v>#N/A</v>
      </c>
      <c r="P680" s="3" t="e">
        <f t="shared" si="61"/>
        <v>#N/A</v>
      </c>
      <c r="Q680" s="3" t="e">
        <f t="shared" si="62"/>
        <v>#N/A</v>
      </c>
      <c r="R680" s="131">
        <f t="shared" si="63"/>
        <v>46952</v>
      </c>
      <c r="S680" s="3" t="e">
        <f t="shared" si="64"/>
        <v>#N/A</v>
      </c>
      <c r="T680" s="3" t="e">
        <f t="shared" si="65"/>
        <v>#N/A</v>
      </c>
      <c r="U680" s="3">
        <f>Settings!$B$6</f>
        <v>100</v>
      </c>
    </row>
    <row r="681" spans="1:21" ht="18" customHeight="1" x14ac:dyDescent="0.3">
      <c r="A681" s="132">
        <f>A680+1</f>
        <v>46953</v>
      </c>
      <c r="B681" s="138"/>
      <c r="C681" s="126" t="str" cm="1">
        <f t="array" ref="C681">IF(B681="","",B681-IFERROR(LOOKUP(2,1/($B$6:B680&lt;&gt;""),$B$6:B680),Settings!$B$5))</f>
        <v/>
      </c>
      <c r="D681" s="127" t="str">
        <f>IF(B681="","",AVERAGE(B675:B681))</f>
        <v/>
      </c>
      <c r="E681" s="143"/>
      <c r="F681" s="144"/>
      <c r="G681" s="138"/>
      <c r="H681" s="143"/>
      <c r="I681" s="144"/>
      <c r="J681" s="145"/>
      <c r="K681" s="138"/>
      <c r="L681" s="146"/>
      <c r="M681" s="127" t="str">
        <f>IF(B681="","",B681/((Settings!$B$7)/100)^2)</f>
        <v/>
      </c>
      <c r="N681" s="25">
        <f>Settings!$B$6</f>
        <v>100</v>
      </c>
      <c r="O681" s="3" t="e">
        <f t="shared" si="60"/>
        <v>#N/A</v>
      </c>
      <c r="P681" s="3" t="e">
        <f t="shared" si="61"/>
        <v>#N/A</v>
      </c>
      <c r="Q681" s="3" t="e">
        <f t="shared" si="62"/>
        <v>#N/A</v>
      </c>
      <c r="R681" s="131">
        <f t="shared" si="63"/>
        <v>46953</v>
      </c>
      <c r="S681" s="3" t="e">
        <f t="shared" si="64"/>
        <v>#N/A</v>
      </c>
      <c r="T681" s="3" t="e">
        <f t="shared" si="65"/>
        <v>#N/A</v>
      </c>
      <c r="U681" s="3">
        <f>Settings!$B$6</f>
        <v>100</v>
      </c>
    </row>
    <row r="682" spans="1:21" ht="18" customHeight="1" x14ac:dyDescent="0.3">
      <c r="A682" s="124">
        <f>A681+1</f>
        <v>46954</v>
      </c>
      <c r="B682" s="137"/>
      <c r="C682" s="126" t="str" cm="1">
        <f t="array" ref="C682">IF(B682="","",B682-IFERROR(LOOKUP(2,1/($B$6:B681&lt;&gt;""),$B$6:B681),Settings!$B$5))</f>
        <v/>
      </c>
      <c r="D682" s="127" t="str">
        <f>IF(B682="","",AVERAGE(B676:B682))</f>
        <v/>
      </c>
      <c r="E682" s="139"/>
      <c r="F682" s="140"/>
      <c r="G682" s="137"/>
      <c r="H682" s="139"/>
      <c r="I682" s="140"/>
      <c r="J682" s="141"/>
      <c r="K682" s="137"/>
      <c r="L682" s="142"/>
      <c r="M682" s="127" t="str">
        <f>IF(B682="","",B682/((Settings!$B$7)/100)^2)</f>
        <v/>
      </c>
      <c r="N682" s="25">
        <f>Settings!$B$6</f>
        <v>100</v>
      </c>
      <c r="O682" s="3" t="e">
        <f t="shared" si="60"/>
        <v>#N/A</v>
      </c>
      <c r="P682" s="3" t="e">
        <f t="shared" si="61"/>
        <v>#N/A</v>
      </c>
      <c r="Q682" s="3" t="e">
        <f t="shared" si="62"/>
        <v>#N/A</v>
      </c>
      <c r="R682" s="131">
        <f t="shared" si="63"/>
        <v>46954</v>
      </c>
      <c r="S682" s="3" t="e">
        <f t="shared" si="64"/>
        <v>#N/A</v>
      </c>
      <c r="T682" s="3" t="e">
        <f t="shared" si="65"/>
        <v>#N/A</v>
      </c>
      <c r="U682" s="3">
        <f>Settings!$B$6</f>
        <v>100</v>
      </c>
    </row>
    <row r="683" spans="1:21" ht="18" customHeight="1" x14ac:dyDescent="0.3">
      <c r="A683" s="132">
        <f>A682+1</f>
        <v>46955</v>
      </c>
      <c r="B683" s="138"/>
      <c r="C683" s="126" t="str" cm="1">
        <f t="array" ref="C683">IF(B683="","",B683-IFERROR(LOOKUP(2,1/($B$6:B682&lt;&gt;""),$B$6:B682),Settings!$B$5))</f>
        <v/>
      </c>
      <c r="D683" s="127" t="str">
        <f>IF(B683="","",AVERAGE(B677:B683))</f>
        <v/>
      </c>
      <c r="E683" s="143"/>
      <c r="F683" s="144"/>
      <c r="G683" s="138"/>
      <c r="H683" s="143"/>
      <c r="I683" s="144"/>
      <c r="J683" s="145"/>
      <c r="K683" s="138"/>
      <c r="L683" s="146"/>
      <c r="M683" s="127" t="str">
        <f>IF(B683="","",B683/((Settings!$B$7)/100)^2)</f>
        <v/>
      </c>
      <c r="N683" s="25">
        <f>Settings!$B$6</f>
        <v>100</v>
      </c>
      <c r="O683" s="3" t="e">
        <f t="shared" si="60"/>
        <v>#N/A</v>
      </c>
      <c r="P683" s="3" t="e">
        <f t="shared" si="61"/>
        <v>#N/A</v>
      </c>
      <c r="Q683" s="3" t="e">
        <f t="shared" si="62"/>
        <v>#N/A</v>
      </c>
      <c r="R683" s="131">
        <f t="shared" si="63"/>
        <v>46955</v>
      </c>
      <c r="S683" s="3" t="e">
        <f t="shared" si="64"/>
        <v>#N/A</v>
      </c>
      <c r="T683" s="3" t="e">
        <f t="shared" si="65"/>
        <v>#N/A</v>
      </c>
      <c r="U683" s="3">
        <f>Settings!$B$6</f>
        <v>100</v>
      </c>
    </row>
    <row r="684" spans="1:21" ht="18" customHeight="1" x14ac:dyDescent="0.3">
      <c r="A684" s="124">
        <f>A683+1</f>
        <v>46956</v>
      </c>
      <c r="B684" s="137"/>
      <c r="C684" s="126" t="str" cm="1">
        <f t="array" ref="C684">IF(B684="","",B684-IFERROR(LOOKUP(2,1/($B$6:B683&lt;&gt;""),$B$6:B683),Settings!$B$5))</f>
        <v/>
      </c>
      <c r="D684" s="127" t="str">
        <f>IF(B684="","",AVERAGE(B678:B684))</f>
        <v/>
      </c>
      <c r="E684" s="139"/>
      <c r="F684" s="140"/>
      <c r="G684" s="137"/>
      <c r="H684" s="139"/>
      <c r="I684" s="140"/>
      <c r="J684" s="141"/>
      <c r="K684" s="137"/>
      <c r="L684" s="142"/>
      <c r="M684" s="127" t="str">
        <f>IF(B684="","",B684/((Settings!$B$7)/100)^2)</f>
        <v/>
      </c>
      <c r="N684" s="25">
        <f>Settings!$B$6</f>
        <v>100</v>
      </c>
      <c r="O684" s="3" t="e">
        <f t="shared" si="60"/>
        <v>#N/A</v>
      </c>
      <c r="P684" s="3" t="e">
        <f t="shared" si="61"/>
        <v>#N/A</v>
      </c>
      <c r="Q684" s="3" t="e">
        <f t="shared" si="62"/>
        <v>#N/A</v>
      </c>
      <c r="R684" s="131">
        <f t="shared" si="63"/>
        <v>46956</v>
      </c>
      <c r="S684" s="3" t="e">
        <f t="shared" si="64"/>
        <v>#N/A</v>
      </c>
      <c r="T684" s="3" t="e">
        <f t="shared" si="65"/>
        <v>#N/A</v>
      </c>
      <c r="U684" s="3">
        <f>Settings!$B$6</f>
        <v>100</v>
      </c>
    </row>
    <row r="685" spans="1:21" ht="18" customHeight="1" x14ac:dyDescent="0.3">
      <c r="A685" s="132">
        <f>A684+1</f>
        <v>46957</v>
      </c>
      <c r="B685" s="138"/>
      <c r="C685" s="126" t="str" cm="1">
        <f t="array" ref="C685">IF(B685="","",B685-IFERROR(LOOKUP(2,1/($B$6:B684&lt;&gt;""),$B$6:B684),Settings!$B$5))</f>
        <v/>
      </c>
      <c r="D685" s="127" t="str">
        <f>IF(B685="","",AVERAGE(B679:B685))</f>
        <v/>
      </c>
      <c r="E685" s="143"/>
      <c r="F685" s="144"/>
      <c r="G685" s="138"/>
      <c r="H685" s="143"/>
      <c r="I685" s="144"/>
      <c r="J685" s="145"/>
      <c r="K685" s="138"/>
      <c r="L685" s="146"/>
      <c r="M685" s="127" t="str">
        <f>IF(B685="","",B685/((Settings!$B$7)/100)^2)</f>
        <v/>
      </c>
      <c r="N685" s="25">
        <f>Settings!$B$6</f>
        <v>100</v>
      </c>
      <c r="O685" s="3" t="e">
        <f t="shared" si="60"/>
        <v>#N/A</v>
      </c>
      <c r="P685" s="3" t="e">
        <f t="shared" si="61"/>
        <v>#N/A</v>
      </c>
      <c r="Q685" s="3" t="e">
        <f t="shared" si="62"/>
        <v>#N/A</v>
      </c>
      <c r="R685" s="131">
        <f t="shared" si="63"/>
        <v>46957</v>
      </c>
      <c r="S685" s="3" t="e">
        <f t="shared" si="64"/>
        <v>#N/A</v>
      </c>
      <c r="T685" s="3" t="e">
        <f t="shared" si="65"/>
        <v>#N/A</v>
      </c>
      <c r="U685" s="3">
        <f>Settings!$B$6</f>
        <v>100</v>
      </c>
    </row>
    <row r="686" spans="1:21" ht="18" customHeight="1" x14ac:dyDescent="0.3">
      <c r="A686" s="124">
        <f>A685+1</f>
        <v>46958</v>
      </c>
      <c r="B686" s="137"/>
      <c r="C686" s="126" t="str" cm="1">
        <f t="array" ref="C686">IF(B686="","",B686-IFERROR(LOOKUP(2,1/($B$6:B685&lt;&gt;""),$B$6:B685),Settings!$B$5))</f>
        <v/>
      </c>
      <c r="D686" s="127" t="str">
        <f>IF(B686="","",AVERAGE(B680:B686))</f>
        <v/>
      </c>
      <c r="E686" s="139"/>
      <c r="F686" s="140"/>
      <c r="G686" s="137"/>
      <c r="H686" s="139"/>
      <c r="I686" s="140"/>
      <c r="J686" s="141"/>
      <c r="K686" s="137"/>
      <c r="L686" s="142"/>
      <c r="M686" s="127" t="str">
        <f>IF(B686="","",B686/((Settings!$B$7)/100)^2)</f>
        <v/>
      </c>
      <c r="N686" s="25">
        <f>Settings!$B$6</f>
        <v>100</v>
      </c>
      <c r="O686" s="3" t="e">
        <f t="shared" si="60"/>
        <v>#N/A</v>
      </c>
      <c r="P686" s="3" t="e">
        <f t="shared" si="61"/>
        <v>#N/A</v>
      </c>
      <c r="Q686" s="3" t="e">
        <f t="shared" si="62"/>
        <v>#N/A</v>
      </c>
      <c r="R686" s="131">
        <f t="shared" si="63"/>
        <v>46958</v>
      </c>
      <c r="S686" s="3" t="e">
        <f t="shared" si="64"/>
        <v>#N/A</v>
      </c>
      <c r="T686" s="3" t="e">
        <f t="shared" si="65"/>
        <v>#N/A</v>
      </c>
      <c r="U686" s="3">
        <f>Settings!$B$6</f>
        <v>100</v>
      </c>
    </row>
    <row r="687" spans="1:21" ht="18" customHeight="1" x14ac:dyDescent="0.3">
      <c r="A687" s="132">
        <f>A686+1</f>
        <v>46959</v>
      </c>
      <c r="B687" s="138"/>
      <c r="C687" s="126" t="str" cm="1">
        <f t="array" ref="C687">IF(B687="","",B687-IFERROR(LOOKUP(2,1/($B$6:B686&lt;&gt;""),$B$6:B686),Settings!$B$5))</f>
        <v/>
      </c>
      <c r="D687" s="127" t="str">
        <f>IF(B687="","",AVERAGE(B681:B687))</f>
        <v/>
      </c>
      <c r="E687" s="143"/>
      <c r="F687" s="144"/>
      <c r="G687" s="138"/>
      <c r="H687" s="143"/>
      <c r="I687" s="144"/>
      <c r="J687" s="145"/>
      <c r="K687" s="138"/>
      <c r="L687" s="146"/>
      <c r="M687" s="127" t="str">
        <f>IF(B687="","",B687/((Settings!$B$7)/100)^2)</f>
        <v/>
      </c>
      <c r="N687" s="25">
        <f>Settings!$B$6</f>
        <v>100</v>
      </c>
      <c r="O687" s="3" t="e">
        <f t="shared" si="60"/>
        <v>#N/A</v>
      </c>
      <c r="P687" s="3" t="e">
        <f t="shared" si="61"/>
        <v>#N/A</v>
      </c>
      <c r="Q687" s="3" t="e">
        <f t="shared" si="62"/>
        <v>#N/A</v>
      </c>
      <c r="R687" s="131">
        <f t="shared" si="63"/>
        <v>46959</v>
      </c>
      <c r="S687" s="3" t="e">
        <f t="shared" si="64"/>
        <v>#N/A</v>
      </c>
      <c r="T687" s="3" t="e">
        <f t="shared" si="65"/>
        <v>#N/A</v>
      </c>
      <c r="U687" s="3">
        <f>Settings!$B$6</f>
        <v>100</v>
      </c>
    </row>
    <row r="688" spans="1:21" ht="18" customHeight="1" x14ac:dyDescent="0.3">
      <c r="A688" s="124">
        <f>A687+1</f>
        <v>46960</v>
      </c>
      <c r="B688" s="137"/>
      <c r="C688" s="126" t="str" cm="1">
        <f t="array" ref="C688">IF(B688="","",B688-IFERROR(LOOKUP(2,1/($B$6:B687&lt;&gt;""),$B$6:B687),Settings!$B$5))</f>
        <v/>
      </c>
      <c r="D688" s="127" t="str">
        <f>IF(B688="","",AVERAGE(B682:B688))</f>
        <v/>
      </c>
      <c r="E688" s="139"/>
      <c r="F688" s="140"/>
      <c r="G688" s="137"/>
      <c r="H688" s="139"/>
      <c r="I688" s="140"/>
      <c r="J688" s="141"/>
      <c r="K688" s="137"/>
      <c r="L688" s="142"/>
      <c r="M688" s="127" t="str">
        <f>IF(B688="","",B688/((Settings!$B$7)/100)^2)</f>
        <v/>
      </c>
      <c r="N688" s="25">
        <f>Settings!$B$6</f>
        <v>100</v>
      </c>
      <c r="O688" s="3" t="e">
        <f t="shared" si="60"/>
        <v>#N/A</v>
      </c>
      <c r="P688" s="3" t="e">
        <f t="shared" si="61"/>
        <v>#N/A</v>
      </c>
      <c r="Q688" s="3" t="e">
        <f t="shared" si="62"/>
        <v>#N/A</v>
      </c>
      <c r="R688" s="131">
        <f t="shared" si="63"/>
        <v>46960</v>
      </c>
      <c r="S688" s="3" t="e">
        <f t="shared" si="64"/>
        <v>#N/A</v>
      </c>
      <c r="T688" s="3" t="e">
        <f t="shared" si="65"/>
        <v>#N/A</v>
      </c>
      <c r="U688" s="3">
        <f>Settings!$B$6</f>
        <v>100</v>
      </c>
    </row>
    <row r="689" spans="1:21" ht="18" customHeight="1" x14ac:dyDescent="0.3">
      <c r="A689" s="132">
        <f>A688+1</f>
        <v>46961</v>
      </c>
      <c r="B689" s="138"/>
      <c r="C689" s="126" t="str" cm="1">
        <f t="array" ref="C689">IF(B689="","",B689-IFERROR(LOOKUP(2,1/($B$6:B688&lt;&gt;""),$B$6:B688),Settings!$B$5))</f>
        <v/>
      </c>
      <c r="D689" s="127" t="str">
        <f>IF(B689="","",AVERAGE(B683:B689))</f>
        <v/>
      </c>
      <c r="E689" s="143"/>
      <c r="F689" s="144"/>
      <c r="G689" s="138"/>
      <c r="H689" s="143"/>
      <c r="I689" s="144"/>
      <c r="J689" s="145"/>
      <c r="K689" s="138"/>
      <c r="L689" s="146"/>
      <c r="M689" s="127" t="str">
        <f>IF(B689="","",B689/((Settings!$B$7)/100)^2)</f>
        <v/>
      </c>
      <c r="N689" s="25">
        <f>Settings!$B$6</f>
        <v>100</v>
      </c>
      <c r="O689" s="3" t="e">
        <f t="shared" si="60"/>
        <v>#N/A</v>
      </c>
      <c r="P689" s="3" t="e">
        <f t="shared" si="61"/>
        <v>#N/A</v>
      </c>
      <c r="Q689" s="3" t="e">
        <f t="shared" si="62"/>
        <v>#N/A</v>
      </c>
      <c r="R689" s="131">
        <f t="shared" si="63"/>
        <v>46961</v>
      </c>
      <c r="S689" s="3" t="e">
        <f t="shared" si="64"/>
        <v>#N/A</v>
      </c>
      <c r="T689" s="3" t="e">
        <f t="shared" si="65"/>
        <v>#N/A</v>
      </c>
      <c r="U689" s="3">
        <f>Settings!$B$6</f>
        <v>100</v>
      </c>
    </row>
    <row r="690" spans="1:21" ht="18" customHeight="1" x14ac:dyDescent="0.3">
      <c r="A690" s="124">
        <f>A689+1</f>
        <v>46962</v>
      </c>
      <c r="B690" s="137"/>
      <c r="C690" s="126" t="str" cm="1">
        <f t="array" ref="C690">IF(B690="","",B690-IFERROR(LOOKUP(2,1/($B$6:B689&lt;&gt;""),$B$6:B689),Settings!$B$5))</f>
        <v/>
      </c>
      <c r="D690" s="127" t="str">
        <f>IF(B690="","",AVERAGE(B684:B690))</f>
        <v/>
      </c>
      <c r="E690" s="139"/>
      <c r="F690" s="140"/>
      <c r="G690" s="137"/>
      <c r="H690" s="139"/>
      <c r="I690" s="140"/>
      <c r="J690" s="141"/>
      <c r="K690" s="137"/>
      <c r="L690" s="142"/>
      <c r="M690" s="127" t="str">
        <f>IF(B690="","",B690/((Settings!$B$7)/100)^2)</f>
        <v/>
      </c>
      <c r="N690" s="25">
        <f>Settings!$B$6</f>
        <v>100</v>
      </c>
      <c r="O690" s="3" t="e">
        <f t="shared" si="60"/>
        <v>#N/A</v>
      </c>
      <c r="P690" s="3" t="e">
        <f t="shared" si="61"/>
        <v>#N/A</v>
      </c>
      <c r="Q690" s="3" t="e">
        <f t="shared" si="62"/>
        <v>#N/A</v>
      </c>
      <c r="R690" s="131">
        <f t="shared" si="63"/>
        <v>46962</v>
      </c>
      <c r="S690" s="3" t="e">
        <f t="shared" si="64"/>
        <v>#N/A</v>
      </c>
      <c r="T690" s="3" t="e">
        <f t="shared" si="65"/>
        <v>#N/A</v>
      </c>
      <c r="U690" s="3">
        <f>Settings!$B$6</f>
        <v>100</v>
      </c>
    </row>
    <row r="691" spans="1:21" ht="18" customHeight="1" x14ac:dyDescent="0.3">
      <c r="A691" s="132">
        <f>A690+1</f>
        <v>46963</v>
      </c>
      <c r="B691" s="138"/>
      <c r="C691" s="126" t="str" cm="1">
        <f t="array" ref="C691">IF(B691="","",B691-IFERROR(LOOKUP(2,1/($B$6:B690&lt;&gt;""),$B$6:B690),Settings!$B$5))</f>
        <v/>
      </c>
      <c r="D691" s="127" t="str">
        <f>IF(B691="","",AVERAGE(B685:B691))</f>
        <v/>
      </c>
      <c r="E691" s="143"/>
      <c r="F691" s="144"/>
      <c r="G691" s="138"/>
      <c r="H691" s="143"/>
      <c r="I691" s="144"/>
      <c r="J691" s="145"/>
      <c r="K691" s="138"/>
      <c r="L691" s="146"/>
      <c r="M691" s="127" t="str">
        <f>IF(B691="","",B691/((Settings!$B$7)/100)^2)</f>
        <v/>
      </c>
      <c r="N691" s="25">
        <f>Settings!$B$6</f>
        <v>100</v>
      </c>
      <c r="O691" s="3" t="e">
        <f t="shared" si="60"/>
        <v>#N/A</v>
      </c>
      <c r="P691" s="3" t="e">
        <f t="shared" si="61"/>
        <v>#N/A</v>
      </c>
      <c r="Q691" s="3" t="e">
        <f t="shared" si="62"/>
        <v>#N/A</v>
      </c>
      <c r="R691" s="131">
        <f t="shared" si="63"/>
        <v>46963</v>
      </c>
      <c r="S691" s="3" t="e">
        <f t="shared" si="64"/>
        <v>#N/A</v>
      </c>
      <c r="T691" s="3" t="e">
        <f t="shared" si="65"/>
        <v>#N/A</v>
      </c>
      <c r="U691" s="3">
        <f>Settings!$B$6</f>
        <v>100</v>
      </c>
    </row>
    <row r="692" spans="1:21" ht="18" customHeight="1" x14ac:dyDescent="0.3">
      <c r="A692" s="124">
        <f>A691+1</f>
        <v>46964</v>
      </c>
      <c r="B692" s="137"/>
      <c r="C692" s="126" t="str" cm="1">
        <f t="array" ref="C692">IF(B692="","",B692-IFERROR(LOOKUP(2,1/($B$6:B691&lt;&gt;""),$B$6:B691),Settings!$B$5))</f>
        <v/>
      </c>
      <c r="D692" s="127" t="str">
        <f>IF(B692="","",AVERAGE(B686:B692))</f>
        <v/>
      </c>
      <c r="E692" s="139"/>
      <c r="F692" s="140"/>
      <c r="G692" s="137"/>
      <c r="H692" s="139"/>
      <c r="I692" s="140"/>
      <c r="J692" s="141"/>
      <c r="K692" s="137"/>
      <c r="L692" s="142"/>
      <c r="M692" s="127" t="str">
        <f>IF(B692="","",B692/((Settings!$B$7)/100)^2)</f>
        <v/>
      </c>
      <c r="N692" s="25">
        <f>Settings!$B$6</f>
        <v>100</v>
      </c>
      <c r="O692" s="3" t="e">
        <f t="shared" si="60"/>
        <v>#N/A</v>
      </c>
      <c r="P692" s="3" t="e">
        <f t="shared" si="61"/>
        <v>#N/A</v>
      </c>
      <c r="Q692" s="3" t="e">
        <f t="shared" si="62"/>
        <v>#N/A</v>
      </c>
      <c r="R692" s="131">
        <f t="shared" si="63"/>
        <v>46964</v>
      </c>
      <c r="S692" s="3" t="e">
        <f t="shared" si="64"/>
        <v>#N/A</v>
      </c>
      <c r="T692" s="3" t="e">
        <f t="shared" si="65"/>
        <v>#N/A</v>
      </c>
      <c r="U692" s="3">
        <f>Settings!$B$6</f>
        <v>100</v>
      </c>
    </row>
    <row r="693" spans="1:21" ht="18" customHeight="1" x14ac:dyDescent="0.3">
      <c r="A693" s="132">
        <f>A692+1</f>
        <v>46965</v>
      </c>
      <c r="B693" s="138"/>
      <c r="C693" s="126" t="str" cm="1">
        <f t="array" ref="C693">IF(B693="","",B693-IFERROR(LOOKUP(2,1/($B$6:B692&lt;&gt;""),$B$6:B692),Settings!$B$5))</f>
        <v/>
      </c>
      <c r="D693" s="127" t="str">
        <f>IF(B693="","",AVERAGE(B687:B693))</f>
        <v/>
      </c>
      <c r="E693" s="143"/>
      <c r="F693" s="144"/>
      <c r="G693" s="138"/>
      <c r="H693" s="143"/>
      <c r="I693" s="144"/>
      <c r="J693" s="145"/>
      <c r="K693" s="138"/>
      <c r="L693" s="146"/>
      <c r="M693" s="127" t="str">
        <f>IF(B693="","",B693/((Settings!$B$7)/100)^2)</f>
        <v/>
      </c>
      <c r="N693" s="25">
        <f>Settings!$B$6</f>
        <v>100</v>
      </c>
      <c r="O693" s="3" t="e">
        <f t="shared" si="60"/>
        <v>#N/A</v>
      </c>
      <c r="P693" s="3" t="e">
        <f t="shared" si="61"/>
        <v>#N/A</v>
      </c>
      <c r="Q693" s="3" t="e">
        <f t="shared" si="62"/>
        <v>#N/A</v>
      </c>
      <c r="R693" s="131">
        <f t="shared" si="63"/>
        <v>46965</v>
      </c>
      <c r="S693" s="3" t="e">
        <f t="shared" si="64"/>
        <v>#N/A</v>
      </c>
      <c r="T693" s="3" t="e">
        <f t="shared" si="65"/>
        <v>#N/A</v>
      </c>
      <c r="U693" s="3">
        <f>Settings!$B$6</f>
        <v>100</v>
      </c>
    </row>
    <row r="694" spans="1:21" ht="18" customHeight="1" x14ac:dyDescent="0.3">
      <c r="A694" s="124">
        <f>A693+1</f>
        <v>46966</v>
      </c>
      <c r="B694" s="137"/>
      <c r="C694" s="126" t="str" cm="1">
        <f t="array" ref="C694">IF(B694="","",B694-IFERROR(LOOKUP(2,1/($B$6:B693&lt;&gt;""),$B$6:B693),Settings!$B$5))</f>
        <v/>
      </c>
      <c r="D694" s="127" t="str">
        <f>IF(B694="","",AVERAGE(B688:B694))</f>
        <v/>
      </c>
      <c r="E694" s="139"/>
      <c r="F694" s="140"/>
      <c r="G694" s="137"/>
      <c r="H694" s="139"/>
      <c r="I694" s="140"/>
      <c r="J694" s="141"/>
      <c r="K694" s="137"/>
      <c r="L694" s="142"/>
      <c r="M694" s="127" t="str">
        <f>IF(B694="","",B694/((Settings!$B$7)/100)^2)</f>
        <v/>
      </c>
      <c r="N694" s="25">
        <f>Settings!$B$6</f>
        <v>100</v>
      </c>
      <c r="O694" s="3" t="e">
        <f t="shared" si="60"/>
        <v>#N/A</v>
      </c>
      <c r="P694" s="3" t="e">
        <f t="shared" si="61"/>
        <v>#N/A</v>
      </c>
      <c r="Q694" s="3" t="e">
        <f t="shared" si="62"/>
        <v>#N/A</v>
      </c>
      <c r="R694" s="131">
        <f t="shared" si="63"/>
        <v>46966</v>
      </c>
      <c r="S694" s="3" t="e">
        <f t="shared" si="64"/>
        <v>#N/A</v>
      </c>
      <c r="T694" s="3" t="e">
        <f t="shared" si="65"/>
        <v>#N/A</v>
      </c>
      <c r="U694" s="3">
        <f>Settings!$B$6</f>
        <v>100</v>
      </c>
    </row>
    <row r="695" spans="1:21" ht="18" customHeight="1" x14ac:dyDescent="0.3">
      <c r="A695" s="132">
        <f>A694+1</f>
        <v>46967</v>
      </c>
      <c r="B695" s="138"/>
      <c r="C695" s="126" t="str" cm="1">
        <f t="array" ref="C695">IF(B695="","",B695-IFERROR(LOOKUP(2,1/($B$6:B694&lt;&gt;""),$B$6:B694),Settings!$B$5))</f>
        <v/>
      </c>
      <c r="D695" s="127" t="str">
        <f>IF(B695="","",AVERAGE(B689:B695))</f>
        <v/>
      </c>
      <c r="E695" s="143"/>
      <c r="F695" s="144"/>
      <c r="G695" s="138"/>
      <c r="H695" s="143"/>
      <c r="I695" s="144"/>
      <c r="J695" s="145"/>
      <c r="K695" s="138"/>
      <c r="L695" s="146"/>
      <c r="M695" s="127" t="str">
        <f>IF(B695="","",B695/((Settings!$B$7)/100)^2)</f>
        <v/>
      </c>
      <c r="N695" s="25">
        <f>Settings!$B$6</f>
        <v>100</v>
      </c>
      <c r="O695" s="3" t="e">
        <f t="shared" si="60"/>
        <v>#N/A</v>
      </c>
      <c r="P695" s="3" t="e">
        <f t="shared" si="61"/>
        <v>#N/A</v>
      </c>
      <c r="Q695" s="3" t="e">
        <f t="shared" si="62"/>
        <v>#N/A</v>
      </c>
      <c r="R695" s="131">
        <f t="shared" si="63"/>
        <v>46967</v>
      </c>
      <c r="S695" s="3" t="e">
        <f t="shared" si="64"/>
        <v>#N/A</v>
      </c>
      <c r="T695" s="3" t="e">
        <f t="shared" si="65"/>
        <v>#N/A</v>
      </c>
      <c r="U695" s="3">
        <f>Settings!$B$6</f>
        <v>100</v>
      </c>
    </row>
    <row r="696" spans="1:21" ht="18" customHeight="1" x14ac:dyDescent="0.3">
      <c r="A696" s="124">
        <f>A695+1</f>
        <v>46968</v>
      </c>
      <c r="B696" s="137"/>
      <c r="C696" s="126" t="str" cm="1">
        <f t="array" ref="C696">IF(B696="","",B696-IFERROR(LOOKUP(2,1/($B$6:B695&lt;&gt;""),$B$6:B695),Settings!$B$5))</f>
        <v/>
      </c>
      <c r="D696" s="127" t="str">
        <f>IF(B696="","",AVERAGE(B690:B696))</f>
        <v/>
      </c>
      <c r="E696" s="139"/>
      <c r="F696" s="140"/>
      <c r="G696" s="137"/>
      <c r="H696" s="139"/>
      <c r="I696" s="140"/>
      <c r="J696" s="141"/>
      <c r="K696" s="137"/>
      <c r="L696" s="142"/>
      <c r="M696" s="127" t="str">
        <f>IF(B696="","",B696/((Settings!$B$7)/100)^2)</f>
        <v/>
      </c>
      <c r="N696" s="25">
        <f>Settings!$B$6</f>
        <v>100</v>
      </c>
      <c r="O696" s="3" t="e">
        <f t="shared" si="60"/>
        <v>#N/A</v>
      </c>
      <c r="P696" s="3" t="e">
        <f t="shared" si="61"/>
        <v>#N/A</v>
      </c>
      <c r="Q696" s="3" t="e">
        <f t="shared" si="62"/>
        <v>#N/A</v>
      </c>
      <c r="R696" s="131">
        <f t="shared" si="63"/>
        <v>46968</v>
      </c>
      <c r="S696" s="3" t="e">
        <f t="shared" si="64"/>
        <v>#N/A</v>
      </c>
      <c r="T696" s="3" t="e">
        <f t="shared" si="65"/>
        <v>#N/A</v>
      </c>
      <c r="U696" s="3">
        <f>Settings!$B$6</f>
        <v>100</v>
      </c>
    </row>
    <row r="697" spans="1:21" ht="18" customHeight="1" x14ac:dyDescent="0.3">
      <c r="A697" s="132">
        <f>A696+1</f>
        <v>46969</v>
      </c>
      <c r="B697" s="138"/>
      <c r="C697" s="126" t="str" cm="1">
        <f t="array" ref="C697">IF(B697="","",B697-IFERROR(LOOKUP(2,1/($B$6:B696&lt;&gt;""),$B$6:B696),Settings!$B$5))</f>
        <v/>
      </c>
      <c r="D697" s="127" t="str">
        <f>IF(B697="","",AVERAGE(B691:B697))</f>
        <v/>
      </c>
      <c r="E697" s="143"/>
      <c r="F697" s="144"/>
      <c r="G697" s="138"/>
      <c r="H697" s="143"/>
      <c r="I697" s="144"/>
      <c r="J697" s="145"/>
      <c r="K697" s="138"/>
      <c r="L697" s="146"/>
      <c r="M697" s="127" t="str">
        <f>IF(B697="","",B697/((Settings!$B$7)/100)^2)</f>
        <v/>
      </c>
      <c r="N697" s="25">
        <f>Settings!$B$6</f>
        <v>100</v>
      </c>
      <c r="O697" s="3" t="e">
        <f t="shared" si="60"/>
        <v>#N/A</v>
      </c>
      <c r="P697" s="3" t="e">
        <f t="shared" si="61"/>
        <v>#N/A</v>
      </c>
      <c r="Q697" s="3" t="e">
        <f t="shared" si="62"/>
        <v>#N/A</v>
      </c>
      <c r="R697" s="131">
        <f t="shared" si="63"/>
        <v>46969</v>
      </c>
      <c r="S697" s="3" t="e">
        <f t="shared" si="64"/>
        <v>#N/A</v>
      </c>
      <c r="T697" s="3" t="e">
        <f t="shared" si="65"/>
        <v>#N/A</v>
      </c>
      <c r="U697" s="3">
        <f>Settings!$B$6</f>
        <v>100</v>
      </c>
    </row>
    <row r="698" spans="1:21" ht="18" customHeight="1" x14ac:dyDescent="0.3">
      <c r="A698" s="124">
        <f>A697+1</f>
        <v>46970</v>
      </c>
      <c r="B698" s="137"/>
      <c r="C698" s="126" t="str" cm="1">
        <f t="array" ref="C698">IF(B698="","",B698-IFERROR(LOOKUP(2,1/($B$6:B697&lt;&gt;""),$B$6:B697),Settings!$B$5))</f>
        <v/>
      </c>
      <c r="D698" s="127" t="str">
        <f>IF(B698="","",AVERAGE(B692:B698))</f>
        <v/>
      </c>
      <c r="E698" s="139"/>
      <c r="F698" s="140"/>
      <c r="G698" s="137"/>
      <c r="H698" s="139"/>
      <c r="I698" s="140"/>
      <c r="J698" s="141"/>
      <c r="K698" s="137"/>
      <c r="L698" s="142"/>
      <c r="M698" s="127" t="str">
        <f>IF(B698="","",B698/((Settings!$B$7)/100)^2)</f>
        <v/>
      </c>
      <c r="N698" s="25">
        <f>Settings!$B$6</f>
        <v>100</v>
      </c>
      <c r="O698" s="3" t="e">
        <f t="shared" si="60"/>
        <v>#N/A</v>
      </c>
      <c r="P698" s="3" t="e">
        <f t="shared" si="61"/>
        <v>#N/A</v>
      </c>
      <c r="Q698" s="3" t="e">
        <f t="shared" si="62"/>
        <v>#N/A</v>
      </c>
      <c r="R698" s="131">
        <f t="shared" si="63"/>
        <v>46970</v>
      </c>
      <c r="S698" s="3" t="e">
        <f t="shared" si="64"/>
        <v>#N/A</v>
      </c>
      <c r="T698" s="3" t="e">
        <f t="shared" si="65"/>
        <v>#N/A</v>
      </c>
      <c r="U698" s="3">
        <f>Settings!$B$6</f>
        <v>100</v>
      </c>
    </row>
    <row r="699" spans="1:21" ht="18" customHeight="1" x14ac:dyDescent="0.3">
      <c r="A699" s="132">
        <f>A698+1</f>
        <v>46971</v>
      </c>
      <c r="B699" s="138"/>
      <c r="C699" s="126" t="str" cm="1">
        <f t="array" ref="C699">IF(B699="","",B699-IFERROR(LOOKUP(2,1/($B$6:B698&lt;&gt;""),$B$6:B698),Settings!$B$5))</f>
        <v/>
      </c>
      <c r="D699" s="127" t="str">
        <f>IF(B699="","",AVERAGE(B693:B699))</f>
        <v/>
      </c>
      <c r="E699" s="143"/>
      <c r="F699" s="144"/>
      <c r="G699" s="138"/>
      <c r="H699" s="143"/>
      <c r="I699" s="144"/>
      <c r="J699" s="145"/>
      <c r="K699" s="138"/>
      <c r="L699" s="146"/>
      <c r="M699" s="127" t="str">
        <f>IF(B699="","",B699/((Settings!$B$7)/100)^2)</f>
        <v/>
      </c>
      <c r="N699" s="25">
        <f>Settings!$B$6</f>
        <v>100</v>
      </c>
      <c r="O699" s="3" t="e">
        <f t="shared" si="60"/>
        <v>#N/A</v>
      </c>
      <c r="P699" s="3" t="e">
        <f t="shared" si="61"/>
        <v>#N/A</v>
      </c>
      <c r="Q699" s="3" t="e">
        <f t="shared" si="62"/>
        <v>#N/A</v>
      </c>
      <c r="R699" s="131">
        <f t="shared" si="63"/>
        <v>46971</v>
      </c>
      <c r="S699" s="3" t="e">
        <f t="shared" si="64"/>
        <v>#N/A</v>
      </c>
      <c r="T699" s="3" t="e">
        <f t="shared" si="65"/>
        <v>#N/A</v>
      </c>
      <c r="U699" s="3">
        <f>Settings!$B$6</f>
        <v>100</v>
      </c>
    </row>
    <row r="700" spans="1:21" ht="18" customHeight="1" x14ac:dyDescent="0.3">
      <c r="A700" s="124">
        <f>A699+1</f>
        <v>46972</v>
      </c>
      <c r="B700" s="137"/>
      <c r="C700" s="126" t="str" cm="1">
        <f t="array" ref="C700">IF(B700="","",B700-IFERROR(LOOKUP(2,1/($B$6:B699&lt;&gt;""),$B$6:B699),Settings!$B$5))</f>
        <v/>
      </c>
      <c r="D700" s="127" t="str">
        <f>IF(B700="","",AVERAGE(B694:B700))</f>
        <v/>
      </c>
      <c r="E700" s="139"/>
      <c r="F700" s="140"/>
      <c r="G700" s="137"/>
      <c r="H700" s="139"/>
      <c r="I700" s="140"/>
      <c r="J700" s="141"/>
      <c r="K700" s="137"/>
      <c r="L700" s="142"/>
      <c r="M700" s="127" t="str">
        <f>IF(B700="","",B700/((Settings!$B$7)/100)^2)</f>
        <v/>
      </c>
      <c r="N700" s="25">
        <f>Settings!$B$6</f>
        <v>100</v>
      </c>
      <c r="O700" s="3" t="e">
        <f t="shared" si="60"/>
        <v>#N/A</v>
      </c>
      <c r="P700" s="3" t="e">
        <f t="shared" si="61"/>
        <v>#N/A</v>
      </c>
      <c r="Q700" s="3" t="e">
        <f t="shared" si="62"/>
        <v>#N/A</v>
      </c>
      <c r="R700" s="131">
        <f t="shared" si="63"/>
        <v>46972</v>
      </c>
      <c r="S700" s="3" t="e">
        <f t="shared" si="64"/>
        <v>#N/A</v>
      </c>
      <c r="T700" s="3" t="e">
        <f t="shared" si="65"/>
        <v>#N/A</v>
      </c>
      <c r="U700" s="3">
        <f>Settings!$B$6</f>
        <v>100</v>
      </c>
    </row>
    <row r="701" spans="1:21" ht="18" customHeight="1" x14ac:dyDescent="0.3">
      <c r="A701" s="132">
        <f>A700+1</f>
        <v>46973</v>
      </c>
      <c r="B701" s="138"/>
      <c r="C701" s="126" t="str" cm="1">
        <f t="array" ref="C701">IF(B701="","",B701-IFERROR(LOOKUP(2,1/($B$6:B700&lt;&gt;""),$B$6:B700),Settings!$B$5))</f>
        <v/>
      </c>
      <c r="D701" s="127" t="str">
        <f>IF(B701="","",AVERAGE(B695:B701))</f>
        <v/>
      </c>
      <c r="E701" s="143"/>
      <c r="F701" s="144"/>
      <c r="G701" s="138"/>
      <c r="H701" s="143"/>
      <c r="I701" s="144"/>
      <c r="J701" s="145"/>
      <c r="K701" s="138"/>
      <c r="L701" s="146"/>
      <c r="M701" s="127" t="str">
        <f>IF(B701="","",B701/((Settings!$B$7)/100)^2)</f>
        <v/>
      </c>
      <c r="N701" s="25">
        <f>Settings!$B$6</f>
        <v>100</v>
      </c>
      <c r="O701" s="3" t="e">
        <f t="shared" si="60"/>
        <v>#N/A</v>
      </c>
      <c r="P701" s="3" t="e">
        <f t="shared" si="61"/>
        <v>#N/A</v>
      </c>
      <c r="Q701" s="3" t="e">
        <f t="shared" si="62"/>
        <v>#N/A</v>
      </c>
      <c r="R701" s="131">
        <f t="shared" si="63"/>
        <v>46973</v>
      </c>
      <c r="S701" s="3" t="e">
        <f t="shared" si="64"/>
        <v>#N/A</v>
      </c>
      <c r="T701" s="3" t="e">
        <f t="shared" si="65"/>
        <v>#N/A</v>
      </c>
      <c r="U701" s="3">
        <f>Settings!$B$6</f>
        <v>100</v>
      </c>
    </row>
    <row r="702" spans="1:21" ht="18" customHeight="1" x14ac:dyDescent="0.3">
      <c r="A702" s="124">
        <f>A701+1</f>
        <v>46974</v>
      </c>
      <c r="B702" s="137"/>
      <c r="C702" s="126" t="str" cm="1">
        <f t="array" ref="C702">IF(B702="","",B702-IFERROR(LOOKUP(2,1/($B$6:B701&lt;&gt;""),$B$6:B701),Settings!$B$5))</f>
        <v/>
      </c>
      <c r="D702" s="127" t="str">
        <f>IF(B702="","",AVERAGE(B696:B702))</f>
        <v/>
      </c>
      <c r="E702" s="139"/>
      <c r="F702" s="140"/>
      <c r="G702" s="137"/>
      <c r="H702" s="139"/>
      <c r="I702" s="140"/>
      <c r="J702" s="141"/>
      <c r="K702" s="137"/>
      <c r="L702" s="142"/>
      <c r="M702" s="127" t="str">
        <f>IF(B702="","",B702/((Settings!$B$7)/100)^2)</f>
        <v/>
      </c>
      <c r="N702" s="25">
        <f>Settings!$B$6</f>
        <v>100</v>
      </c>
      <c r="O702" s="3" t="e">
        <f t="shared" si="60"/>
        <v>#N/A</v>
      </c>
      <c r="P702" s="3" t="e">
        <f t="shared" si="61"/>
        <v>#N/A</v>
      </c>
      <c r="Q702" s="3" t="e">
        <f t="shared" si="62"/>
        <v>#N/A</v>
      </c>
      <c r="R702" s="131">
        <f t="shared" si="63"/>
        <v>46974</v>
      </c>
      <c r="S702" s="3" t="e">
        <f t="shared" si="64"/>
        <v>#N/A</v>
      </c>
      <c r="T702" s="3" t="e">
        <f t="shared" si="65"/>
        <v>#N/A</v>
      </c>
      <c r="U702" s="3">
        <f>Settings!$B$6</f>
        <v>100</v>
      </c>
    </row>
    <row r="703" spans="1:21" ht="18" customHeight="1" x14ac:dyDescent="0.3">
      <c r="A703" s="132">
        <f>A702+1</f>
        <v>46975</v>
      </c>
      <c r="B703" s="138"/>
      <c r="C703" s="126" t="str" cm="1">
        <f t="array" ref="C703">IF(B703="","",B703-IFERROR(LOOKUP(2,1/($B$6:B702&lt;&gt;""),$B$6:B702),Settings!$B$5))</f>
        <v/>
      </c>
      <c r="D703" s="127" t="str">
        <f>IF(B703="","",AVERAGE(B697:B703))</f>
        <v/>
      </c>
      <c r="E703" s="143"/>
      <c r="F703" s="144"/>
      <c r="G703" s="138"/>
      <c r="H703" s="143"/>
      <c r="I703" s="144"/>
      <c r="J703" s="145"/>
      <c r="K703" s="138"/>
      <c r="L703" s="146"/>
      <c r="M703" s="127" t="str">
        <f>IF(B703="","",B703/((Settings!$B$7)/100)^2)</f>
        <v/>
      </c>
      <c r="N703" s="25">
        <f>Settings!$B$6</f>
        <v>100</v>
      </c>
      <c r="O703" s="3" t="e">
        <f t="shared" si="60"/>
        <v>#N/A</v>
      </c>
      <c r="P703" s="3" t="e">
        <f t="shared" si="61"/>
        <v>#N/A</v>
      </c>
      <c r="Q703" s="3" t="e">
        <f t="shared" si="62"/>
        <v>#N/A</v>
      </c>
      <c r="R703" s="131">
        <f t="shared" si="63"/>
        <v>46975</v>
      </c>
      <c r="S703" s="3" t="e">
        <f t="shared" si="64"/>
        <v>#N/A</v>
      </c>
      <c r="T703" s="3" t="e">
        <f t="shared" si="65"/>
        <v>#N/A</v>
      </c>
      <c r="U703" s="3">
        <f>Settings!$B$6</f>
        <v>100</v>
      </c>
    </row>
    <row r="704" spans="1:21" ht="18" customHeight="1" x14ac:dyDescent="0.3">
      <c r="A704" s="124">
        <f>A703+1</f>
        <v>46976</v>
      </c>
      <c r="B704" s="137"/>
      <c r="C704" s="126" t="str" cm="1">
        <f t="array" ref="C704">IF(B704="","",B704-IFERROR(LOOKUP(2,1/($B$6:B703&lt;&gt;""),$B$6:B703),Settings!$B$5))</f>
        <v/>
      </c>
      <c r="D704" s="127" t="str">
        <f>IF(B704="","",AVERAGE(B698:B704))</f>
        <v/>
      </c>
      <c r="E704" s="139"/>
      <c r="F704" s="140"/>
      <c r="G704" s="137"/>
      <c r="H704" s="139"/>
      <c r="I704" s="140"/>
      <c r="J704" s="141"/>
      <c r="K704" s="137"/>
      <c r="L704" s="142"/>
      <c r="M704" s="127" t="str">
        <f>IF(B704="","",B704/((Settings!$B$7)/100)^2)</f>
        <v/>
      </c>
      <c r="N704" s="25">
        <f>Settings!$B$6</f>
        <v>100</v>
      </c>
      <c r="O704" s="3" t="e">
        <f t="shared" si="60"/>
        <v>#N/A</v>
      </c>
      <c r="P704" s="3" t="e">
        <f t="shared" si="61"/>
        <v>#N/A</v>
      </c>
      <c r="Q704" s="3" t="e">
        <f t="shared" si="62"/>
        <v>#N/A</v>
      </c>
      <c r="R704" s="131">
        <f t="shared" si="63"/>
        <v>46976</v>
      </c>
      <c r="S704" s="3" t="e">
        <f t="shared" si="64"/>
        <v>#N/A</v>
      </c>
      <c r="T704" s="3" t="e">
        <f t="shared" si="65"/>
        <v>#N/A</v>
      </c>
      <c r="U704" s="3">
        <f>Settings!$B$6</f>
        <v>100</v>
      </c>
    </row>
    <row r="705" spans="1:21" ht="18" customHeight="1" x14ac:dyDescent="0.3">
      <c r="A705" s="132">
        <f>A704+1</f>
        <v>46977</v>
      </c>
      <c r="B705" s="138"/>
      <c r="C705" s="126" t="str" cm="1">
        <f t="array" ref="C705">IF(B705="","",B705-IFERROR(LOOKUP(2,1/($B$6:B704&lt;&gt;""),$B$6:B704),Settings!$B$5))</f>
        <v/>
      </c>
      <c r="D705" s="127" t="str">
        <f>IF(B705="","",AVERAGE(B699:B705))</f>
        <v/>
      </c>
      <c r="E705" s="143"/>
      <c r="F705" s="144"/>
      <c r="G705" s="138"/>
      <c r="H705" s="143"/>
      <c r="I705" s="144"/>
      <c r="J705" s="145"/>
      <c r="K705" s="138"/>
      <c r="L705" s="146"/>
      <c r="M705" s="127" t="str">
        <f>IF(B705="","",B705/((Settings!$B$7)/100)^2)</f>
        <v/>
      </c>
      <c r="N705" s="25">
        <f>Settings!$B$6</f>
        <v>100</v>
      </c>
      <c r="O705" s="3" t="e">
        <f t="shared" si="60"/>
        <v>#N/A</v>
      </c>
      <c r="P705" s="3" t="e">
        <f t="shared" si="61"/>
        <v>#N/A</v>
      </c>
      <c r="Q705" s="3" t="e">
        <f t="shared" si="62"/>
        <v>#N/A</v>
      </c>
      <c r="R705" s="131">
        <f t="shared" si="63"/>
        <v>46977</v>
      </c>
      <c r="S705" s="3" t="e">
        <f t="shared" si="64"/>
        <v>#N/A</v>
      </c>
      <c r="T705" s="3" t="e">
        <f t="shared" si="65"/>
        <v>#N/A</v>
      </c>
      <c r="U705" s="3">
        <f>Settings!$B$6</f>
        <v>100</v>
      </c>
    </row>
    <row r="706" spans="1:21" ht="18" customHeight="1" x14ac:dyDescent="0.3">
      <c r="A706" s="124">
        <f>A705+1</f>
        <v>46978</v>
      </c>
      <c r="B706" s="137"/>
      <c r="C706" s="126" t="str" cm="1">
        <f t="array" ref="C706">IF(B706="","",B706-IFERROR(LOOKUP(2,1/($B$6:B705&lt;&gt;""),$B$6:B705),Settings!$B$5))</f>
        <v/>
      </c>
      <c r="D706" s="127" t="str">
        <f>IF(B706="","",AVERAGE(B700:B706))</f>
        <v/>
      </c>
      <c r="E706" s="139"/>
      <c r="F706" s="140"/>
      <c r="G706" s="137"/>
      <c r="H706" s="139"/>
      <c r="I706" s="140"/>
      <c r="J706" s="141"/>
      <c r="K706" s="137"/>
      <c r="L706" s="142"/>
      <c r="M706" s="127" t="str">
        <f>IF(B706="","",B706/((Settings!$B$7)/100)^2)</f>
        <v/>
      </c>
      <c r="N706" s="25">
        <f>Settings!$B$6</f>
        <v>100</v>
      </c>
      <c r="O706" s="3" t="e">
        <f t="shared" si="60"/>
        <v>#N/A</v>
      </c>
      <c r="P706" s="3" t="e">
        <f t="shared" si="61"/>
        <v>#N/A</v>
      </c>
      <c r="Q706" s="3" t="e">
        <f t="shared" si="62"/>
        <v>#N/A</v>
      </c>
      <c r="R706" s="131">
        <f t="shared" si="63"/>
        <v>46978</v>
      </c>
      <c r="S706" s="3" t="e">
        <f t="shared" si="64"/>
        <v>#N/A</v>
      </c>
      <c r="T706" s="3" t="e">
        <f t="shared" si="65"/>
        <v>#N/A</v>
      </c>
      <c r="U706" s="3">
        <f>Settings!$B$6</f>
        <v>100</v>
      </c>
    </row>
    <row r="707" spans="1:21" ht="18" customHeight="1" x14ac:dyDescent="0.3">
      <c r="A707" s="132">
        <f>A706+1</f>
        <v>46979</v>
      </c>
      <c r="B707" s="138"/>
      <c r="C707" s="126" t="str" cm="1">
        <f t="array" ref="C707">IF(B707="","",B707-IFERROR(LOOKUP(2,1/($B$6:B706&lt;&gt;""),$B$6:B706),Settings!$B$5))</f>
        <v/>
      </c>
      <c r="D707" s="127" t="str">
        <f>IF(B707="","",AVERAGE(B701:B707))</f>
        <v/>
      </c>
      <c r="E707" s="143"/>
      <c r="F707" s="144"/>
      <c r="G707" s="138"/>
      <c r="H707" s="143"/>
      <c r="I707" s="144"/>
      <c r="J707" s="145"/>
      <c r="K707" s="138"/>
      <c r="L707" s="146"/>
      <c r="M707" s="127" t="str">
        <f>IF(B707="","",B707/((Settings!$B$7)/100)^2)</f>
        <v/>
      </c>
      <c r="N707" s="25">
        <f>Settings!$B$6</f>
        <v>100</v>
      </c>
      <c r="O707" s="3" t="e">
        <f t="shared" si="60"/>
        <v>#N/A</v>
      </c>
      <c r="P707" s="3" t="e">
        <f t="shared" si="61"/>
        <v>#N/A</v>
      </c>
      <c r="Q707" s="3" t="e">
        <f t="shared" si="62"/>
        <v>#N/A</v>
      </c>
      <c r="R707" s="131">
        <f t="shared" si="63"/>
        <v>46979</v>
      </c>
      <c r="S707" s="3" t="e">
        <f t="shared" si="64"/>
        <v>#N/A</v>
      </c>
      <c r="T707" s="3" t="e">
        <f t="shared" si="65"/>
        <v>#N/A</v>
      </c>
      <c r="U707" s="3">
        <f>Settings!$B$6</f>
        <v>100</v>
      </c>
    </row>
    <row r="708" spans="1:21" ht="18" customHeight="1" x14ac:dyDescent="0.3">
      <c r="A708" s="124">
        <f>A707+1</f>
        <v>46980</v>
      </c>
      <c r="B708" s="137"/>
      <c r="C708" s="126" t="str" cm="1">
        <f t="array" ref="C708">IF(B708="","",B708-IFERROR(LOOKUP(2,1/($B$6:B707&lt;&gt;""),$B$6:B707),Settings!$B$5))</f>
        <v/>
      </c>
      <c r="D708" s="127" t="str">
        <f>IF(B708="","",AVERAGE(B702:B708))</f>
        <v/>
      </c>
      <c r="E708" s="139"/>
      <c r="F708" s="140"/>
      <c r="G708" s="137"/>
      <c r="H708" s="139"/>
      <c r="I708" s="140"/>
      <c r="J708" s="141"/>
      <c r="K708" s="137"/>
      <c r="L708" s="142"/>
      <c r="M708" s="127" t="str">
        <f>IF(B708="","",B708/((Settings!$B$7)/100)^2)</f>
        <v/>
      </c>
      <c r="N708" s="25">
        <f>Settings!$B$6</f>
        <v>100</v>
      </c>
      <c r="O708" s="3" t="e">
        <f t="shared" si="60"/>
        <v>#N/A</v>
      </c>
      <c r="P708" s="3" t="e">
        <f t="shared" si="61"/>
        <v>#N/A</v>
      </c>
      <c r="Q708" s="3" t="e">
        <f t="shared" si="62"/>
        <v>#N/A</v>
      </c>
      <c r="R708" s="131">
        <f t="shared" si="63"/>
        <v>46980</v>
      </c>
      <c r="S708" s="3" t="e">
        <f t="shared" si="64"/>
        <v>#N/A</v>
      </c>
      <c r="T708" s="3" t="e">
        <f t="shared" si="65"/>
        <v>#N/A</v>
      </c>
      <c r="U708" s="3">
        <f>Settings!$B$6</f>
        <v>100</v>
      </c>
    </row>
    <row r="709" spans="1:21" ht="18" customHeight="1" x14ac:dyDescent="0.3">
      <c r="A709" s="132">
        <f>A708+1</f>
        <v>46981</v>
      </c>
      <c r="B709" s="138"/>
      <c r="C709" s="126" t="str" cm="1">
        <f t="array" ref="C709">IF(B709="","",B709-IFERROR(LOOKUP(2,1/($B$6:B708&lt;&gt;""),$B$6:B708),Settings!$B$5))</f>
        <v/>
      </c>
      <c r="D709" s="127" t="str">
        <f>IF(B709="","",AVERAGE(B703:B709))</f>
        <v/>
      </c>
      <c r="E709" s="143"/>
      <c r="F709" s="144"/>
      <c r="G709" s="138"/>
      <c r="H709" s="143"/>
      <c r="I709" s="144"/>
      <c r="J709" s="145"/>
      <c r="K709" s="138"/>
      <c r="L709" s="146"/>
      <c r="M709" s="127" t="str">
        <f>IF(B709="","",B709/((Settings!$B$7)/100)^2)</f>
        <v/>
      </c>
      <c r="N709" s="25">
        <f>Settings!$B$6</f>
        <v>100</v>
      </c>
      <c r="O709" s="3" t="e">
        <f t="shared" si="60"/>
        <v>#N/A</v>
      </c>
      <c r="P709" s="3" t="e">
        <f t="shared" si="61"/>
        <v>#N/A</v>
      </c>
      <c r="Q709" s="3" t="e">
        <f t="shared" si="62"/>
        <v>#N/A</v>
      </c>
      <c r="R709" s="131">
        <f t="shared" si="63"/>
        <v>46981</v>
      </c>
      <c r="S709" s="3" t="e">
        <f t="shared" si="64"/>
        <v>#N/A</v>
      </c>
      <c r="T709" s="3" t="e">
        <f t="shared" si="65"/>
        <v>#N/A</v>
      </c>
      <c r="U709" s="3">
        <f>Settings!$B$6</f>
        <v>100</v>
      </c>
    </row>
    <row r="710" spans="1:21" ht="18" customHeight="1" x14ac:dyDescent="0.3">
      <c r="A710" s="124">
        <f>A709+1</f>
        <v>46982</v>
      </c>
      <c r="B710" s="137"/>
      <c r="C710" s="126" t="str" cm="1">
        <f t="array" ref="C710">IF(B710="","",B710-IFERROR(LOOKUP(2,1/($B$6:B709&lt;&gt;""),$B$6:B709),Settings!$B$5))</f>
        <v/>
      </c>
      <c r="D710" s="127" t="str">
        <f>IF(B710="","",AVERAGE(B704:B710))</f>
        <v/>
      </c>
      <c r="E710" s="139"/>
      <c r="F710" s="140"/>
      <c r="G710" s="137"/>
      <c r="H710" s="139"/>
      <c r="I710" s="140"/>
      <c r="J710" s="141"/>
      <c r="K710" s="137"/>
      <c r="L710" s="142"/>
      <c r="M710" s="127" t="str">
        <f>IF(B710="","",B710/((Settings!$B$7)/100)^2)</f>
        <v/>
      </c>
      <c r="N710" s="25">
        <f>Settings!$B$6</f>
        <v>100</v>
      </c>
      <c r="O710" s="3" t="e">
        <f t="shared" si="60"/>
        <v>#N/A</v>
      </c>
      <c r="P710" s="3" t="e">
        <f t="shared" si="61"/>
        <v>#N/A</v>
      </c>
      <c r="Q710" s="3" t="e">
        <f t="shared" si="62"/>
        <v>#N/A</v>
      </c>
      <c r="R710" s="131">
        <f t="shared" si="63"/>
        <v>46982</v>
      </c>
      <c r="S710" s="3" t="e">
        <f t="shared" si="64"/>
        <v>#N/A</v>
      </c>
      <c r="T710" s="3" t="e">
        <f t="shared" si="65"/>
        <v>#N/A</v>
      </c>
      <c r="U710" s="3">
        <f>Settings!$B$6</f>
        <v>100</v>
      </c>
    </row>
    <row r="711" spans="1:21" ht="18" customHeight="1" x14ac:dyDescent="0.3">
      <c r="A711" s="132">
        <f>A710+1</f>
        <v>46983</v>
      </c>
      <c r="B711" s="138"/>
      <c r="C711" s="126" t="str" cm="1">
        <f t="array" ref="C711">IF(B711="","",B711-IFERROR(LOOKUP(2,1/($B$6:B710&lt;&gt;""),$B$6:B710),Settings!$B$5))</f>
        <v/>
      </c>
      <c r="D711" s="127" t="str">
        <f>IF(B711="","",AVERAGE(B705:B711))</f>
        <v/>
      </c>
      <c r="E711" s="143"/>
      <c r="F711" s="144"/>
      <c r="G711" s="138"/>
      <c r="H711" s="143"/>
      <c r="I711" s="144"/>
      <c r="J711" s="145"/>
      <c r="K711" s="138"/>
      <c r="L711" s="146"/>
      <c r="M711" s="127" t="str">
        <f>IF(B711="","",B711/((Settings!$B$7)/100)^2)</f>
        <v/>
      </c>
      <c r="N711" s="25">
        <f>Settings!$B$6</f>
        <v>100</v>
      </c>
      <c r="O711" s="3" t="e">
        <f t="shared" ref="O711:O735" si="66">IF($B711="",NA(),$B711)</f>
        <v>#N/A</v>
      </c>
      <c r="P711" s="3" t="e">
        <f t="shared" ref="P711:P735" si="67">IF($D711="",NA(),$D711)</f>
        <v>#N/A</v>
      </c>
      <c r="Q711" s="3" t="e">
        <f t="shared" ref="Q711:Q735" si="68">IF($M711="",NA(),$M711)</f>
        <v>#N/A</v>
      </c>
      <c r="R711" s="131">
        <f t="shared" ref="R711:R735" si="69">A711</f>
        <v>46983</v>
      </c>
      <c r="S711" s="3" t="e">
        <f t="shared" ref="S711:S735" si="70">IF($B711="",NA(),$B711)</f>
        <v>#N/A</v>
      </c>
      <c r="T711" s="3" t="e">
        <f t="shared" ref="T711:T735" si="71">IF($D711="",NA(),$D711)</f>
        <v>#N/A</v>
      </c>
      <c r="U711" s="3">
        <f>Settings!$B$6</f>
        <v>100</v>
      </c>
    </row>
    <row r="712" spans="1:21" ht="18" customHeight="1" x14ac:dyDescent="0.3">
      <c r="A712" s="124">
        <f>A711+1</f>
        <v>46984</v>
      </c>
      <c r="B712" s="137"/>
      <c r="C712" s="126" t="str" cm="1">
        <f t="array" ref="C712">IF(B712="","",B712-IFERROR(LOOKUP(2,1/($B$6:B711&lt;&gt;""),$B$6:B711),Settings!$B$5))</f>
        <v/>
      </c>
      <c r="D712" s="127" t="str">
        <f>IF(B712="","",AVERAGE(B706:B712))</f>
        <v/>
      </c>
      <c r="E712" s="139"/>
      <c r="F712" s="140"/>
      <c r="G712" s="137"/>
      <c r="H712" s="139"/>
      <c r="I712" s="140"/>
      <c r="J712" s="141"/>
      <c r="K712" s="137"/>
      <c r="L712" s="142"/>
      <c r="M712" s="127" t="str">
        <f>IF(B712="","",B712/((Settings!$B$7)/100)^2)</f>
        <v/>
      </c>
      <c r="N712" s="25">
        <f>Settings!$B$6</f>
        <v>100</v>
      </c>
      <c r="O712" s="3" t="e">
        <f t="shared" si="66"/>
        <v>#N/A</v>
      </c>
      <c r="P712" s="3" t="e">
        <f t="shared" si="67"/>
        <v>#N/A</v>
      </c>
      <c r="Q712" s="3" t="e">
        <f t="shared" si="68"/>
        <v>#N/A</v>
      </c>
      <c r="R712" s="131">
        <f t="shared" si="69"/>
        <v>46984</v>
      </c>
      <c r="S712" s="3" t="e">
        <f t="shared" si="70"/>
        <v>#N/A</v>
      </c>
      <c r="T712" s="3" t="e">
        <f t="shared" si="71"/>
        <v>#N/A</v>
      </c>
      <c r="U712" s="3">
        <f>Settings!$B$6</f>
        <v>100</v>
      </c>
    </row>
    <row r="713" spans="1:21" ht="18" customHeight="1" x14ac:dyDescent="0.3">
      <c r="A713" s="132">
        <f>A712+1</f>
        <v>46985</v>
      </c>
      <c r="B713" s="138"/>
      <c r="C713" s="126" t="str" cm="1">
        <f t="array" ref="C713">IF(B713="","",B713-IFERROR(LOOKUP(2,1/($B$6:B712&lt;&gt;""),$B$6:B712),Settings!$B$5))</f>
        <v/>
      </c>
      <c r="D713" s="127" t="str">
        <f>IF(B713="","",AVERAGE(B707:B713))</f>
        <v/>
      </c>
      <c r="E713" s="143"/>
      <c r="F713" s="144"/>
      <c r="G713" s="138"/>
      <c r="H713" s="143"/>
      <c r="I713" s="144"/>
      <c r="J713" s="145"/>
      <c r="K713" s="138"/>
      <c r="L713" s="146"/>
      <c r="M713" s="127" t="str">
        <f>IF(B713="","",B713/((Settings!$B$7)/100)^2)</f>
        <v/>
      </c>
      <c r="N713" s="25">
        <f>Settings!$B$6</f>
        <v>100</v>
      </c>
      <c r="O713" s="3" t="e">
        <f t="shared" si="66"/>
        <v>#N/A</v>
      </c>
      <c r="P713" s="3" t="e">
        <f t="shared" si="67"/>
        <v>#N/A</v>
      </c>
      <c r="Q713" s="3" t="e">
        <f t="shared" si="68"/>
        <v>#N/A</v>
      </c>
      <c r="R713" s="131">
        <f t="shared" si="69"/>
        <v>46985</v>
      </c>
      <c r="S713" s="3" t="e">
        <f t="shared" si="70"/>
        <v>#N/A</v>
      </c>
      <c r="T713" s="3" t="e">
        <f t="shared" si="71"/>
        <v>#N/A</v>
      </c>
      <c r="U713" s="3">
        <f>Settings!$B$6</f>
        <v>100</v>
      </c>
    </row>
    <row r="714" spans="1:21" ht="18" customHeight="1" x14ac:dyDescent="0.3">
      <c r="A714" s="124">
        <f>A713+1</f>
        <v>46986</v>
      </c>
      <c r="B714" s="137"/>
      <c r="C714" s="126" t="str" cm="1">
        <f t="array" ref="C714">IF(B714="","",B714-IFERROR(LOOKUP(2,1/($B$6:B713&lt;&gt;""),$B$6:B713),Settings!$B$5))</f>
        <v/>
      </c>
      <c r="D714" s="127" t="str">
        <f>IF(B714="","",AVERAGE(B708:B714))</f>
        <v/>
      </c>
      <c r="E714" s="139"/>
      <c r="F714" s="140"/>
      <c r="G714" s="137"/>
      <c r="H714" s="139"/>
      <c r="I714" s="140"/>
      <c r="J714" s="141"/>
      <c r="K714" s="137"/>
      <c r="L714" s="142"/>
      <c r="M714" s="127" t="str">
        <f>IF(B714="","",B714/((Settings!$B$7)/100)^2)</f>
        <v/>
      </c>
      <c r="N714" s="25">
        <f>Settings!$B$6</f>
        <v>100</v>
      </c>
      <c r="O714" s="3" t="e">
        <f t="shared" si="66"/>
        <v>#N/A</v>
      </c>
      <c r="P714" s="3" t="e">
        <f t="shared" si="67"/>
        <v>#N/A</v>
      </c>
      <c r="Q714" s="3" t="e">
        <f t="shared" si="68"/>
        <v>#N/A</v>
      </c>
      <c r="R714" s="131">
        <f t="shared" si="69"/>
        <v>46986</v>
      </c>
      <c r="S714" s="3" t="e">
        <f t="shared" si="70"/>
        <v>#N/A</v>
      </c>
      <c r="T714" s="3" t="e">
        <f t="shared" si="71"/>
        <v>#N/A</v>
      </c>
      <c r="U714" s="3">
        <f>Settings!$B$6</f>
        <v>100</v>
      </c>
    </row>
    <row r="715" spans="1:21" ht="18" customHeight="1" x14ac:dyDescent="0.3">
      <c r="A715" s="132">
        <f>A714+1</f>
        <v>46987</v>
      </c>
      <c r="B715" s="138"/>
      <c r="C715" s="126" t="str" cm="1">
        <f t="array" ref="C715">IF(B715="","",B715-IFERROR(LOOKUP(2,1/($B$6:B714&lt;&gt;""),$B$6:B714),Settings!$B$5))</f>
        <v/>
      </c>
      <c r="D715" s="127" t="str">
        <f>IF(B715="","",AVERAGE(B709:B715))</f>
        <v/>
      </c>
      <c r="E715" s="143"/>
      <c r="F715" s="144"/>
      <c r="G715" s="138"/>
      <c r="H715" s="143"/>
      <c r="I715" s="144"/>
      <c r="J715" s="145"/>
      <c r="K715" s="138"/>
      <c r="L715" s="146"/>
      <c r="M715" s="127" t="str">
        <f>IF(B715="","",B715/((Settings!$B$7)/100)^2)</f>
        <v/>
      </c>
      <c r="N715" s="25">
        <f>Settings!$B$6</f>
        <v>100</v>
      </c>
      <c r="O715" s="3" t="e">
        <f t="shared" si="66"/>
        <v>#N/A</v>
      </c>
      <c r="P715" s="3" t="e">
        <f t="shared" si="67"/>
        <v>#N/A</v>
      </c>
      <c r="Q715" s="3" t="e">
        <f t="shared" si="68"/>
        <v>#N/A</v>
      </c>
      <c r="R715" s="131">
        <f t="shared" si="69"/>
        <v>46987</v>
      </c>
      <c r="S715" s="3" t="e">
        <f t="shared" si="70"/>
        <v>#N/A</v>
      </c>
      <c r="T715" s="3" t="e">
        <f t="shared" si="71"/>
        <v>#N/A</v>
      </c>
      <c r="U715" s="3">
        <f>Settings!$B$6</f>
        <v>100</v>
      </c>
    </row>
    <row r="716" spans="1:21" ht="18" customHeight="1" x14ac:dyDescent="0.3">
      <c r="A716" s="124">
        <f>A715+1</f>
        <v>46988</v>
      </c>
      <c r="B716" s="137"/>
      <c r="C716" s="126" t="str" cm="1">
        <f t="array" ref="C716">IF(B716="","",B716-IFERROR(LOOKUP(2,1/($B$6:B715&lt;&gt;""),$B$6:B715),Settings!$B$5))</f>
        <v/>
      </c>
      <c r="D716" s="127" t="str">
        <f>IF(B716="","",AVERAGE(B710:B716))</f>
        <v/>
      </c>
      <c r="E716" s="139"/>
      <c r="F716" s="140"/>
      <c r="G716" s="137"/>
      <c r="H716" s="139"/>
      <c r="I716" s="140"/>
      <c r="J716" s="141"/>
      <c r="K716" s="137"/>
      <c r="L716" s="142"/>
      <c r="M716" s="127" t="str">
        <f>IF(B716="","",B716/((Settings!$B$7)/100)^2)</f>
        <v/>
      </c>
      <c r="N716" s="25">
        <f>Settings!$B$6</f>
        <v>100</v>
      </c>
      <c r="O716" s="3" t="e">
        <f t="shared" si="66"/>
        <v>#N/A</v>
      </c>
      <c r="P716" s="3" t="e">
        <f t="shared" si="67"/>
        <v>#N/A</v>
      </c>
      <c r="Q716" s="3" t="e">
        <f t="shared" si="68"/>
        <v>#N/A</v>
      </c>
      <c r="R716" s="131">
        <f t="shared" si="69"/>
        <v>46988</v>
      </c>
      <c r="S716" s="3" t="e">
        <f t="shared" si="70"/>
        <v>#N/A</v>
      </c>
      <c r="T716" s="3" t="e">
        <f t="shared" si="71"/>
        <v>#N/A</v>
      </c>
      <c r="U716" s="3">
        <f>Settings!$B$6</f>
        <v>100</v>
      </c>
    </row>
    <row r="717" spans="1:21" ht="18" customHeight="1" x14ac:dyDescent="0.3">
      <c r="A717" s="132">
        <f>A716+1</f>
        <v>46989</v>
      </c>
      <c r="B717" s="138"/>
      <c r="C717" s="126" t="str" cm="1">
        <f t="array" ref="C717">IF(B717="","",B717-IFERROR(LOOKUP(2,1/($B$6:B716&lt;&gt;""),$B$6:B716),Settings!$B$5))</f>
        <v/>
      </c>
      <c r="D717" s="127" t="str">
        <f>IF(B717="","",AVERAGE(B711:B717))</f>
        <v/>
      </c>
      <c r="E717" s="143"/>
      <c r="F717" s="144"/>
      <c r="G717" s="138"/>
      <c r="H717" s="143"/>
      <c r="I717" s="144"/>
      <c r="J717" s="145"/>
      <c r="K717" s="138"/>
      <c r="L717" s="146"/>
      <c r="M717" s="127" t="str">
        <f>IF(B717="","",B717/((Settings!$B$7)/100)^2)</f>
        <v/>
      </c>
      <c r="N717" s="25">
        <f>Settings!$B$6</f>
        <v>100</v>
      </c>
      <c r="O717" s="3" t="e">
        <f t="shared" si="66"/>
        <v>#N/A</v>
      </c>
      <c r="P717" s="3" t="e">
        <f t="shared" si="67"/>
        <v>#N/A</v>
      </c>
      <c r="Q717" s="3" t="e">
        <f t="shared" si="68"/>
        <v>#N/A</v>
      </c>
      <c r="R717" s="131">
        <f t="shared" si="69"/>
        <v>46989</v>
      </c>
      <c r="S717" s="3" t="e">
        <f t="shared" si="70"/>
        <v>#N/A</v>
      </c>
      <c r="T717" s="3" t="e">
        <f t="shared" si="71"/>
        <v>#N/A</v>
      </c>
      <c r="U717" s="3">
        <f>Settings!$B$6</f>
        <v>100</v>
      </c>
    </row>
    <row r="718" spans="1:21" ht="18" customHeight="1" x14ac:dyDescent="0.3">
      <c r="A718" s="124">
        <f>A717+1</f>
        <v>46990</v>
      </c>
      <c r="B718" s="137"/>
      <c r="C718" s="126" t="str" cm="1">
        <f t="array" ref="C718">IF(B718="","",B718-IFERROR(LOOKUP(2,1/($B$6:B717&lt;&gt;""),$B$6:B717),Settings!$B$5))</f>
        <v/>
      </c>
      <c r="D718" s="127" t="str">
        <f>IF(B718="","",AVERAGE(B712:B718))</f>
        <v/>
      </c>
      <c r="E718" s="139"/>
      <c r="F718" s="140"/>
      <c r="G718" s="137"/>
      <c r="H718" s="139"/>
      <c r="I718" s="140"/>
      <c r="J718" s="141"/>
      <c r="K718" s="137"/>
      <c r="L718" s="142"/>
      <c r="M718" s="127" t="str">
        <f>IF(B718="","",B718/((Settings!$B$7)/100)^2)</f>
        <v/>
      </c>
      <c r="N718" s="25">
        <f>Settings!$B$6</f>
        <v>100</v>
      </c>
      <c r="O718" s="3" t="e">
        <f t="shared" si="66"/>
        <v>#N/A</v>
      </c>
      <c r="P718" s="3" t="e">
        <f t="shared" si="67"/>
        <v>#N/A</v>
      </c>
      <c r="Q718" s="3" t="e">
        <f t="shared" si="68"/>
        <v>#N/A</v>
      </c>
      <c r="R718" s="131">
        <f t="shared" si="69"/>
        <v>46990</v>
      </c>
      <c r="S718" s="3" t="e">
        <f t="shared" si="70"/>
        <v>#N/A</v>
      </c>
      <c r="T718" s="3" t="e">
        <f t="shared" si="71"/>
        <v>#N/A</v>
      </c>
      <c r="U718" s="3">
        <f>Settings!$B$6</f>
        <v>100</v>
      </c>
    </row>
    <row r="719" spans="1:21" ht="18" customHeight="1" x14ac:dyDescent="0.3">
      <c r="A719" s="132">
        <f>A718+1</f>
        <v>46991</v>
      </c>
      <c r="B719" s="138"/>
      <c r="C719" s="126" t="str" cm="1">
        <f t="array" ref="C719">IF(B719="","",B719-IFERROR(LOOKUP(2,1/($B$6:B718&lt;&gt;""),$B$6:B718),Settings!$B$5))</f>
        <v/>
      </c>
      <c r="D719" s="127" t="str">
        <f>IF(B719="","",AVERAGE(B713:B719))</f>
        <v/>
      </c>
      <c r="E719" s="143"/>
      <c r="F719" s="144"/>
      <c r="G719" s="138"/>
      <c r="H719" s="143"/>
      <c r="I719" s="144"/>
      <c r="J719" s="145"/>
      <c r="K719" s="138"/>
      <c r="L719" s="146"/>
      <c r="M719" s="127" t="str">
        <f>IF(B719="","",B719/((Settings!$B$7)/100)^2)</f>
        <v/>
      </c>
      <c r="N719" s="25">
        <f>Settings!$B$6</f>
        <v>100</v>
      </c>
      <c r="O719" s="3" t="e">
        <f t="shared" si="66"/>
        <v>#N/A</v>
      </c>
      <c r="P719" s="3" t="e">
        <f t="shared" si="67"/>
        <v>#N/A</v>
      </c>
      <c r="Q719" s="3" t="e">
        <f t="shared" si="68"/>
        <v>#N/A</v>
      </c>
      <c r="R719" s="131">
        <f t="shared" si="69"/>
        <v>46991</v>
      </c>
      <c r="S719" s="3" t="e">
        <f t="shared" si="70"/>
        <v>#N/A</v>
      </c>
      <c r="T719" s="3" t="e">
        <f t="shared" si="71"/>
        <v>#N/A</v>
      </c>
      <c r="U719" s="3">
        <f>Settings!$B$6</f>
        <v>100</v>
      </c>
    </row>
    <row r="720" spans="1:21" ht="18" customHeight="1" x14ac:dyDescent="0.3">
      <c r="A720" s="124">
        <f>A719+1</f>
        <v>46992</v>
      </c>
      <c r="B720" s="137"/>
      <c r="C720" s="126" t="str" cm="1">
        <f t="array" ref="C720">IF(B720="","",B720-IFERROR(LOOKUP(2,1/($B$6:B719&lt;&gt;""),$B$6:B719),Settings!$B$5))</f>
        <v/>
      </c>
      <c r="D720" s="127" t="str">
        <f>IF(B720="","",AVERAGE(B714:B720))</f>
        <v/>
      </c>
      <c r="E720" s="139"/>
      <c r="F720" s="140"/>
      <c r="G720" s="137"/>
      <c r="H720" s="139"/>
      <c r="I720" s="140"/>
      <c r="J720" s="141"/>
      <c r="K720" s="137"/>
      <c r="L720" s="142"/>
      <c r="M720" s="127" t="str">
        <f>IF(B720="","",B720/((Settings!$B$7)/100)^2)</f>
        <v/>
      </c>
      <c r="N720" s="25">
        <f>Settings!$B$6</f>
        <v>100</v>
      </c>
      <c r="O720" s="3" t="e">
        <f t="shared" si="66"/>
        <v>#N/A</v>
      </c>
      <c r="P720" s="3" t="e">
        <f t="shared" si="67"/>
        <v>#N/A</v>
      </c>
      <c r="Q720" s="3" t="e">
        <f t="shared" si="68"/>
        <v>#N/A</v>
      </c>
      <c r="R720" s="131">
        <f t="shared" si="69"/>
        <v>46992</v>
      </c>
      <c r="S720" s="3" t="e">
        <f t="shared" si="70"/>
        <v>#N/A</v>
      </c>
      <c r="T720" s="3" t="e">
        <f t="shared" si="71"/>
        <v>#N/A</v>
      </c>
      <c r="U720" s="3">
        <f>Settings!$B$6</f>
        <v>100</v>
      </c>
    </row>
    <row r="721" spans="1:21" ht="18" customHeight="1" x14ac:dyDescent="0.3">
      <c r="A721" s="132">
        <f>A720+1</f>
        <v>46993</v>
      </c>
      <c r="B721" s="138"/>
      <c r="C721" s="126" t="str" cm="1">
        <f t="array" ref="C721">IF(B721="","",B721-IFERROR(LOOKUP(2,1/($B$6:B720&lt;&gt;""),$B$6:B720),Settings!$B$5))</f>
        <v/>
      </c>
      <c r="D721" s="127" t="str">
        <f>IF(B721="","",AVERAGE(B715:B721))</f>
        <v/>
      </c>
      <c r="E721" s="143"/>
      <c r="F721" s="144"/>
      <c r="G721" s="138"/>
      <c r="H721" s="143"/>
      <c r="I721" s="144"/>
      <c r="J721" s="145"/>
      <c r="K721" s="138"/>
      <c r="L721" s="146"/>
      <c r="M721" s="127" t="str">
        <f>IF(B721="","",B721/((Settings!$B$7)/100)^2)</f>
        <v/>
      </c>
      <c r="N721" s="25">
        <f>Settings!$B$6</f>
        <v>100</v>
      </c>
      <c r="O721" s="3" t="e">
        <f t="shared" si="66"/>
        <v>#N/A</v>
      </c>
      <c r="P721" s="3" t="e">
        <f t="shared" si="67"/>
        <v>#N/A</v>
      </c>
      <c r="Q721" s="3" t="e">
        <f t="shared" si="68"/>
        <v>#N/A</v>
      </c>
      <c r="R721" s="131">
        <f t="shared" si="69"/>
        <v>46993</v>
      </c>
      <c r="S721" s="3" t="e">
        <f t="shared" si="70"/>
        <v>#N/A</v>
      </c>
      <c r="T721" s="3" t="e">
        <f t="shared" si="71"/>
        <v>#N/A</v>
      </c>
      <c r="U721" s="3">
        <f>Settings!$B$6</f>
        <v>100</v>
      </c>
    </row>
    <row r="722" spans="1:21" ht="18" customHeight="1" x14ac:dyDescent="0.3">
      <c r="A722" s="124">
        <f>A721+1</f>
        <v>46994</v>
      </c>
      <c r="B722" s="137"/>
      <c r="C722" s="126" t="str" cm="1">
        <f t="array" ref="C722">IF(B722="","",B722-IFERROR(LOOKUP(2,1/($B$6:B721&lt;&gt;""),$B$6:B721),Settings!$B$5))</f>
        <v/>
      </c>
      <c r="D722" s="127" t="str">
        <f>IF(B722="","",AVERAGE(B716:B722))</f>
        <v/>
      </c>
      <c r="E722" s="139"/>
      <c r="F722" s="140"/>
      <c r="G722" s="137"/>
      <c r="H722" s="139"/>
      <c r="I722" s="140"/>
      <c r="J722" s="141"/>
      <c r="K722" s="137"/>
      <c r="L722" s="142"/>
      <c r="M722" s="127" t="str">
        <f>IF(B722="","",B722/((Settings!$B$7)/100)^2)</f>
        <v/>
      </c>
      <c r="N722" s="25">
        <f>Settings!$B$6</f>
        <v>100</v>
      </c>
      <c r="O722" s="3" t="e">
        <f t="shared" si="66"/>
        <v>#N/A</v>
      </c>
      <c r="P722" s="3" t="e">
        <f t="shared" si="67"/>
        <v>#N/A</v>
      </c>
      <c r="Q722" s="3" t="e">
        <f t="shared" si="68"/>
        <v>#N/A</v>
      </c>
      <c r="R722" s="131">
        <f t="shared" si="69"/>
        <v>46994</v>
      </c>
      <c r="S722" s="3" t="e">
        <f t="shared" si="70"/>
        <v>#N/A</v>
      </c>
      <c r="T722" s="3" t="e">
        <f t="shared" si="71"/>
        <v>#N/A</v>
      </c>
      <c r="U722" s="3">
        <f>Settings!$B$6</f>
        <v>100</v>
      </c>
    </row>
    <row r="723" spans="1:21" ht="18" customHeight="1" x14ac:dyDescent="0.3">
      <c r="A723" s="132">
        <f>A722+1</f>
        <v>46995</v>
      </c>
      <c r="B723" s="138"/>
      <c r="C723" s="126" t="str" cm="1">
        <f t="array" ref="C723">IF(B723="","",B723-IFERROR(LOOKUP(2,1/($B$6:B722&lt;&gt;""),$B$6:B722),Settings!$B$5))</f>
        <v/>
      </c>
      <c r="D723" s="127" t="str">
        <f>IF(B723="","",AVERAGE(B717:B723))</f>
        <v/>
      </c>
      <c r="E723" s="143"/>
      <c r="F723" s="144"/>
      <c r="G723" s="138"/>
      <c r="H723" s="143"/>
      <c r="I723" s="144"/>
      <c r="J723" s="145"/>
      <c r="K723" s="138"/>
      <c r="L723" s="146"/>
      <c r="M723" s="127" t="str">
        <f>IF(B723="","",B723/((Settings!$B$7)/100)^2)</f>
        <v/>
      </c>
      <c r="N723" s="25">
        <f>Settings!$B$6</f>
        <v>100</v>
      </c>
      <c r="O723" s="3" t="e">
        <f t="shared" si="66"/>
        <v>#N/A</v>
      </c>
      <c r="P723" s="3" t="e">
        <f t="shared" si="67"/>
        <v>#N/A</v>
      </c>
      <c r="Q723" s="3" t="e">
        <f t="shared" si="68"/>
        <v>#N/A</v>
      </c>
      <c r="R723" s="131">
        <f t="shared" si="69"/>
        <v>46995</v>
      </c>
      <c r="S723" s="3" t="e">
        <f t="shared" si="70"/>
        <v>#N/A</v>
      </c>
      <c r="T723" s="3" t="e">
        <f t="shared" si="71"/>
        <v>#N/A</v>
      </c>
      <c r="U723" s="3">
        <f>Settings!$B$6</f>
        <v>100</v>
      </c>
    </row>
    <row r="724" spans="1:21" ht="18" customHeight="1" x14ac:dyDescent="0.3">
      <c r="A724" s="124">
        <f>A723+1</f>
        <v>46996</v>
      </c>
      <c r="B724" s="137"/>
      <c r="C724" s="126" t="str" cm="1">
        <f t="array" ref="C724">IF(B724="","",B724-IFERROR(LOOKUP(2,1/($B$6:B723&lt;&gt;""),$B$6:B723),Settings!$B$5))</f>
        <v/>
      </c>
      <c r="D724" s="127" t="str">
        <f>IF(B724="","",AVERAGE(B718:B724))</f>
        <v/>
      </c>
      <c r="E724" s="139"/>
      <c r="F724" s="140"/>
      <c r="G724" s="137"/>
      <c r="H724" s="139"/>
      <c r="I724" s="140"/>
      <c r="J724" s="141"/>
      <c r="K724" s="137"/>
      <c r="L724" s="142"/>
      <c r="M724" s="127" t="str">
        <f>IF(B724="","",B724/((Settings!$B$7)/100)^2)</f>
        <v/>
      </c>
      <c r="N724" s="25">
        <f>Settings!$B$6</f>
        <v>100</v>
      </c>
      <c r="O724" s="3" t="e">
        <f t="shared" si="66"/>
        <v>#N/A</v>
      </c>
      <c r="P724" s="3" t="e">
        <f t="shared" si="67"/>
        <v>#N/A</v>
      </c>
      <c r="Q724" s="3" t="e">
        <f t="shared" si="68"/>
        <v>#N/A</v>
      </c>
      <c r="R724" s="131">
        <f t="shared" si="69"/>
        <v>46996</v>
      </c>
      <c r="S724" s="3" t="e">
        <f t="shared" si="70"/>
        <v>#N/A</v>
      </c>
      <c r="T724" s="3" t="e">
        <f t="shared" si="71"/>
        <v>#N/A</v>
      </c>
      <c r="U724" s="3">
        <f>Settings!$B$6</f>
        <v>100</v>
      </c>
    </row>
    <row r="725" spans="1:21" ht="18" customHeight="1" x14ac:dyDescent="0.3">
      <c r="A725" s="132">
        <f>A724+1</f>
        <v>46997</v>
      </c>
      <c r="B725" s="138"/>
      <c r="C725" s="126" t="str" cm="1">
        <f t="array" ref="C725">IF(B725="","",B725-IFERROR(LOOKUP(2,1/($B$6:B724&lt;&gt;""),$B$6:B724),Settings!$B$5))</f>
        <v/>
      </c>
      <c r="D725" s="127" t="str">
        <f>IF(B725="","",AVERAGE(B719:B725))</f>
        <v/>
      </c>
      <c r="E725" s="143"/>
      <c r="F725" s="144"/>
      <c r="G725" s="138"/>
      <c r="H725" s="143"/>
      <c r="I725" s="144"/>
      <c r="J725" s="145"/>
      <c r="K725" s="138"/>
      <c r="L725" s="146"/>
      <c r="M725" s="127" t="str">
        <f>IF(B725="","",B725/((Settings!$B$7)/100)^2)</f>
        <v/>
      </c>
      <c r="N725" s="25">
        <f>Settings!$B$6</f>
        <v>100</v>
      </c>
      <c r="O725" s="3" t="e">
        <f t="shared" si="66"/>
        <v>#N/A</v>
      </c>
      <c r="P725" s="3" t="e">
        <f t="shared" si="67"/>
        <v>#N/A</v>
      </c>
      <c r="Q725" s="3" t="e">
        <f t="shared" si="68"/>
        <v>#N/A</v>
      </c>
      <c r="R725" s="131">
        <f t="shared" si="69"/>
        <v>46997</v>
      </c>
      <c r="S725" s="3" t="e">
        <f t="shared" si="70"/>
        <v>#N/A</v>
      </c>
      <c r="T725" s="3" t="e">
        <f t="shared" si="71"/>
        <v>#N/A</v>
      </c>
      <c r="U725" s="3">
        <f>Settings!$B$6</f>
        <v>100</v>
      </c>
    </row>
    <row r="726" spans="1:21" ht="18" customHeight="1" x14ac:dyDescent="0.3">
      <c r="A726" s="124">
        <f>A725+1</f>
        <v>46998</v>
      </c>
      <c r="B726" s="137"/>
      <c r="C726" s="126" t="str" cm="1">
        <f t="array" ref="C726">IF(B726="","",B726-IFERROR(LOOKUP(2,1/($B$6:B725&lt;&gt;""),$B$6:B725),Settings!$B$5))</f>
        <v/>
      </c>
      <c r="D726" s="127" t="str">
        <f>IF(B726="","",AVERAGE(B720:B726))</f>
        <v/>
      </c>
      <c r="E726" s="139"/>
      <c r="F726" s="140"/>
      <c r="G726" s="137"/>
      <c r="H726" s="139"/>
      <c r="I726" s="140"/>
      <c r="J726" s="141"/>
      <c r="K726" s="137"/>
      <c r="L726" s="142"/>
      <c r="M726" s="127" t="str">
        <f>IF(B726="","",B726/((Settings!$B$7)/100)^2)</f>
        <v/>
      </c>
      <c r="N726" s="25">
        <f>Settings!$B$6</f>
        <v>100</v>
      </c>
      <c r="O726" s="3" t="e">
        <f t="shared" si="66"/>
        <v>#N/A</v>
      </c>
      <c r="P726" s="3" t="e">
        <f t="shared" si="67"/>
        <v>#N/A</v>
      </c>
      <c r="Q726" s="3" t="e">
        <f t="shared" si="68"/>
        <v>#N/A</v>
      </c>
      <c r="R726" s="131">
        <f t="shared" si="69"/>
        <v>46998</v>
      </c>
      <c r="S726" s="3" t="e">
        <f t="shared" si="70"/>
        <v>#N/A</v>
      </c>
      <c r="T726" s="3" t="e">
        <f t="shared" si="71"/>
        <v>#N/A</v>
      </c>
      <c r="U726" s="3">
        <f>Settings!$B$6</f>
        <v>100</v>
      </c>
    </row>
    <row r="727" spans="1:21" ht="18" customHeight="1" x14ac:dyDescent="0.3">
      <c r="A727" s="132">
        <f>A726+1</f>
        <v>46999</v>
      </c>
      <c r="B727" s="138"/>
      <c r="C727" s="126" t="str" cm="1">
        <f t="array" ref="C727">IF(B727="","",B727-IFERROR(LOOKUP(2,1/($B$6:B726&lt;&gt;""),$B$6:B726),Settings!$B$5))</f>
        <v/>
      </c>
      <c r="D727" s="127" t="str">
        <f>IF(B727="","",AVERAGE(B721:B727))</f>
        <v/>
      </c>
      <c r="E727" s="143"/>
      <c r="F727" s="144"/>
      <c r="G727" s="138"/>
      <c r="H727" s="143"/>
      <c r="I727" s="144"/>
      <c r="J727" s="145"/>
      <c r="K727" s="138"/>
      <c r="L727" s="146"/>
      <c r="M727" s="127" t="str">
        <f>IF(B727="","",B727/((Settings!$B$7)/100)^2)</f>
        <v/>
      </c>
      <c r="N727" s="25">
        <f>Settings!$B$6</f>
        <v>100</v>
      </c>
      <c r="O727" s="3" t="e">
        <f t="shared" si="66"/>
        <v>#N/A</v>
      </c>
      <c r="P727" s="3" t="e">
        <f t="shared" si="67"/>
        <v>#N/A</v>
      </c>
      <c r="Q727" s="3" t="e">
        <f t="shared" si="68"/>
        <v>#N/A</v>
      </c>
      <c r="R727" s="131">
        <f t="shared" si="69"/>
        <v>46999</v>
      </c>
      <c r="S727" s="3" t="e">
        <f t="shared" si="70"/>
        <v>#N/A</v>
      </c>
      <c r="T727" s="3" t="e">
        <f t="shared" si="71"/>
        <v>#N/A</v>
      </c>
      <c r="U727" s="3">
        <f>Settings!$B$6</f>
        <v>100</v>
      </c>
    </row>
    <row r="728" spans="1:21" ht="18" customHeight="1" x14ac:dyDescent="0.3">
      <c r="A728" s="124">
        <f>A727+1</f>
        <v>47000</v>
      </c>
      <c r="B728" s="137"/>
      <c r="C728" s="126" t="str" cm="1">
        <f t="array" ref="C728">IF(B728="","",B728-IFERROR(LOOKUP(2,1/($B$6:B727&lt;&gt;""),$B$6:B727),Settings!$B$5))</f>
        <v/>
      </c>
      <c r="D728" s="127" t="str">
        <f>IF(B728="","",AVERAGE(B722:B728))</f>
        <v/>
      </c>
      <c r="E728" s="139"/>
      <c r="F728" s="140"/>
      <c r="G728" s="137"/>
      <c r="H728" s="139"/>
      <c r="I728" s="140"/>
      <c r="J728" s="141"/>
      <c r="K728" s="137"/>
      <c r="L728" s="142"/>
      <c r="M728" s="127" t="str">
        <f>IF(B728="","",B728/((Settings!$B$7)/100)^2)</f>
        <v/>
      </c>
      <c r="N728" s="25">
        <f>Settings!$B$6</f>
        <v>100</v>
      </c>
      <c r="O728" s="3" t="e">
        <f t="shared" si="66"/>
        <v>#N/A</v>
      </c>
      <c r="P728" s="3" t="e">
        <f t="shared" si="67"/>
        <v>#N/A</v>
      </c>
      <c r="Q728" s="3" t="e">
        <f t="shared" si="68"/>
        <v>#N/A</v>
      </c>
      <c r="R728" s="131">
        <f t="shared" si="69"/>
        <v>47000</v>
      </c>
      <c r="S728" s="3" t="e">
        <f t="shared" si="70"/>
        <v>#N/A</v>
      </c>
      <c r="T728" s="3" t="e">
        <f t="shared" si="71"/>
        <v>#N/A</v>
      </c>
      <c r="U728" s="3">
        <f>Settings!$B$6</f>
        <v>100</v>
      </c>
    </row>
    <row r="729" spans="1:21" ht="18" customHeight="1" x14ac:dyDescent="0.3">
      <c r="A729" s="132">
        <f>A728+1</f>
        <v>47001</v>
      </c>
      <c r="B729" s="138"/>
      <c r="C729" s="126" t="str" cm="1">
        <f t="array" ref="C729">IF(B729="","",B729-IFERROR(LOOKUP(2,1/($B$6:B728&lt;&gt;""),$B$6:B728),Settings!$B$5))</f>
        <v/>
      </c>
      <c r="D729" s="127" t="str">
        <f>IF(B729="","",AVERAGE(B723:B729))</f>
        <v/>
      </c>
      <c r="E729" s="143"/>
      <c r="F729" s="144"/>
      <c r="G729" s="138"/>
      <c r="H729" s="143"/>
      <c r="I729" s="144"/>
      <c r="J729" s="145"/>
      <c r="K729" s="138"/>
      <c r="L729" s="146"/>
      <c r="M729" s="127" t="str">
        <f>IF(B729="","",B729/((Settings!$B$7)/100)^2)</f>
        <v/>
      </c>
      <c r="N729" s="25">
        <f>Settings!$B$6</f>
        <v>100</v>
      </c>
      <c r="O729" s="3" t="e">
        <f t="shared" si="66"/>
        <v>#N/A</v>
      </c>
      <c r="P729" s="3" t="e">
        <f t="shared" si="67"/>
        <v>#N/A</v>
      </c>
      <c r="Q729" s="3" t="e">
        <f t="shared" si="68"/>
        <v>#N/A</v>
      </c>
      <c r="R729" s="131">
        <f t="shared" si="69"/>
        <v>47001</v>
      </c>
      <c r="S729" s="3" t="e">
        <f t="shared" si="70"/>
        <v>#N/A</v>
      </c>
      <c r="T729" s="3" t="e">
        <f t="shared" si="71"/>
        <v>#N/A</v>
      </c>
      <c r="U729" s="3">
        <f>Settings!$B$6</f>
        <v>100</v>
      </c>
    </row>
    <row r="730" spans="1:21" ht="18" customHeight="1" x14ac:dyDescent="0.3">
      <c r="A730" s="124">
        <f>A729+1</f>
        <v>47002</v>
      </c>
      <c r="B730" s="137"/>
      <c r="C730" s="126" t="str" cm="1">
        <f t="array" ref="C730">IF(B730="","",B730-IFERROR(LOOKUP(2,1/($B$6:B729&lt;&gt;""),$B$6:B729),Settings!$B$5))</f>
        <v/>
      </c>
      <c r="D730" s="127" t="str">
        <f>IF(B730="","",AVERAGE(B724:B730))</f>
        <v/>
      </c>
      <c r="E730" s="139"/>
      <c r="F730" s="140"/>
      <c r="G730" s="137"/>
      <c r="H730" s="139"/>
      <c r="I730" s="140"/>
      <c r="J730" s="141"/>
      <c r="K730" s="137"/>
      <c r="L730" s="142"/>
      <c r="M730" s="127" t="str">
        <f>IF(B730="","",B730/((Settings!$B$7)/100)^2)</f>
        <v/>
      </c>
      <c r="N730" s="25">
        <f>Settings!$B$6</f>
        <v>100</v>
      </c>
      <c r="O730" s="3" t="e">
        <f t="shared" si="66"/>
        <v>#N/A</v>
      </c>
      <c r="P730" s="3" t="e">
        <f t="shared" si="67"/>
        <v>#N/A</v>
      </c>
      <c r="Q730" s="3" t="e">
        <f t="shared" si="68"/>
        <v>#N/A</v>
      </c>
      <c r="R730" s="131">
        <f t="shared" si="69"/>
        <v>47002</v>
      </c>
      <c r="S730" s="3" t="e">
        <f t="shared" si="70"/>
        <v>#N/A</v>
      </c>
      <c r="T730" s="3" t="e">
        <f t="shared" si="71"/>
        <v>#N/A</v>
      </c>
      <c r="U730" s="3">
        <f>Settings!$B$6</f>
        <v>100</v>
      </c>
    </row>
    <row r="731" spans="1:21" ht="18" customHeight="1" x14ac:dyDescent="0.3">
      <c r="A731" s="132">
        <f>A730+1</f>
        <v>47003</v>
      </c>
      <c r="B731" s="138"/>
      <c r="C731" s="126" t="str" cm="1">
        <f t="array" ref="C731">IF(B731="","",B731-IFERROR(LOOKUP(2,1/($B$6:B730&lt;&gt;""),$B$6:B730),Settings!$B$5))</f>
        <v/>
      </c>
      <c r="D731" s="127" t="str">
        <f>IF(B731="","",AVERAGE(B725:B731))</f>
        <v/>
      </c>
      <c r="E731" s="143"/>
      <c r="F731" s="144"/>
      <c r="G731" s="138"/>
      <c r="H731" s="143"/>
      <c r="I731" s="144"/>
      <c r="J731" s="145"/>
      <c r="K731" s="138"/>
      <c r="L731" s="146"/>
      <c r="M731" s="127" t="str">
        <f>IF(B731="","",B731/((Settings!$B$7)/100)^2)</f>
        <v/>
      </c>
      <c r="N731" s="25">
        <f>Settings!$B$6</f>
        <v>100</v>
      </c>
      <c r="O731" s="3" t="e">
        <f t="shared" si="66"/>
        <v>#N/A</v>
      </c>
      <c r="P731" s="3" t="e">
        <f t="shared" si="67"/>
        <v>#N/A</v>
      </c>
      <c r="Q731" s="3" t="e">
        <f t="shared" si="68"/>
        <v>#N/A</v>
      </c>
      <c r="R731" s="131">
        <f t="shared" si="69"/>
        <v>47003</v>
      </c>
      <c r="S731" s="3" t="e">
        <f t="shared" si="70"/>
        <v>#N/A</v>
      </c>
      <c r="T731" s="3" t="e">
        <f t="shared" si="71"/>
        <v>#N/A</v>
      </c>
      <c r="U731" s="3">
        <f>Settings!$B$6</f>
        <v>100</v>
      </c>
    </row>
    <row r="732" spans="1:21" ht="18" customHeight="1" x14ac:dyDescent="0.3">
      <c r="A732" s="124">
        <f>A731+1</f>
        <v>47004</v>
      </c>
      <c r="B732" s="137"/>
      <c r="C732" s="126" t="str" cm="1">
        <f t="array" ref="C732">IF(B732="","",B732-IFERROR(LOOKUP(2,1/($B$6:B731&lt;&gt;""),$B$6:B731),Settings!$B$5))</f>
        <v/>
      </c>
      <c r="D732" s="127" t="str">
        <f>IF(B732="","",AVERAGE(B726:B732))</f>
        <v/>
      </c>
      <c r="E732" s="139"/>
      <c r="F732" s="140"/>
      <c r="G732" s="137"/>
      <c r="H732" s="139"/>
      <c r="I732" s="140"/>
      <c r="J732" s="141"/>
      <c r="K732" s="137"/>
      <c r="L732" s="142"/>
      <c r="M732" s="127" t="str">
        <f>IF(B732="","",B732/((Settings!$B$7)/100)^2)</f>
        <v/>
      </c>
      <c r="N732" s="25">
        <f>Settings!$B$6</f>
        <v>100</v>
      </c>
      <c r="O732" s="3" t="e">
        <f t="shared" si="66"/>
        <v>#N/A</v>
      </c>
      <c r="P732" s="3" t="e">
        <f t="shared" si="67"/>
        <v>#N/A</v>
      </c>
      <c r="Q732" s="3" t="e">
        <f t="shared" si="68"/>
        <v>#N/A</v>
      </c>
      <c r="R732" s="131">
        <f t="shared" si="69"/>
        <v>47004</v>
      </c>
      <c r="S732" s="3" t="e">
        <f t="shared" si="70"/>
        <v>#N/A</v>
      </c>
      <c r="T732" s="3" t="e">
        <f t="shared" si="71"/>
        <v>#N/A</v>
      </c>
      <c r="U732" s="3">
        <f>Settings!$B$6</f>
        <v>100</v>
      </c>
    </row>
    <row r="733" spans="1:21" ht="18" customHeight="1" x14ac:dyDescent="0.3">
      <c r="A733" s="132">
        <f>A732+1</f>
        <v>47005</v>
      </c>
      <c r="B733" s="138"/>
      <c r="C733" s="126" t="str" cm="1">
        <f t="array" ref="C733">IF(B733="","",B733-IFERROR(LOOKUP(2,1/($B$6:B732&lt;&gt;""),$B$6:B732),Settings!$B$5))</f>
        <v/>
      </c>
      <c r="D733" s="127" t="str">
        <f>IF(B733="","",AVERAGE(B727:B733))</f>
        <v/>
      </c>
      <c r="E733" s="143"/>
      <c r="F733" s="144"/>
      <c r="G733" s="138"/>
      <c r="H733" s="143"/>
      <c r="I733" s="144"/>
      <c r="J733" s="145"/>
      <c r="K733" s="138"/>
      <c r="L733" s="146"/>
      <c r="M733" s="127" t="str">
        <f>IF(B733="","",B733/((Settings!$B$7)/100)^2)</f>
        <v/>
      </c>
      <c r="N733" s="25">
        <f>Settings!$B$6</f>
        <v>100</v>
      </c>
      <c r="O733" s="3" t="e">
        <f t="shared" si="66"/>
        <v>#N/A</v>
      </c>
      <c r="P733" s="3" t="e">
        <f t="shared" si="67"/>
        <v>#N/A</v>
      </c>
      <c r="Q733" s="3" t="e">
        <f t="shared" si="68"/>
        <v>#N/A</v>
      </c>
      <c r="R733" s="131">
        <f t="shared" si="69"/>
        <v>47005</v>
      </c>
      <c r="S733" s="3" t="e">
        <f t="shared" si="70"/>
        <v>#N/A</v>
      </c>
      <c r="T733" s="3" t="e">
        <f t="shared" si="71"/>
        <v>#N/A</v>
      </c>
      <c r="U733" s="3">
        <f>Settings!$B$6</f>
        <v>100</v>
      </c>
    </row>
    <row r="734" spans="1:21" ht="18" customHeight="1" x14ac:dyDescent="0.3">
      <c r="A734" s="124">
        <f>A733+1</f>
        <v>47006</v>
      </c>
      <c r="B734" s="137"/>
      <c r="C734" s="126" t="str" cm="1">
        <f t="array" ref="C734">IF(B734="","",B734-IFERROR(LOOKUP(2,1/($B$6:B733&lt;&gt;""),$B$6:B733),Settings!$B$5))</f>
        <v/>
      </c>
      <c r="D734" s="127" t="str">
        <f>IF(B734="","",AVERAGE(B728:B734))</f>
        <v/>
      </c>
      <c r="E734" s="139"/>
      <c r="F734" s="140"/>
      <c r="G734" s="137"/>
      <c r="H734" s="139"/>
      <c r="I734" s="140"/>
      <c r="J734" s="141"/>
      <c r="K734" s="137"/>
      <c r="L734" s="142"/>
      <c r="M734" s="127" t="str">
        <f>IF(B734="","",B734/((Settings!$B$7)/100)^2)</f>
        <v/>
      </c>
      <c r="N734" s="25">
        <f>Settings!$B$6</f>
        <v>100</v>
      </c>
      <c r="O734" s="3" t="e">
        <f t="shared" si="66"/>
        <v>#N/A</v>
      </c>
      <c r="P734" s="3" t="e">
        <f t="shared" si="67"/>
        <v>#N/A</v>
      </c>
      <c r="Q734" s="3" t="e">
        <f t="shared" si="68"/>
        <v>#N/A</v>
      </c>
      <c r="R734" s="131">
        <f t="shared" si="69"/>
        <v>47006</v>
      </c>
      <c r="S734" s="3" t="e">
        <f t="shared" si="70"/>
        <v>#N/A</v>
      </c>
      <c r="T734" s="3" t="e">
        <f t="shared" si="71"/>
        <v>#N/A</v>
      </c>
      <c r="U734" s="3">
        <f>Settings!$B$6</f>
        <v>100</v>
      </c>
    </row>
    <row r="735" spans="1:21" ht="18" customHeight="1" x14ac:dyDescent="0.3">
      <c r="A735" s="132">
        <f>A734+1</f>
        <v>47007</v>
      </c>
      <c r="B735" s="138"/>
      <c r="C735" s="126" t="str" cm="1">
        <f t="array" ref="C735">IF(B735="","",B735-IFERROR(LOOKUP(2,1/($B$6:B734&lt;&gt;""),$B$6:B734),Settings!$B$5))</f>
        <v/>
      </c>
      <c r="D735" s="127" t="str">
        <f>IF(B735="","",AVERAGE(B729:B735))</f>
        <v/>
      </c>
      <c r="E735" s="143"/>
      <c r="F735" s="144"/>
      <c r="G735" s="138"/>
      <c r="H735" s="143"/>
      <c r="I735" s="144"/>
      <c r="J735" s="145"/>
      <c r="K735" s="138"/>
      <c r="L735" s="146"/>
      <c r="M735" s="127" t="str">
        <f>IF(B735="","",B735/((Settings!$B$7)/100)^2)</f>
        <v/>
      </c>
      <c r="N735" s="25">
        <f>Settings!$B$6</f>
        <v>100</v>
      </c>
      <c r="O735" s="3" t="e">
        <f t="shared" si="66"/>
        <v>#N/A</v>
      </c>
      <c r="P735" s="3" t="e">
        <f t="shared" si="67"/>
        <v>#N/A</v>
      </c>
      <c r="Q735" s="3" t="e">
        <f t="shared" si="68"/>
        <v>#N/A</v>
      </c>
      <c r="R735" s="131">
        <f t="shared" si="69"/>
        <v>47007</v>
      </c>
      <c r="S735" s="3" t="e">
        <f t="shared" si="70"/>
        <v>#N/A</v>
      </c>
      <c r="T735" s="3" t="e">
        <f t="shared" si="71"/>
        <v>#N/A</v>
      </c>
      <c r="U735" s="3">
        <f>Settings!$B$6</f>
        <v>100</v>
      </c>
    </row>
  </sheetData>
  <sheetProtection sheet="1" objects="1" scenarios="1" sort="0" autoFilter="0"/>
  <mergeCells count="2">
    <mergeCell ref="A1:M1"/>
    <mergeCell ref="A2:M2"/>
  </mergeCells>
  <conditionalFormatting sqref="C6:C735">
    <cfRule type="cellIs" dxfId="20" priority="5" operator="greaterThan">
      <formula>0</formula>
    </cfRule>
  </conditionalFormatting>
  <conditionalFormatting sqref="C6:C735">
    <cfRule type="cellIs" dxfId="19" priority="6" operator="lessThan">
      <formula>0</formula>
    </cfRule>
  </conditionalFormatting>
  <dataValidations count="8">
    <dataValidation type="decimal" allowBlank="1" showInputMessage="1" showErrorMessage="1" errorTitle="Weight out of range" error="Enter your weight in kg (30-400)." sqref="B6:B735" xr:uid="{BFDC99D0-88E6-456C-8FCE-EA50EC2CA095}">
      <formula1>30</formula1>
      <formula2>400</formula2>
    </dataValidation>
    <dataValidation type="decimal" allowBlank="1" showInputMessage="1" showErrorMessage="1" errorTitle="Calories out of range" error="Enter kcal for the day (0-10 000)." sqref="E6:E735" xr:uid="{15752B8A-71F5-49C9-83E2-8A459C713C89}">
      <formula1>0</formula1>
      <formula2>10000</formula2>
    </dataValidation>
    <dataValidation type="decimal" allowBlank="1" showInputMessage="1" showErrorMessage="1" errorTitle="Protein out of range" error="Enter grams of protein (0-500)." sqref="F6:F735" xr:uid="{96D29170-8E06-485D-936D-2C5E679D835B}">
      <formula1>0</formula1>
      <formula2>500</formula2>
    </dataValidation>
    <dataValidation type="decimal" allowBlank="1" showInputMessage="1" showErrorMessage="1" errorTitle="Water out of range" error="Enter litres of water (0-15)." sqref="G6:G735" xr:uid="{01F9F432-DD00-46F3-B631-7745DC61618D}">
      <formula1>0</formula1>
      <formula2>15</formula2>
    </dataValidation>
    <dataValidation type="decimal" allowBlank="1" showInputMessage="1" showErrorMessage="1" errorTitle="Steps out of range" error="Enter step count (0-100 000)." sqref="H6:H735" xr:uid="{91F3C929-2E06-4C43-926F-24537326BC5C}">
      <formula1>0</formula1>
      <formula2>100000</formula2>
    </dataValidation>
    <dataValidation type="decimal" allowBlank="1" showInputMessage="1" showErrorMessage="1" errorTitle="Cardio out of range" error="Enter cardio minutes (0-600)." sqref="I6:I735" xr:uid="{9DA888D5-D93F-4B5D-AB66-3976294C1BAF}">
      <formula1>0</formula1>
      <formula2>600</formula2>
    </dataValidation>
    <dataValidation type="decimal" allowBlank="1" showInputMessage="1" showErrorMessage="1" errorTitle="Sleep out of range" error="Enter hours slept (0-24)." sqref="K6:K735" xr:uid="{0ECFAEA9-9537-4DD1-BC3E-D3508F4B75BB}">
      <formula1>0</formula1>
      <formula2>24</formula2>
    </dataValidation>
    <dataValidation type="list" allowBlank="1" showInputMessage="1" showErrorMessage="1" promptTitle="Strength training" prompt="Did you lift today? Yes or No." sqref="J6:J735" xr:uid="{585EA24A-C03C-4463-B7FF-4F9EDEA28BEF}">
      <formula1>"Yes,No"</formula1>
    </dataValidation>
  </dataValidations>
  <pageMargins left="0.75" right="0.75" top="1" bottom="1" header="0.511811023622047" footer="0.511811023622047"/>
  <pageSetup paperSize="9" scale="81" fitToHeight="0" orientation="landscape" horizontalDpi="300" verticalDpi="3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200-000004000000}">
            <xm:f>AND($B6&lt;&gt;"",$B6&lt;=Settings!$B$6)</xm:f>
            <x14:dxf>
              <font>
                <b/>
                <sz val="10"/>
                <color rgb="FF92400E"/>
                <name val="Arial"/>
                <charset val="1"/>
              </font>
              <fill>
                <patternFill>
                  <bgColor rgb="FFFEF3C7"/>
                </patternFill>
              </fill>
            </x14:dxf>
          </x14:cfRule>
          <xm:sqref>B6:B735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312C-3075-4FF4-93F8-82101A2F124A}">
  <sheetPr>
    <tabColor rgb="FF0891B2"/>
    <pageSetUpPr fitToPage="1"/>
  </sheetPr>
  <dimension ref="A1:N205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3.88671875" style="3" customWidth="1"/>
    <col min="2" max="2" width="14.77734375" style="3" customWidth="1"/>
    <col min="3" max="3" width="37" style="3" customWidth="1"/>
    <col min="4" max="4" width="13" style="3" customWidth="1"/>
    <col min="5" max="5" width="13.88671875" style="3" customWidth="1"/>
    <col min="6" max="6" width="27.77734375" style="3" customWidth="1"/>
    <col min="7" max="7" width="3.33203125" style="3" customWidth="1"/>
    <col min="8" max="8" width="13.88671875" style="3" customWidth="1"/>
    <col min="9" max="9" width="15.77734375" style="3" customWidth="1"/>
    <col min="10" max="10" width="37" style="3" customWidth="1"/>
    <col min="11" max="12" width="14.77734375" style="3" customWidth="1"/>
    <col min="13" max="13" width="15.77734375" style="3" customWidth="1"/>
    <col min="14" max="14" width="27.77734375" style="3" customWidth="1"/>
    <col min="15" max="16384" width="8.88671875" style="3"/>
  </cols>
  <sheetData>
    <row r="1" spans="1:14" ht="31.95" customHeight="1" x14ac:dyDescent="0.4">
      <c r="A1" s="147" t="s">
        <v>217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</row>
    <row r="2" spans="1:14" ht="18" customHeight="1" x14ac:dyDescent="0.3">
      <c r="A2" s="148" t="s">
        <v>218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spans="1:14" ht="6" customHeight="1" x14ac:dyDescent="0.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</row>
    <row r="4" spans="1:14" ht="22.05" customHeight="1" x14ac:dyDescent="0.3">
      <c r="A4" s="104" t="s">
        <v>219</v>
      </c>
      <c r="B4" s="104"/>
      <c r="C4" s="104"/>
      <c r="D4" s="104"/>
      <c r="E4" s="104"/>
      <c r="F4" s="104"/>
      <c r="G4" s="105"/>
      <c r="H4" s="104" t="s">
        <v>220</v>
      </c>
      <c r="I4" s="104"/>
      <c r="J4" s="104"/>
      <c r="K4" s="104"/>
      <c r="L4" s="104"/>
      <c r="M4" s="104"/>
      <c r="N4" s="104"/>
    </row>
    <row r="5" spans="1:14" ht="28.05" customHeight="1" x14ac:dyDescent="0.3">
      <c r="A5" s="149" t="s">
        <v>67</v>
      </c>
      <c r="B5" s="149" t="s">
        <v>221</v>
      </c>
      <c r="C5" s="149" t="s">
        <v>222</v>
      </c>
      <c r="D5" s="149" t="s">
        <v>71</v>
      </c>
      <c r="E5" s="149" t="s">
        <v>72</v>
      </c>
      <c r="F5" s="149" t="s">
        <v>78</v>
      </c>
      <c r="G5" s="150"/>
      <c r="H5" s="149" t="s">
        <v>67</v>
      </c>
      <c r="I5" s="149" t="s">
        <v>223</v>
      </c>
      <c r="J5" s="149" t="s">
        <v>224</v>
      </c>
      <c r="K5" s="149" t="s">
        <v>225</v>
      </c>
      <c r="L5" s="149" t="s">
        <v>226</v>
      </c>
      <c r="M5" s="149" t="s">
        <v>227</v>
      </c>
      <c r="N5" s="149" t="s">
        <v>78</v>
      </c>
    </row>
    <row r="6" spans="1:14" ht="18" customHeight="1" x14ac:dyDescent="0.3">
      <c r="A6" s="152"/>
      <c r="B6" s="153"/>
      <c r="C6" s="154"/>
      <c r="D6" s="155"/>
      <c r="E6" s="155"/>
      <c r="F6" s="154"/>
      <c r="G6" s="151"/>
      <c r="H6" s="152"/>
      <c r="I6" s="153"/>
      <c r="J6" s="154"/>
      <c r="K6" s="155"/>
      <c r="L6" s="153"/>
      <c r="M6" s="155"/>
      <c r="N6" s="154"/>
    </row>
    <row r="7" spans="1:14" ht="18" customHeight="1" x14ac:dyDescent="0.3">
      <c r="A7" s="156"/>
      <c r="B7" s="157"/>
      <c r="C7" s="158"/>
      <c r="D7" s="159"/>
      <c r="E7" s="159"/>
      <c r="F7" s="158"/>
      <c r="G7" s="151"/>
      <c r="H7" s="156"/>
      <c r="I7" s="157"/>
      <c r="J7" s="158"/>
      <c r="K7" s="159"/>
      <c r="L7" s="157"/>
      <c r="M7" s="159"/>
      <c r="N7" s="158"/>
    </row>
    <row r="8" spans="1:14" ht="18" customHeight="1" x14ac:dyDescent="0.3">
      <c r="A8" s="152"/>
      <c r="B8" s="153"/>
      <c r="C8" s="154"/>
      <c r="D8" s="155"/>
      <c r="E8" s="155"/>
      <c r="F8" s="154"/>
      <c r="G8" s="151"/>
      <c r="H8" s="152"/>
      <c r="I8" s="153"/>
      <c r="J8" s="154"/>
      <c r="K8" s="155"/>
      <c r="L8" s="153"/>
      <c r="M8" s="155"/>
      <c r="N8" s="154"/>
    </row>
    <row r="9" spans="1:14" ht="18" customHeight="1" x14ac:dyDescent="0.3">
      <c r="A9" s="156"/>
      <c r="B9" s="157"/>
      <c r="C9" s="158"/>
      <c r="D9" s="159"/>
      <c r="E9" s="159"/>
      <c r="F9" s="158"/>
      <c r="G9" s="151"/>
      <c r="H9" s="156"/>
      <c r="I9" s="157"/>
      <c r="J9" s="158"/>
      <c r="K9" s="159"/>
      <c r="L9" s="157"/>
      <c r="M9" s="159"/>
      <c r="N9" s="158"/>
    </row>
    <row r="10" spans="1:14" ht="18" customHeight="1" x14ac:dyDescent="0.3">
      <c r="A10" s="152"/>
      <c r="B10" s="153"/>
      <c r="C10" s="154"/>
      <c r="D10" s="155"/>
      <c r="E10" s="155"/>
      <c r="F10" s="154"/>
      <c r="G10" s="151"/>
      <c r="H10" s="152"/>
      <c r="I10" s="153"/>
      <c r="J10" s="154"/>
      <c r="K10" s="155"/>
      <c r="L10" s="153"/>
      <c r="M10" s="155"/>
      <c r="N10" s="154"/>
    </row>
    <row r="11" spans="1:14" ht="18" customHeight="1" x14ac:dyDescent="0.3">
      <c r="A11" s="156"/>
      <c r="B11" s="157"/>
      <c r="C11" s="158"/>
      <c r="D11" s="159"/>
      <c r="E11" s="159"/>
      <c r="F11" s="158"/>
      <c r="G11" s="151"/>
      <c r="H11" s="156"/>
      <c r="I11" s="157"/>
      <c r="J11" s="158"/>
      <c r="K11" s="159"/>
      <c r="L11" s="157"/>
      <c r="M11" s="159"/>
      <c r="N11" s="158"/>
    </row>
    <row r="12" spans="1:14" ht="18" customHeight="1" x14ac:dyDescent="0.3">
      <c r="A12" s="152"/>
      <c r="B12" s="153"/>
      <c r="C12" s="154"/>
      <c r="D12" s="155"/>
      <c r="E12" s="155"/>
      <c r="F12" s="154"/>
      <c r="G12" s="151"/>
      <c r="H12" s="152"/>
      <c r="I12" s="153"/>
      <c r="J12" s="154"/>
      <c r="K12" s="155"/>
      <c r="L12" s="153"/>
      <c r="M12" s="155"/>
      <c r="N12" s="154"/>
    </row>
    <row r="13" spans="1:14" ht="18" customHeight="1" x14ac:dyDescent="0.3">
      <c r="A13" s="156"/>
      <c r="B13" s="157"/>
      <c r="C13" s="158"/>
      <c r="D13" s="159"/>
      <c r="E13" s="159"/>
      <c r="F13" s="158"/>
      <c r="G13" s="151"/>
      <c r="H13" s="156"/>
      <c r="I13" s="157"/>
      <c r="J13" s="158"/>
      <c r="K13" s="159"/>
      <c r="L13" s="157"/>
      <c r="M13" s="159"/>
      <c r="N13" s="158"/>
    </row>
    <row r="14" spans="1:14" ht="18" customHeight="1" x14ac:dyDescent="0.3">
      <c r="A14" s="152"/>
      <c r="B14" s="153"/>
      <c r="C14" s="154"/>
      <c r="D14" s="155"/>
      <c r="E14" s="155"/>
      <c r="F14" s="154"/>
      <c r="G14" s="151"/>
      <c r="H14" s="152"/>
      <c r="I14" s="153"/>
      <c r="J14" s="154"/>
      <c r="K14" s="155"/>
      <c r="L14" s="153"/>
      <c r="M14" s="155"/>
      <c r="N14" s="154"/>
    </row>
    <row r="15" spans="1:14" ht="18" customHeight="1" x14ac:dyDescent="0.3">
      <c r="A15" s="156"/>
      <c r="B15" s="157"/>
      <c r="C15" s="158"/>
      <c r="D15" s="159"/>
      <c r="E15" s="159"/>
      <c r="F15" s="158"/>
      <c r="G15" s="151"/>
      <c r="H15" s="156"/>
      <c r="I15" s="157"/>
      <c r="J15" s="158"/>
      <c r="K15" s="159"/>
      <c r="L15" s="157"/>
      <c r="M15" s="159"/>
      <c r="N15" s="158"/>
    </row>
    <row r="16" spans="1:14" ht="18" customHeight="1" x14ac:dyDescent="0.3">
      <c r="A16" s="152"/>
      <c r="B16" s="153"/>
      <c r="C16" s="154"/>
      <c r="D16" s="155"/>
      <c r="E16" s="155"/>
      <c r="F16" s="154"/>
      <c r="G16" s="151"/>
      <c r="H16" s="152"/>
      <c r="I16" s="153"/>
      <c r="J16" s="154"/>
      <c r="K16" s="155"/>
      <c r="L16" s="153"/>
      <c r="M16" s="155"/>
      <c r="N16" s="154"/>
    </row>
    <row r="17" spans="1:14" ht="18" customHeight="1" x14ac:dyDescent="0.3">
      <c r="A17" s="156"/>
      <c r="B17" s="157"/>
      <c r="C17" s="158"/>
      <c r="D17" s="159"/>
      <c r="E17" s="159"/>
      <c r="F17" s="158"/>
      <c r="G17" s="151"/>
      <c r="H17" s="156"/>
      <c r="I17" s="157"/>
      <c r="J17" s="158"/>
      <c r="K17" s="159"/>
      <c r="L17" s="157"/>
      <c r="M17" s="159"/>
      <c r="N17" s="158"/>
    </row>
    <row r="18" spans="1:14" ht="18" customHeight="1" x14ac:dyDescent="0.3">
      <c r="A18" s="152"/>
      <c r="B18" s="153"/>
      <c r="C18" s="154"/>
      <c r="D18" s="155"/>
      <c r="E18" s="155"/>
      <c r="F18" s="154"/>
      <c r="G18" s="151"/>
      <c r="H18" s="152"/>
      <c r="I18" s="153"/>
      <c r="J18" s="154"/>
      <c r="K18" s="155"/>
      <c r="L18" s="153"/>
      <c r="M18" s="155"/>
      <c r="N18" s="154"/>
    </row>
    <row r="19" spans="1:14" ht="18" customHeight="1" x14ac:dyDescent="0.3">
      <c r="A19" s="156"/>
      <c r="B19" s="157"/>
      <c r="C19" s="158"/>
      <c r="D19" s="159"/>
      <c r="E19" s="159"/>
      <c r="F19" s="158"/>
      <c r="G19" s="151"/>
      <c r="H19" s="156"/>
      <c r="I19" s="157"/>
      <c r="J19" s="158"/>
      <c r="K19" s="159"/>
      <c r="L19" s="157"/>
      <c r="M19" s="159"/>
      <c r="N19" s="158"/>
    </row>
    <row r="20" spans="1:14" ht="18" customHeight="1" x14ac:dyDescent="0.3">
      <c r="A20" s="152"/>
      <c r="B20" s="153"/>
      <c r="C20" s="154"/>
      <c r="D20" s="155"/>
      <c r="E20" s="155"/>
      <c r="F20" s="154"/>
      <c r="G20" s="151"/>
      <c r="H20" s="152"/>
      <c r="I20" s="153"/>
      <c r="J20" s="154"/>
      <c r="K20" s="155"/>
      <c r="L20" s="153"/>
      <c r="M20" s="155"/>
      <c r="N20" s="154"/>
    </row>
    <row r="21" spans="1:14" ht="18" customHeight="1" x14ac:dyDescent="0.3">
      <c r="A21" s="156"/>
      <c r="B21" s="157"/>
      <c r="C21" s="158"/>
      <c r="D21" s="159"/>
      <c r="E21" s="159"/>
      <c r="F21" s="158"/>
      <c r="G21" s="151"/>
      <c r="H21" s="156"/>
      <c r="I21" s="157"/>
      <c r="J21" s="158"/>
      <c r="K21" s="159"/>
      <c r="L21" s="157"/>
      <c r="M21" s="159"/>
      <c r="N21" s="158"/>
    </row>
    <row r="22" spans="1:14" ht="18" customHeight="1" x14ac:dyDescent="0.3">
      <c r="A22" s="152"/>
      <c r="B22" s="153"/>
      <c r="C22" s="154"/>
      <c r="D22" s="155"/>
      <c r="E22" s="155"/>
      <c r="F22" s="154"/>
      <c r="G22" s="151"/>
      <c r="H22" s="152"/>
      <c r="I22" s="153"/>
      <c r="J22" s="154"/>
      <c r="K22" s="155"/>
      <c r="L22" s="153"/>
      <c r="M22" s="155"/>
      <c r="N22" s="154"/>
    </row>
    <row r="23" spans="1:14" ht="18" customHeight="1" x14ac:dyDescent="0.3">
      <c r="A23" s="156"/>
      <c r="B23" s="157"/>
      <c r="C23" s="158"/>
      <c r="D23" s="159"/>
      <c r="E23" s="159"/>
      <c r="F23" s="158"/>
      <c r="G23" s="151"/>
      <c r="H23" s="156"/>
      <c r="I23" s="157"/>
      <c r="J23" s="158"/>
      <c r="K23" s="159"/>
      <c r="L23" s="157"/>
      <c r="M23" s="159"/>
      <c r="N23" s="158"/>
    </row>
    <row r="24" spans="1:14" ht="18" customHeight="1" x14ac:dyDescent="0.3">
      <c r="A24" s="152"/>
      <c r="B24" s="153"/>
      <c r="C24" s="154"/>
      <c r="D24" s="155"/>
      <c r="E24" s="155"/>
      <c r="F24" s="154"/>
      <c r="G24" s="151"/>
      <c r="H24" s="152"/>
      <c r="I24" s="153"/>
      <c r="J24" s="154"/>
      <c r="K24" s="155"/>
      <c r="L24" s="153"/>
      <c r="M24" s="155"/>
      <c r="N24" s="154"/>
    </row>
    <row r="25" spans="1:14" ht="18" customHeight="1" x14ac:dyDescent="0.3">
      <c r="A25" s="156"/>
      <c r="B25" s="157"/>
      <c r="C25" s="158"/>
      <c r="D25" s="159"/>
      <c r="E25" s="159"/>
      <c r="F25" s="158"/>
      <c r="G25" s="151"/>
      <c r="H25" s="156"/>
      <c r="I25" s="157"/>
      <c r="J25" s="158"/>
      <c r="K25" s="159"/>
      <c r="L25" s="157"/>
      <c r="M25" s="159"/>
      <c r="N25" s="158"/>
    </row>
    <row r="26" spans="1:14" ht="18" customHeight="1" x14ac:dyDescent="0.3">
      <c r="A26" s="152"/>
      <c r="B26" s="153"/>
      <c r="C26" s="154"/>
      <c r="D26" s="155"/>
      <c r="E26" s="155"/>
      <c r="F26" s="154"/>
      <c r="G26" s="151"/>
      <c r="H26" s="152"/>
      <c r="I26" s="153"/>
      <c r="J26" s="154"/>
      <c r="K26" s="155"/>
      <c r="L26" s="153"/>
      <c r="M26" s="155"/>
      <c r="N26" s="154"/>
    </row>
    <row r="27" spans="1:14" ht="18" customHeight="1" x14ac:dyDescent="0.3">
      <c r="A27" s="156"/>
      <c r="B27" s="157"/>
      <c r="C27" s="158"/>
      <c r="D27" s="159"/>
      <c r="E27" s="159"/>
      <c r="F27" s="158"/>
      <c r="G27" s="151"/>
      <c r="H27" s="156"/>
      <c r="I27" s="157"/>
      <c r="J27" s="158"/>
      <c r="K27" s="159"/>
      <c r="L27" s="157"/>
      <c r="M27" s="159"/>
      <c r="N27" s="158"/>
    </row>
    <row r="28" spans="1:14" ht="18" customHeight="1" x14ac:dyDescent="0.3">
      <c r="A28" s="152"/>
      <c r="B28" s="153"/>
      <c r="C28" s="154"/>
      <c r="D28" s="155"/>
      <c r="E28" s="155"/>
      <c r="F28" s="154"/>
      <c r="G28" s="151"/>
      <c r="H28" s="152"/>
      <c r="I28" s="153"/>
      <c r="J28" s="154"/>
      <c r="K28" s="155"/>
      <c r="L28" s="153"/>
      <c r="M28" s="155"/>
      <c r="N28" s="154"/>
    </row>
    <row r="29" spans="1:14" ht="18" customHeight="1" x14ac:dyDescent="0.3">
      <c r="A29" s="156"/>
      <c r="B29" s="157"/>
      <c r="C29" s="158"/>
      <c r="D29" s="159"/>
      <c r="E29" s="159"/>
      <c r="F29" s="158"/>
      <c r="G29" s="151"/>
      <c r="H29" s="156"/>
      <c r="I29" s="157"/>
      <c r="J29" s="158"/>
      <c r="K29" s="159"/>
      <c r="L29" s="157"/>
      <c r="M29" s="159"/>
      <c r="N29" s="158"/>
    </row>
    <row r="30" spans="1:14" ht="18" customHeight="1" x14ac:dyDescent="0.3">
      <c r="A30" s="152"/>
      <c r="B30" s="153"/>
      <c r="C30" s="154"/>
      <c r="D30" s="155"/>
      <c r="E30" s="155"/>
      <c r="F30" s="154"/>
      <c r="G30" s="151"/>
      <c r="H30" s="152"/>
      <c r="I30" s="153"/>
      <c r="J30" s="154"/>
      <c r="K30" s="155"/>
      <c r="L30" s="153"/>
      <c r="M30" s="155"/>
      <c r="N30" s="154"/>
    </row>
    <row r="31" spans="1:14" ht="18" customHeight="1" x14ac:dyDescent="0.3">
      <c r="A31" s="156"/>
      <c r="B31" s="157"/>
      <c r="C31" s="158"/>
      <c r="D31" s="159"/>
      <c r="E31" s="159"/>
      <c r="F31" s="158"/>
      <c r="G31" s="151"/>
      <c r="H31" s="156"/>
      <c r="I31" s="157"/>
      <c r="J31" s="158"/>
      <c r="K31" s="159"/>
      <c r="L31" s="157"/>
      <c r="M31" s="159"/>
      <c r="N31" s="158"/>
    </row>
    <row r="32" spans="1:14" ht="18" customHeight="1" x14ac:dyDescent="0.3">
      <c r="A32" s="152"/>
      <c r="B32" s="153"/>
      <c r="C32" s="154"/>
      <c r="D32" s="155"/>
      <c r="E32" s="155"/>
      <c r="F32" s="154"/>
      <c r="G32" s="151"/>
      <c r="H32" s="152"/>
      <c r="I32" s="153"/>
      <c r="J32" s="154"/>
      <c r="K32" s="155"/>
      <c r="L32" s="153"/>
      <c r="M32" s="155"/>
      <c r="N32" s="154"/>
    </row>
    <row r="33" spans="1:14" ht="18" customHeight="1" x14ac:dyDescent="0.3">
      <c r="A33" s="156"/>
      <c r="B33" s="157"/>
      <c r="C33" s="158"/>
      <c r="D33" s="159"/>
      <c r="E33" s="159"/>
      <c r="F33" s="158"/>
      <c r="G33" s="151"/>
      <c r="H33" s="156"/>
      <c r="I33" s="157"/>
      <c r="J33" s="158"/>
      <c r="K33" s="159"/>
      <c r="L33" s="157"/>
      <c r="M33" s="159"/>
      <c r="N33" s="158"/>
    </row>
    <row r="34" spans="1:14" ht="18" customHeight="1" x14ac:dyDescent="0.3">
      <c r="A34" s="152"/>
      <c r="B34" s="153"/>
      <c r="C34" s="154"/>
      <c r="D34" s="155"/>
      <c r="E34" s="155"/>
      <c r="F34" s="154"/>
      <c r="G34" s="151"/>
      <c r="H34" s="152"/>
      <c r="I34" s="153"/>
      <c r="J34" s="154"/>
      <c r="K34" s="155"/>
      <c r="L34" s="153"/>
      <c r="M34" s="155"/>
      <c r="N34" s="154"/>
    </row>
    <row r="35" spans="1:14" ht="18" customHeight="1" x14ac:dyDescent="0.3">
      <c r="A35" s="156"/>
      <c r="B35" s="157"/>
      <c r="C35" s="158"/>
      <c r="D35" s="159"/>
      <c r="E35" s="159"/>
      <c r="F35" s="158"/>
      <c r="G35" s="151"/>
      <c r="H35" s="156"/>
      <c r="I35" s="157"/>
      <c r="J35" s="158"/>
      <c r="K35" s="159"/>
      <c r="L35" s="157"/>
      <c r="M35" s="159"/>
      <c r="N35" s="158"/>
    </row>
    <row r="36" spans="1:14" ht="18" customHeight="1" x14ac:dyDescent="0.3">
      <c r="A36" s="152"/>
      <c r="B36" s="153"/>
      <c r="C36" s="154"/>
      <c r="D36" s="155"/>
      <c r="E36" s="155"/>
      <c r="F36" s="154"/>
      <c r="G36" s="151"/>
      <c r="H36" s="152"/>
      <c r="I36" s="153"/>
      <c r="J36" s="154"/>
      <c r="K36" s="155"/>
      <c r="L36" s="153"/>
      <c r="M36" s="155"/>
      <c r="N36" s="154"/>
    </row>
    <row r="37" spans="1:14" ht="18" customHeight="1" x14ac:dyDescent="0.3">
      <c r="A37" s="156"/>
      <c r="B37" s="157"/>
      <c r="C37" s="158"/>
      <c r="D37" s="159"/>
      <c r="E37" s="159"/>
      <c r="F37" s="158"/>
      <c r="G37" s="151"/>
      <c r="H37" s="156"/>
      <c r="I37" s="157"/>
      <c r="J37" s="158"/>
      <c r="K37" s="159"/>
      <c r="L37" s="157"/>
      <c r="M37" s="159"/>
      <c r="N37" s="158"/>
    </row>
    <row r="38" spans="1:14" ht="18" customHeight="1" x14ac:dyDescent="0.3">
      <c r="A38" s="152"/>
      <c r="B38" s="153"/>
      <c r="C38" s="154"/>
      <c r="D38" s="155"/>
      <c r="E38" s="155"/>
      <c r="F38" s="154"/>
      <c r="G38" s="151"/>
      <c r="H38" s="152"/>
      <c r="I38" s="153"/>
      <c r="J38" s="154"/>
      <c r="K38" s="155"/>
      <c r="L38" s="153"/>
      <c r="M38" s="155"/>
      <c r="N38" s="154"/>
    </row>
    <row r="39" spans="1:14" ht="18" customHeight="1" x14ac:dyDescent="0.3">
      <c r="A39" s="156"/>
      <c r="B39" s="157"/>
      <c r="C39" s="158"/>
      <c r="D39" s="159"/>
      <c r="E39" s="159"/>
      <c r="F39" s="158"/>
      <c r="G39" s="151"/>
      <c r="H39" s="156"/>
      <c r="I39" s="157"/>
      <c r="J39" s="158"/>
      <c r="K39" s="159"/>
      <c r="L39" s="157"/>
      <c r="M39" s="159"/>
      <c r="N39" s="158"/>
    </row>
    <row r="40" spans="1:14" ht="18" customHeight="1" x14ac:dyDescent="0.3">
      <c r="A40" s="152"/>
      <c r="B40" s="153"/>
      <c r="C40" s="154"/>
      <c r="D40" s="155"/>
      <c r="E40" s="155"/>
      <c r="F40" s="154"/>
      <c r="G40" s="151"/>
      <c r="H40" s="152"/>
      <c r="I40" s="153"/>
      <c r="J40" s="154"/>
      <c r="K40" s="155"/>
      <c r="L40" s="153"/>
      <c r="M40" s="155"/>
      <c r="N40" s="154"/>
    </row>
    <row r="41" spans="1:14" ht="18" customHeight="1" x14ac:dyDescent="0.3">
      <c r="A41" s="156"/>
      <c r="B41" s="157"/>
      <c r="C41" s="158"/>
      <c r="D41" s="159"/>
      <c r="E41" s="159"/>
      <c r="F41" s="158"/>
      <c r="G41" s="151"/>
      <c r="H41" s="156"/>
      <c r="I41" s="157"/>
      <c r="J41" s="158"/>
      <c r="K41" s="159"/>
      <c r="L41" s="157"/>
      <c r="M41" s="159"/>
      <c r="N41" s="158"/>
    </row>
    <row r="42" spans="1:14" ht="18" customHeight="1" x14ac:dyDescent="0.3">
      <c r="A42" s="152"/>
      <c r="B42" s="153"/>
      <c r="C42" s="154"/>
      <c r="D42" s="155"/>
      <c r="E42" s="155"/>
      <c r="F42" s="154"/>
      <c r="G42" s="151"/>
      <c r="H42" s="152"/>
      <c r="I42" s="153"/>
      <c r="J42" s="154"/>
      <c r="K42" s="155"/>
      <c r="L42" s="153"/>
      <c r="M42" s="155"/>
      <c r="N42" s="154"/>
    </row>
    <row r="43" spans="1:14" ht="18" customHeight="1" x14ac:dyDescent="0.3">
      <c r="A43" s="156"/>
      <c r="B43" s="157"/>
      <c r="C43" s="158"/>
      <c r="D43" s="159"/>
      <c r="E43" s="159"/>
      <c r="F43" s="158"/>
      <c r="G43" s="151"/>
      <c r="H43" s="156"/>
      <c r="I43" s="157"/>
      <c r="J43" s="158"/>
      <c r="K43" s="159"/>
      <c r="L43" s="157"/>
      <c r="M43" s="159"/>
      <c r="N43" s="158"/>
    </row>
    <row r="44" spans="1:14" ht="18" customHeight="1" x14ac:dyDescent="0.3">
      <c r="A44" s="152"/>
      <c r="B44" s="153"/>
      <c r="C44" s="154"/>
      <c r="D44" s="155"/>
      <c r="E44" s="155"/>
      <c r="F44" s="154"/>
      <c r="G44" s="151"/>
      <c r="H44" s="152"/>
      <c r="I44" s="153"/>
      <c r="J44" s="154"/>
      <c r="K44" s="155"/>
      <c r="L44" s="153"/>
      <c r="M44" s="155"/>
      <c r="N44" s="154"/>
    </row>
    <row r="45" spans="1:14" ht="18" customHeight="1" x14ac:dyDescent="0.3">
      <c r="A45" s="156"/>
      <c r="B45" s="157"/>
      <c r="C45" s="158"/>
      <c r="D45" s="159"/>
      <c r="E45" s="159"/>
      <c r="F45" s="158"/>
      <c r="G45" s="151"/>
      <c r="H45" s="156"/>
      <c r="I45" s="157"/>
      <c r="J45" s="158"/>
      <c r="K45" s="159"/>
      <c r="L45" s="157"/>
      <c r="M45" s="159"/>
      <c r="N45" s="158"/>
    </row>
    <row r="46" spans="1:14" ht="18" customHeight="1" x14ac:dyDescent="0.3">
      <c r="A46" s="152"/>
      <c r="B46" s="153"/>
      <c r="C46" s="154"/>
      <c r="D46" s="155"/>
      <c r="E46" s="155"/>
      <c r="F46" s="154"/>
      <c r="G46" s="151"/>
      <c r="H46" s="152"/>
      <c r="I46" s="153"/>
      <c r="J46" s="154"/>
      <c r="K46" s="155"/>
      <c r="L46" s="153"/>
      <c r="M46" s="155"/>
      <c r="N46" s="154"/>
    </row>
    <row r="47" spans="1:14" ht="18" customHeight="1" x14ac:dyDescent="0.3">
      <c r="A47" s="156"/>
      <c r="B47" s="157"/>
      <c r="C47" s="158"/>
      <c r="D47" s="159"/>
      <c r="E47" s="159"/>
      <c r="F47" s="158"/>
      <c r="G47" s="151"/>
      <c r="H47" s="156"/>
      <c r="I47" s="157"/>
      <c r="J47" s="158"/>
      <c r="K47" s="159"/>
      <c r="L47" s="157"/>
      <c r="M47" s="159"/>
      <c r="N47" s="158"/>
    </row>
    <row r="48" spans="1:14" ht="18" customHeight="1" x14ac:dyDescent="0.3">
      <c r="A48" s="152"/>
      <c r="B48" s="153"/>
      <c r="C48" s="154"/>
      <c r="D48" s="155"/>
      <c r="E48" s="155"/>
      <c r="F48" s="154"/>
      <c r="G48" s="151"/>
      <c r="H48" s="152"/>
      <c r="I48" s="153"/>
      <c r="J48" s="154"/>
      <c r="K48" s="155"/>
      <c r="L48" s="153"/>
      <c r="M48" s="155"/>
      <c r="N48" s="154"/>
    </row>
    <row r="49" spans="1:14" ht="18" customHeight="1" x14ac:dyDescent="0.3">
      <c r="A49" s="156"/>
      <c r="B49" s="157"/>
      <c r="C49" s="158"/>
      <c r="D49" s="159"/>
      <c r="E49" s="159"/>
      <c r="F49" s="158"/>
      <c r="G49" s="151"/>
      <c r="H49" s="156"/>
      <c r="I49" s="157"/>
      <c r="J49" s="158"/>
      <c r="K49" s="159"/>
      <c r="L49" s="157"/>
      <c r="M49" s="159"/>
      <c r="N49" s="158"/>
    </row>
    <row r="50" spans="1:14" ht="18" customHeight="1" x14ac:dyDescent="0.3">
      <c r="A50" s="152"/>
      <c r="B50" s="153"/>
      <c r="C50" s="154"/>
      <c r="D50" s="155"/>
      <c r="E50" s="155"/>
      <c r="F50" s="154"/>
      <c r="G50" s="151"/>
      <c r="H50" s="152"/>
      <c r="I50" s="153"/>
      <c r="J50" s="154"/>
      <c r="K50" s="155"/>
      <c r="L50" s="153"/>
      <c r="M50" s="155"/>
      <c r="N50" s="154"/>
    </row>
    <row r="51" spans="1:14" ht="18" customHeight="1" x14ac:dyDescent="0.3">
      <c r="A51" s="156"/>
      <c r="B51" s="157"/>
      <c r="C51" s="158"/>
      <c r="D51" s="159"/>
      <c r="E51" s="159"/>
      <c r="F51" s="158"/>
      <c r="G51" s="151"/>
      <c r="H51" s="156"/>
      <c r="I51" s="157"/>
      <c r="J51" s="158"/>
      <c r="K51" s="159"/>
      <c r="L51" s="157"/>
      <c r="M51" s="159"/>
      <c r="N51" s="158"/>
    </row>
    <row r="52" spans="1:14" ht="18" customHeight="1" x14ac:dyDescent="0.3">
      <c r="A52" s="152"/>
      <c r="B52" s="153"/>
      <c r="C52" s="154"/>
      <c r="D52" s="155"/>
      <c r="E52" s="155"/>
      <c r="F52" s="154"/>
      <c r="G52" s="151"/>
      <c r="H52" s="152"/>
      <c r="I52" s="153"/>
      <c r="J52" s="154"/>
      <c r="K52" s="155"/>
      <c r="L52" s="153"/>
      <c r="M52" s="155"/>
      <c r="N52" s="154"/>
    </row>
    <row r="53" spans="1:14" ht="18" customHeight="1" x14ac:dyDescent="0.3">
      <c r="A53" s="156"/>
      <c r="B53" s="157"/>
      <c r="C53" s="158"/>
      <c r="D53" s="159"/>
      <c r="E53" s="159"/>
      <c r="F53" s="158"/>
      <c r="G53" s="151"/>
      <c r="H53" s="156"/>
      <c r="I53" s="157"/>
      <c r="J53" s="158"/>
      <c r="K53" s="159"/>
      <c r="L53" s="157"/>
      <c r="M53" s="159"/>
      <c r="N53" s="158"/>
    </row>
    <row r="54" spans="1:14" ht="18" customHeight="1" x14ac:dyDescent="0.3">
      <c r="A54" s="152"/>
      <c r="B54" s="153"/>
      <c r="C54" s="154"/>
      <c r="D54" s="155"/>
      <c r="E54" s="155"/>
      <c r="F54" s="154"/>
      <c r="G54" s="151"/>
      <c r="H54" s="152"/>
      <c r="I54" s="153"/>
      <c r="J54" s="154"/>
      <c r="K54" s="155"/>
      <c r="L54" s="153"/>
      <c r="M54" s="155"/>
      <c r="N54" s="154"/>
    </row>
    <row r="55" spans="1:14" ht="18" customHeight="1" x14ac:dyDescent="0.3">
      <c r="A55" s="156"/>
      <c r="B55" s="157"/>
      <c r="C55" s="158"/>
      <c r="D55" s="159"/>
      <c r="E55" s="159"/>
      <c r="F55" s="158"/>
      <c r="G55" s="151"/>
      <c r="H55" s="156"/>
      <c r="I55" s="157"/>
      <c r="J55" s="158"/>
      <c r="K55" s="159"/>
      <c r="L55" s="157"/>
      <c r="M55" s="159"/>
      <c r="N55" s="158"/>
    </row>
    <row r="56" spans="1:14" ht="18" customHeight="1" x14ac:dyDescent="0.3">
      <c r="A56" s="152"/>
      <c r="B56" s="153"/>
      <c r="C56" s="154"/>
      <c r="D56" s="155"/>
      <c r="E56" s="155"/>
      <c r="F56" s="154"/>
      <c r="G56" s="151"/>
      <c r="H56" s="152"/>
      <c r="I56" s="153"/>
      <c r="J56" s="154"/>
      <c r="K56" s="155"/>
      <c r="L56" s="153"/>
      <c r="M56" s="155"/>
      <c r="N56" s="154"/>
    </row>
    <row r="57" spans="1:14" ht="18" customHeight="1" x14ac:dyDescent="0.3">
      <c r="A57" s="156"/>
      <c r="B57" s="157"/>
      <c r="C57" s="158"/>
      <c r="D57" s="159"/>
      <c r="E57" s="159"/>
      <c r="F57" s="158"/>
      <c r="G57" s="151"/>
      <c r="H57" s="156"/>
      <c r="I57" s="157"/>
      <c r="J57" s="158"/>
      <c r="K57" s="159"/>
      <c r="L57" s="157"/>
      <c r="M57" s="159"/>
      <c r="N57" s="158"/>
    </row>
    <row r="58" spans="1:14" ht="18" customHeight="1" x14ac:dyDescent="0.3">
      <c r="A58" s="152"/>
      <c r="B58" s="153"/>
      <c r="C58" s="154"/>
      <c r="D58" s="155"/>
      <c r="E58" s="155"/>
      <c r="F58" s="154"/>
      <c r="G58" s="151"/>
      <c r="H58" s="152"/>
      <c r="I58" s="153"/>
      <c r="J58" s="154"/>
      <c r="K58" s="155"/>
      <c r="L58" s="153"/>
      <c r="M58" s="155"/>
      <c r="N58" s="154"/>
    </row>
    <row r="59" spans="1:14" ht="18" customHeight="1" x14ac:dyDescent="0.3">
      <c r="A59" s="156"/>
      <c r="B59" s="157"/>
      <c r="C59" s="158"/>
      <c r="D59" s="159"/>
      <c r="E59" s="159"/>
      <c r="F59" s="158"/>
      <c r="G59" s="151"/>
      <c r="H59" s="156"/>
      <c r="I59" s="157"/>
      <c r="J59" s="158"/>
      <c r="K59" s="159"/>
      <c r="L59" s="157"/>
      <c r="M59" s="159"/>
      <c r="N59" s="158"/>
    </row>
    <row r="60" spans="1:14" ht="18" customHeight="1" x14ac:dyDescent="0.3">
      <c r="A60" s="152"/>
      <c r="B60" s="153"/>
      <c r="C60" s="154"/>
      <c r="D60" s="155"/>
      <c r="E60" s="155"/>
      <c r="F60" s="154"/>
      <c r="G60" s="151"/>
      <c r="H60" s="152"/>
      <c r="I60" s="153"/>
      <c r="J60" s="154"/>
      <c r="K60" s="155"/>
      <c r="L60" s="153"/>
      <c r="M60" s="155"/>
      <c r="N60" s="154"/>
    </row>
    <row r="61" spans="1:14" ht="18" customHeight="1" x14ac:dyDescent="0.3">
      <c r="A61" s="156"/>
      <c r="B61" s="157"/>
      <c r="C61" s="158"/>
      <c r="D61" s="159"/>
      <c r="E61" s="159"/>
      <c r="F61" s="158"/>
      <c r="G61" s="151"/>
      <c r="H61" s="156"/>
      <c r="I61" s="157"/>
      <c r="J61" s="158"/>
      <c r="K61" s="159"/>
      <c r="L61" s="157"/>
      <c r="M61" s="159"/>
      <c r="N61" s="158"/>
    </row>
    <row r="62" spans="1:14" ht="18" customHeight="1" x14ac:dyDescent="0.3">
      <c r="A62" s="152"/>
      <c r="B62" s="153"/>
      <c r="C62" s="154"/>
      <c r="D62" s="155"/>
      <c r="E62" s="155"/>
      <c r="F62" s="154"/>
      <c r="G62" s="151"/>
      <c r="H62" s="152"/>
      <c r="I62" s="153"/>
      <c r="J62" s="154"/>
      <c r="K62" s="155"/>
      <c r="L62" s="153"/>
      <c r="M62" s="155"/>
      <c r="N62" s="154"/>
    </row>
    <row r="63" spans="1:14" ht="18" customHeight="1" x14ac:dyDescent="0.3">
      <c r="A63" s="156"/>
      <c r="B63" s="157"/>
      <c r="C63" s="158"/>
      <c r="D63" s="159"/>
      <c r="E63" s="159"/>
      <c r="F63" s="158"/>
      <c r="G63" s="151"/>
      <c r="H63" s="156"/>
      <c r="I63" s="157"/>
      <c r="J63" s="158"/>
      <c r="K63" s="159"/>
      <c r="L63" s="157"/>
      <c r="M63" s="159"/>
      <c r="N63" s="158"/>
    </row>
    <row r="64" spans="1:14" ht="18" customHeight="1" x14ac:dyDescent="0.3">
      <c r="A64" s="152"/>
      <c r="B64" s="153"/>
      <c r="C64" s="154"/>
      <c r="D64" s="155"/>
      <c r="E64" s="155"/>
      <c r="F64" s="154"/>
      <c r="G64" s="151"/>
      <c r="H64" s="152"/>
      <c r="I64" s="153"/>
      <c r="J64" s="154"/>
      <c r="K64" s="155"/>
      <c r="L64" s="153"/>
      <c r="M64" s="155"/>
      <c r="N64" s="154"/>
    </row>
    <row r="65" spans="1:14" ht="18" customHeight="1" x14ac:dyDescent="0.3">
      <c r="A65" s="156"/>
      <c r="B65" s="157"/>
      <c r="C65" s="158"/>
      <c r="D65" s="159"/>
      <c r="E65" s="159"/>
      <c r="F65" s="158"/>
      <c r="G65" s="151"/>
      <c r="H65" s="156"/>
      <c r="I65" s="157"/>
      <c r="J65" s="158"/>
      <c r="K65" s="159"/>
      <c r="L65" s="157"/>
      <c r="M65" s="159"/>
      <c r="N65" s="158"/>
    </row>
    <row r="66" spans="1:14" ht="18" customHeight="1" x14ac:dyDescent="0.3">
      <c r="A66" s="152"/>
      <c r="B66" s="153"/>
      <c r="C66" s="154"/>
      <c r="D66" s="155"/>
      <c r="E66" s="155"/>
      <c r="F66" s="154"/>
      <c r="G66" s="151"/>
      <c r="H66" s="152"/>
      <c r="I66" s="153"/>
      <c r="J66" s="154"/>
      <c r="K66" s="155"/>
      <c r="L66" s="153"/>
      <c r="M66" s="155"/>
      <c r="N66" s="154"/>
    </row>
    <row r="67" spans="1:14" ht="18" customHeight="1" x14ac:dyDescent="0.3">
      <c r="A67" s="156"/>
      <c r="B67" s="157"/>
      <c r="C67" s="158"/>
      <c r="D67" s="159"/>
      <c r="E67" s="159"/>
      <c r="F67" s="158"/>
      <c r="G67" s="151"/>
      <c r="H67" s="156"/>
      <c r="I67" s="157"/>
      <c r="J67" s="158"/>
      <c r="K67" s="159"/>
      <c r="L67" s="157"/>
      <c r="M67" s="159"/>
      <c r="N67" s="158"/>
    </row>
    <row r="68" spans="1:14" ht="18" customHeight="1" x14ac:dyDescent="0.3">
      <c r="A68" s="152"/>
      <c r="B68" s="153"/>
      <c r="C68" s="154"/>
      <c r="D68" s="155"/>
      <c r="E68" s="155"/>
      <c r="F68" s="154"/>
      <c r="G68" s="151"/>
      <c r="H68" s="152"/>
      <c r="I68" s="153"/>
      <c r="J68" s="154"/>
      <c r="K68" s="155"/>
      <c r="L68" s="153"/>
      <c r="M68" s="155"/>
      <c r="N68" s="154"/>
    </row>
    <row r="69" spans="1:14" ht="18" customHeight="1" x14ac:dyDescent="0.3">
      <c r="A69" s="156"/>
      <c r="B69" s="157"/>
      <c r="C69" s="158"/>
      <c r="D69" s="159"/>
      <c r="E69" s="159"/>
      <c r="F69" s="158"/>
      <c r="G69" s="151"/>
      <c r="H69" s="156"/>
      <c r="I69" s="157"/>
      <c r="J69" s="158"/>
      <c r="K69" s="159"/>
      <c r="L69" s="157"/>
      <c r="M69" s="159"/>
      <c r="N69" s="158"/>
    </row>
    <row r="70" spans="1:14" ht="18" customHeight="1" x14ac:dyDescent="0.3">
      <c r="A70" s="152"/>
      <c r="B70" s="153"/>
      <c r="C70" s="154"/>
      <c r="D70" s="155"/>
      <c r="E70" s="155"/>
      <c r="F70" s="154"/>
      <c r="G70" s="151"/>
      <c r="H70" s="152"/>
      <c r="I70" s="153"/>
      <c r="J70" s="154"/>
      <c r="K70" s="155"/>
      <c r="L70" s="153"/>
      <c r="M70" s="155"/>
      <c r="N70" s="154"/>
    </row>
    <row r="71" spans="1:14" ht="18" customHeight="1" x14ac:dyDescent="0.3">
      <c r="A71" s="156"/>
      <c r="B71" s="157"/>
      <c r="C71" s="158"/>
      <c r="D71" s="159"/>
      <c r="E71" s="159"/>
      <c r="F71" s="158"/>
      <c r="G71" s="151"/>
      <c r="H71" s="156"/>
      <c r="I71" s="157"/>
      <c r="J71" s="158"/>
      <c r="K71" s="159"/>
      <c r="L71" s="157"/>
      <c r="M71" s="159"/>
      <c r="N71" s="158"/>
    </row>
    <row r="72" spans="1:14" ht="18" customHeight="1" x14ac:dyDescent="0.3">
      <c r="A72" s="152"/>
      <c r="B72" s="153"/>
      <c r="C72" s="154"/>
      <c r="D72" s="155"/>
      <c r="E72" s="155"/>
      <c r="F72" s="154"/>
      <c r="G72" s="151"/>
      <c r="H72" s="152"/>
      <c r="I72" s="153"/>
      <c r="J72" s="154"/>
      <c r="K72" s="155"/>
      <c r="L72" s="153"/>
      <c r="M72" s="155"/>
      <c r="N72" s="154"/>
    </row>
    <row r="73" spans="1:14" ht="18" customHeight="1" x14ac:dyDescent="0.3">
      <c r="A73" s="156"/>
      <c r="B73" s="157"/>
      <c r="C73" s="158"/>
      <c r="D73" s="159"/>
      <c r="E73" s="159"/>
      <c r="F73" s="158"/>
      <c r="G73" s="151"/>
      <c r="H73" s="156"/>
      <c r="I73" s="157"/>
      <c r="J73" s="158"/>
      <c r="K73" s="159"/>
      <c r="L73" s="157"/>
      <c r="M73" s="159"/>
      <c r="N73" s="158"/>
    </row>
    <row r="74" spans="1:14" ht="18" customHeight="1" x14ac:dyDescent="0.3">
      <c r="A74" s="152"/>
      <c r="B74" s="153"/>
      <c r="C74" s="154"/>
      <c r="D74" s="155"/>
      <c r="E74" s="155"/>
      <c r="F74" s="154"/>
      <c r="G74" s="151"/>
      <c r="H74" s="152"/>
      <c r="I74" s="153"/>
      <c r="J74" s="154"/>
      <c r="K74" s="155"/>
      <c r="L74" s="153"/>
      <c r="M74" s="155"/>
      <c r="N74" s="154"/>
    </row>
    <row r="75" spans="1:14" ht="18" customHeight="1" x14ac:dyDescent="0.3">
      <c r="A75" s="156"/>
      <c r="B75" s="157"/>
      <c r="C75" s="158"/>
      <c r="D75" s="159"/>
      <c r="E75" s="159"/>
      <c r="F75" s="158"/>
      <c r="G75" s="151"/>
      <c r="H75" s="156"/>
      <c r="I75" s="157"/>
      <c r="J75" s="158"/>
      <c r="K75" s="159"/>
      <c r="L75" s="157"/>
      <c r="M75" s="159"/>
      <c r="N75" s="158"/>
    </row>
    <row r="76" spans="1:14" ht="18" customHeight="1" x14ac:dyDescent="0.3">
      <c r="A76" s="152"/>
      <c r="B76" s="153"/>
      <c r="C76" s="154"/>
      <c r="D76" s="155"/>
      <c r="E76" s="155"/>
      <c r="F76" s="154"/>
      <c r="G76" s="151"/>
      <c r="H76" s="152"/>
      <c r="I76" s="153"/>
      <c r="J76" s="154"/>
      <c r="K76" s="155"/>
      <c r="L76" s="153"/>
      <c r="M76" s="155"/>
      <c r="N76" s="154"/>
    </row>
    <row r="77" spans="1:14" ht="18" customHeight="1" x14ac:dyDescent="0.3">
      <c r="A77" s="156"/>
      <c r="B77" s="157"/>
      <c r="C77" s="158"/>
      <c r="D77" s="159"/>
      <c r="E77" s="159"/>
      <c r="F77" s="158"/>
      <c r="G77" s="151"/>
      <c r="H77" s="156"/>
      <c r="I77" s="157"/>
      <c r="J77" s="158"/>
      <c r="K77" s="159"/>
      <c r="L77" s="157"/>
      <c r="M77" s="159"/>
      <c r="N77" s="158"/>
    </row>
    <row r="78" spans="1:14" ht="18" customHeight="1" x14ac:dyDescent="0.3">
      <c r="A78" s="152"/>
      <c r="B78" s="153"/>
      <c r="C78" s="154"/>
      <c r="D78" s="155"/>
      <c r="E78" s="155"/>
      <c r="F78" s="154"/>
      <c r="G78" s="151"/>
      <c r="H78" s="152"/>
      <c r="I78" s="153"/>
      <c r="J78" s="154"/>
      <c r="K78" s="155"/>
      <c r="L78" s="153"/>
      <c r="M78" s="155"/>
      <c r="N78" s="154"/>
    </row>
    <row r="79" spans="1:14" ht="18" customHeight="1" x14ac:dyDescent="0.3">
      <c r="A79" s="156"/>
      <c r="B79" s="157"/>
      <c r="C79" s="158"/>
      <c r="D79" s="159"/>
      <c r="E79" s="159"/>
      <c r="F79" s="158"/>
      <c r="G79" s="151"/>
      <c r="H79" s="156"/>
      <c r="I79" s="157"/>
      <c r="J79" s="158"/>
      <c r="K79" s="159"/>
      <c r="L79" s="157"/>
      <c r="M79" s="159"/>
      <c r="N79" s="158"/>
    </row>
    <row r="80" spans="1:14" ht="18" customHeight="1" x14ac:dyDescent="0.3">
      <c r="A80" s="152"/>
      <c r="B80" s="153"/>
      <c r="C80" s="154"/>
      <c r="D80" s="155"/>
      <c r="E80" s="155"/>
      <c r="F80" s="154"/>
      <c r="G80" s="151"/>
      <c r="H80" s="152"/>
      <c r="I80" s="153"/>
      <c r="J80" s="154"/>
      <c r="K80" s="155"/>
      <c r="L80" s="153"/>
      <c r="M80" s="155"/>
      <c r="N80" s="154"/>
    </row>
    <row r="81" spans="1:14" ht="18" customHeight="1" x14ac:dyDescent="0.3">
      <c r="A81" s="156"/>
      <c r="B81" s="157"/>
      <c r="C81" s="158"/>
      <c r="D81" s="159"/>
      <c r="E81" s="159"/>
      <c r="F81" s="158"/>
      <c r="G81" s="151"/>
      <c r="H81" s="156"/>
      <c r="I81" s="157"/>
      <c r="J81" s="158"/>
      <c r="K81" s="159"/>
      <c r="L81" s="157"/>
      <c r="M81" s="159"/>
      <c r="N81" s="158"/>
    </row>
    <row r="82" spans="1:14" ht="18" customHeight="1" x14ac:dyDescent="0.3">
      <c r="A82" s="152"/>
      <c r="B82" s="153"/>
      <c r="C82" s="154"/>
      <c r="D82" s="155"/>
      <c r="E82" s="155"/>
      <c r="F82" s="154"/>
      <c r="G82" s="151"/>
      <c r="H82" s="152"/>
      <c r="I82" s="153"/>
      <c r="J82" s="154"/>
      <c r="K82" s="155"/>
      <c r="L82" s="153"/>
      <c r="M82" s="155"/>
      <c r="N82" s="154"/>
    </row>
    <row r="83" spans="1:14" ht="18" customHeight="1" x14ac:dyDescent="0.3">
      <c r="A83" s="156"/>
      <c r="B83" s="157"/>
      <c r="C83" s="158"/>
      <c r="D83" s="159"/>
      <c r="E83" s="159"/>
      <c r="F83" s="158"/>
      <c r="G83" s="151"/>
      <c r="H83" s="156"/>
      <c r="I83" s="157"/>
      <c r="J83" s="158"/>
      <c r="K83" s="159"/>
      <c r="L83" s="157"/>
      <c r="M83" s="159"/>
      <c r="N83" s="158"/>
    </row>
    <row r="84" spans="1:14" ht="18" customHeight="1" x14ac:dyDescent="0.3">
      <c r="A84" s="152"/>
      <c r="B84" s="153"/>
      <c r="C84" s="154"/>
      <c r="D84" s="155"/>
      <c r="E84" s="155"/>
      <c r="F84" s="154"/>
      <c r="G84" s="151"/>
      <c r="H84" s="152"/>
      <c r="I84" s="153"/>
      <c r="J84" s="154"/>
      <c r="K84" s="155"/>
      <c r="L84" s="153"/>
      <c r="M84" s="155"/>
      <c r="N84" s="154"/>
    </row>
    <row r="85" spans="1:14" ht="18" customHeight="1" x14ac:dyDescent="0.3">
      <c r="A85" s="156"/>
      <c r="B85" s="157"/>
      <c r="C85" s="158"/>
      <c r="D85" s="159"/>
      <c r="E85" s="159"/>
      <c r="F85" s="158"/>
      <c r="G85" s="151"/>
      <c r="H85" s="156"/>
      <c r="I85" s="157"/>
      <c r="J85" s="158"/>
      <c r="K85" s="159"/>
      <c r="L85" s="157"/>
      <c r="M85" s="159"/>
      <c r="N85" s="158"/>
    </row>
    <row r="86" spans="1:14" ht="18" customHeight="1" x14ac:dyDescent="0.3">
      <c r="A86" s="152"/>
      <c r="B86" s="153"/>
      <c r="C86" s="154"/>
      <c r="D86" s="155"/>
      <c r="E86" s="155"/>
      <c r="F86" s="154"/>
      <c r="G86" s="151"/>
      <c r="H86" s="152"/>
      <c r="I86" s="153"/>
      <c r="J86" s="154"/>
      <c r="K86" s="155"/>
      <c r="L86" s="153"/>
      <c r="M86" s="155"/>
      <c r="N86" s="154"/>
    </row>
    <row r="87" spans="1:14" ht="18" customHeight="1" x14ac:dyDescent="0.3">
      <c r="A87" s="156"/>
      <c r="B87" s="157"/>
      <c r="C87" s="158"/>
      <c r="D87" s="159"/>
      <c r="E87" s="159"/>
      <c r="F87" s="158"/>
      <c r="G87" s="151"/>
      <c r="H87" s="156"/>
      <c r="I87" s="157"/>
      <c r="J87" s="158"/>
      <c r="K87" s="159"/>
      <c r="L87" s="157"/>
      <c r="M87" s="159"/>
      <c r="N87" s="158"/>
    </row>
    <row r="88" spans="1:14" ht="18" customHeight="1" x14ac:dyDescent="0.3">
      <c r="A88" s="152"/>
      <c r="B88" s="153"/>
      <c r="C88" s="154"/>
      <c r="D88" s="155"/>
      <c r="E88" s="155"/>
      <c r="F88" s="154"/>
      <c r="G88" s="151"/>
      <c r="H88" s="152"/>
      <c r="I88" s="153"/>
      <c r="J88" s="154"/>
      <c r="K88" s="155"/>
      <c r="L88" s="153"/>
      <c r="M88" s="155"/>
      <c r="N88" s="154"/>
    </row>
    <row r="89" spans="1:14" ht="18" customHeight="1" x14ac:dyDescent="0.3">
      <c r="A89" s="156"/>
      <c r="B89" s="157"/>
      <c r="C89" s="158"/>
      <c r="D89" s="159"/>
      <c r="E89" s="159"/>
      <c r="F89" s="158"/>
      <c r="G89" s="151"/>
      <c r="H89" s="156"/>
      <c r="I89" s="157"/>
      <c r="J89" s="158"/>
      <c r="K89" s="159"/>
      <c r="L89" s="157"/>
      <c r="M89" s="159"/>
      <c r="N89" s="158"/>
    </row>
    <row r="90" spans="1:14" ht="18" customHeight="1" x14ac:dyDescent="0.3">
      <c r="A90" s="152"/>
      <c r="B90" s="153"/>
      <c r="C90" s="154"/>
      <c r="D90" s="155"/>
      <c r="E90" s="155"/>
      <c r="F90" s="154"/>
      <c r="G90" s="151"/>
      <c r="H90" s="152"/>
      <c r="I90" s="153"/>
      <c r="J90" s="154"/>
      <c r="K90" s="155"/>
      <c r="L90" s="153"/>
      <c r="M90" s="155"/>
      <c r="N90" s="154"/>
    </row>
    <row r="91" spans="1:14" ht="18" customHeight="1" x14ac:dyDescent="0.3">
      <c r="A91" s="156"/>
      <c r="B91" s="157"/>
      <c r="C91" s="158"/>
      <c r="D91" s="159"/>
      <c r="E91" s="159"/>
      <c r="F91" s="158"/>
      <c r="G91" s="151"/>
      <c r="H91" s="156"/>
      <c r="I91" s="157"/>
      <c r="J91" s="158"/>
      <c r="K91" s="159"/>
      <c r="L91" s="157"/>
      <c r="M91" s="159"/>
      <c r="N91" s="158"/>
    </row>
    <row r="92" spans="1:14" ht="18" customHeight="1" x14ac:dyDescent="0.3">
      <c r="A92" s="152"/>
      <c r="B92" s="153"/>
      <c r="C92" s="154"/>
      <c r="D92" s="155"/>
      <c r="E92" s="155"/>
      <c r="F92" s="154"/>
      <c r="G92" s="151"/>
      <c r="H92" s="152"/>
      <c r="I92" s="153"/>
      <c r="J92" s="154"/>
      <c r="K92" s="155"/>
      <c r="L92" s="153"/>
      <c r="M92" s="155"/>
      <c r="N92" s="154"/>
    </row>
    <row r="93" spans="1:14" ht="18" customHeight="1" x14ac:dyDescent="0.3">
      <c r="A93" s="156"/>
      <c r="B93" s="157"/>
      <c r="C93" s="158"/>
      <c r="D93" s="159"/>
      <c r="E93" s="159"/>
      <c r="F93" s="158"/>
      <c r="G93" s="151"/>
      <c r="H93" s="156"/>
      <c r="I93" s="157"/>
      <c r="J93" s="158"/>
      <c r="K93" s="159"/>
      <c r="L93" s="157"/>
      <c r="M93" s="159"/>
      <c r="N93" s="158"/>
    </row>
    <row r="94" spans="1:14" ht="18" customHeight="1" x14ac:dyDescent="0.3">
      <c r="A94" s="152"/>
      <c r="B94" s="153"/>
      <c r="C94" s="154"/>
      <c r="D94" s="155"/>
      <c r="E94" s="155"/>
      <c r="F94" s="154"/>
      <c r="G94" s="151"/>
      <c r="H94" s="152"/>
      <c r="I94" s="153"/>
      <c r="J94" s="154"/>
      <c r="K94" s="155"/>
      <c r="L94" s="153"/>
      <c r="M94" s="155"/>
      <c r="N94" s="154"/>
    </row>
    <row r="95" spans="1:14" ht="18" customHeight="1" x14ac:dyDescent="0.3">
      <c r="A95" s="156"/>
      <c r="B95" s="157"/>
      <c r="C95" s="158"/>
      <c r="D95" s="159"/>
      <c r="E95" s="159"/>
      <c r="F95" s="158"/>
      <c r="G95" s="151"/>
      <c r="H95" s="156"/>
      <c r="I95" s="157"/>
      <c r="J95" s="158"/>
      <c r="K95" s="159"/>
      <c r="L95" s="157"/>
      <c r="M95" s="159"/>
      <c r="N95" s="158"/>
    </row>
    <row r="96" spans="1:14" ht="18" customHeight="1" x14ac:dyDescent="0.3">
      <c r="A96" s="152"/>
      <c r="B96" s="153"/>
      <c r="C96" s="154"/>
      <c r="D96" s="155"/>
      <c r="E96" s="155"/>
      <c r="F96" s="154"/>
      <c r="G96" s="151"/>
      <c r="H96" s="152"/>
      <c r="I96" s="153"/>
      <c r="J96" s="154"/>
      <c r="K96" s="155"/>
      <c r="L96" s="153"/>
      <c r="M96" s="155"/>
      <c r="N96" s="154"/>
    </row>
    <row r="97" spans="1:14" ht="18" customHeight="1" x14ac:dyDescent="0.3">
      <c r="A97" s="156"/>
      <c r="B97" s="157"/>
      <c r="C97" s="158"/>
      <c r="D97" s="159"/>
      <c r="E97" s="159"/>
      <c r="F97" s="158"/>
      <c r="G97" s="151"/>
      <c r="H97" s="156"/>
      <c r="I97" s="157"/>
      <c r="J97" s="158"/>
      <c r="K97" s="159"/>
      <c r="L97" s="157"/>
      <c r="M97" s="159"/>
      <c r="N97" s="158"/>
    </row>
    <row r="98" spans="1:14" ht="18" customHeight="1" x14ac:dyDescent="0.3">
      <c r="A98" s="152"/>
      <c r="B98" s="153"/>
      <c r="C98" s="154"/>
      <c r="D98" s="155"/>
      <c r="E98" s="155"/>
      <c r="F98" s="154"/>
      <c r="G98" s="151"/>
      <c r="H98" s="152"/>
      <c r="I98" s="153"/>
      <c r="J98" s="154"/>
      <c r="K98" s="155"/>
      <c r="L98" s="153"/>
      <c r="M98" s="155"/>
      <c r="N98" s="154"/>
    </row>
    <row r="99" spans="1:14" ht="18" customHeight="1" x14ac:dyDescent="0.3">
      <c r="A99" s="156"/>
      <c r="B99" s="157"/>
      <c r="C99" s="158"/>
      <c r="D99" s="159"/>
      <c r="E99" s="159"/>
      <c r="F99" s="158"/>
      <c r="G99" s="151"/>
      <c r="H99" s="156"/>
      <c r="I99" s="157"/>
      <c r="J99" s="158"/>
      <c r="K99" s="159"/>
      <c r="L99" s="157"/>
      <c r="M99" s="159"/>
      <c r="N99" s="158"/>
    </row>
    <row r="100" spans="1:14" ht="18" customHeight="1" x14ac:dyDescent="0.3">
      <c r="A100" s="152"/>
      <c r="B100" s="153"/>
      <c r="C100" s="154"/>
      <c r="D100" s="155"/>
      <c r="E100" s="155"/>
      <c r="F100" s="154"/>
      <c r="G100" s="151"/>
      <c r="H100" s="152"/>
      <c r="I100" s="153"/>
      <c r="J100" s="154"/>
      <c r="K100" s="155"/>
      <c r="L100" s="153"/>
      <c r="M100" s="155"/>
      <c r="N100" s="154"/>
    </row>
    <row r="101" spans="1:14" ht="18" customHeight="1" x14ac:dyDescent="0.3">
      <c r="A101" s="156"/>
      <c r="B101" s="157"/>
      <c r="C101" s="158"/>
      <c r="D101" s="159"/>
      <c r="E101" s="159"/>
      <c r="F101" s="158"/>
      <c r="G101" s="151"/>
      <c r="H101" s="156"/>
      <c r="I101" s="157"/>
      <c r="J101" s="158"/>
      <c r="K101" s="159"/>
      <c r="L101" s="157"/>
      <c r="M101" s="159"/>
      <c r="N101" s="158"/>
    </row>
    <row r="102" spans="1:14" ht="18" customHeight="1" x14ac:dyDescent="0.3">
      <c r="A102" s="152"/>
      <c r="B102" s="153"/>
      <c r="C102" s="154"/>
      <c r="D102" s="155"/>
      <c r="E102" s="155"/>
      <c r="F102" s="154"/>
      <c r="G102" s="151"/>
      <c r="H102" s="152"/>
      <c r="I102" s="153"/>
      <c r="J102" s="154"/>
      <c r="K102" s="155"/>
      <c r="L102" s="153"/>
      <c r="M102" s="155"/>
      <c r="N102" s="154"/>
    </row>
    <row r="103" spans="1:14" ht="18" customHeight="1" x14ac:dyDescent="0.3">
      <c r="A103" s="156"/>
      <c r="B103" s="157"/>
      <c r="C103" s="158"/>
      <c r="D103" s="159"/>
      <c r="E103" s="159"/>
      <c r="F103" s="158"/>
      <c r="G103" s="151"/>
      <c r="H103" s="156"/>
      <c r="I103" s="157"/>
      <c r="J103" s="158"/>
      <c r="K103" s="159"/>
      <c r="L103" s="157"/>
      <c r="M103" s="159"/>
      <c r="N103" s="158"/>
    </row>
    <row r="104" spans="1:14" ht="18" customHeight="1" x14ac:dyDescent="0.3">
      <c r="A104" s="152"/>
      <c r="B104" s="153"/>
      <c r="C104" s="154"/>
      <c r="D104" s="155"/>
      <c r="E104" s="155"/>
      <c r="F104" s="154"/>
      <c r="G104" s="151"/>
      <c r="H104" s="152"/>
      <c r="I104" s="153"/>
      <c r="J104" s="154"/>
      <c r="K104" s="155"/>
      <c r="L104" s="153"/>
      <c r="M104" s="155"/>
      <c r="N104" s="154"/>
    </row>
    <row r="105" spans="1:14" ht="18" customHeight="1" x14ac:dyDescent="0.3">
      <c r="A105" s="156"/>
      <c r="B105" s="157"/>
      <c r="C105" s="158"/>
      <c r="D105" s="159"/>
      <c r="E105" s="159"/>
      <c r="F105" s="158"/>
      <c r="G105" s="151"/>
      <c r="H105" s="156"/>
      <c r="I105" s="157"/>
      <c r="J105" s="158"/>
      <c r="K105" s="159"/>
      <c r="L105" s="157"/>
      <c r="M105" s="159"/>
      <c r="N105" s="158"/>
    </row>
    <row r="106" spans="1:14" ht="18" customHeight="1" x14ac:dyDescent="0.3">
      <c r="A106" s="152"/>
      <c r="B106" s="153"/>
      <c r="C106" s="154"/>
      <c r="D106" s="155"/>
      <c r="E106" s="155"/>
      <c r="F106" s="154"/>
      <c r="G106" s="151"/>
      <c r="H106" s="152"/>
      <c r="I106" s="153"/>
      <c r="J106" s="154"/>
      <c r="K106" s="155"/>
      <c r="L106" s="153"/>
      <c r="M106" s="155"/>
      <c r="N106" s="154"/>
    </row>
    <row r="107" spans="1:14" ht="18" customHeight="1" x14ac:dyDescent="0.3">
      <c r="A107" s="156"/>
      <c r="B107" s="157"/>
      <c r="C107" s="158"/>
      <c r="D107" s="159"/>
      <c r="E107" s="159"/>
      <c r="F107" s="158"/>
      <c r="G107" s="151"/>
      <c r="H107" s="156"/>
      <c r="I107" s="157"/>
      <c r="J107" s="158"/>
      <c r="K107" s="159"/>
      <c r="L107" s="157"/>
      <c r="M107" s="159"/>
      <c r="N107" s="158"/>
    </row>
    <row r="108" spans="1:14" ht="18" customHeight="1" x14ac:dyDescent="0.3">
      <c r="A108" s="152"/>
      <c r="B108" s="153"/>
      <c r="C108" s="154"/>
      <c r="D108" s="155"/>
      <c r="E108" s="155"/>
      <c r="F108" s="154"/>
      <c r="G108" s="151"/>
      <c r="H108" s="152"/>
      <c r="I108" s="153"/>
      <c r="J108" s="154"/>
      <c r="K108" s="155"/>
      <c r="L108" s="153"/>
      <c r="M108" s="155"/>
      <c r="N108" s="154"/>
    </row>
    <row r="109" spans="1:14" ht="18" customHeight="1" x14ac:dyDescent="0.3">
      <c r="A109" s="156"/>
      <c r="B109" s="157"/>
      <c r="C109" s="158"/>
      <c r="D109" s="159"/>
      <c r="E109" s="159"/>
      <c r="F109" s="158"/>
      <c r="G109" s="151"/>
      <c r="H109" s="156"/>
      <c r="I109" s="157"/>
      <c r="J109" s="158"/>
      <c r="K109" s="159"/>
      <c r="L109" s="157"/>
      <c r="M109" s="159"/>
      <c r="N109" s="158"/>
    </row>
    <row r="110" spans="1:14" ht="18" customHeight="1" x14ac:dyDescent="0.3">
      <c r="A110" s="152"/>
      <c r="B110" s="153"/>
      <c r="C110" s="154"/>
      <c r="D110" s="155"/>
      <c r="E110" s="155"/>
      <c r="F110" s="154"/>
      <c r="G110" s="151"/>
      <c r="H110" s="152"/>
      <c r="I110" s="153"/>
      <c r="J110" s="154"/>
      <c r="K110" s="155"/>
      <c r="L110" s="153"/>
      <c r="M110" s="155"/>
      <c r="N110" s="154"/>
    </row>
    <row r="111" spans="1:14" ht="18" customHeight="1" x14ac:dyDescent="0.3">
      <c r="A111" s="156"/>
      <c r="B111" s="157"/>
      <c r="C111" s="158"/>
      <c r="D111" s="159"/>
      <c r="E111" s="159"/>
      <c r="F111" s="158"/>
      <c r="G111" s="151"/>
      <c r="H111" s="156"/>
      <c r="I111" s="157"/>
      <c r="J111" s="158"/>
      <c r="K111" s="159"/>
      <c r="L111" s="157"/>
      <c r="M111" s="159"/>
      <c r="N111" s="158"/>
    </row>
    <row r="112" spans="1:14" ht="18" customHeight="1" x14ac:dyDescent="0.3">
      <c r="A112" s="152"/>
      <c r="B112" s="153"/>
      <c r="C112" s="154"/>
      <c r="D112" s="155"/>
      <c r="E112" s="155"/>
      <c r="F112" s="154"/>
      <c r="G112" s="151"/>
      <c r="H112" s="152"/>
      <c r="I112" s="153"/>
      <c r="J112" s="154"/>
      <c r="K112" s="155"/>
      <c r="L112" s="153"/>
      <c r="M112" s="155"/>
      <c r="N112" s="154"/>
    </row>
    <row r="113" spans="1:14" ht="18" customHeight="1" x14ac:dyDescent="0.3">
      <c r="A113" s="156"/>
      <c r="B113" s="157"/>
      <c r="C113" s="158"/>
      <c r="D113" s="159"/>
      <c r="E113" s="159"/>
      <c r="F113" s="158"/>
      <c r="G113" s="151"/>
      <c r="H113" s="156"/>
      <c r="I113" s="157"/>
      <c r="J113" s="158"/>
      <c r="K113" s="159"/>
      <c r="L113" s="157"/>
      <c r="M113" s="159"/>
      <c r="N113" s="158"/>
    </row>
    <row r="114" spans="1:14" ht="18" customHeight="1" x14ac:dyDescent="0.3">
      <c r="A114" s="152"/>
      <c r="B114" s="153"/>
      <c r="C114" s="154"/>
      <c r="D114" s="155"/>
      <c r="E114" s="155"/>
      <c r="F114" s="154"/>
      <c r="G114" s="151"/>
      <c r="H114" s="152"/>
      <c r="I114" s="153"/>
      <c r="J114" s="154"/>
      <c r="K114" s="155"/>
      <c r="L114" s="153"/>
      <c r="M114" s="155"/>
      <c r="N114" s="154"/>
    </row>
    <row r="115" spans="1:14" ht="18" customHeight="1" x14ac:dyDescent="0.3">
      <c r="A115" s="156"/>
      <c r="B115" s="157"/>
      <c r="C115" s="158"/>
      <c r="D115" s="159"/>
      <c r="E115" s="159"/>
      <c r="F115" s="158"/>
      <c r="G115" s="151"/>
      <c r="H115" s="156"/>
      <c r="I115" s="157"/>
      <c r="J115" s="158"/>
      <c r="K115" s="159"/>
      <c r="L115" s="157"/>
      <c r="M115" s="159"/>
      <c r="N115" s="158"/>
    </row>
    <row r="116" spans="1:14" ht="18" customHeight="1" x14ac:dyDescent="0.3">
      <c r="A116" s="152"/>
      <c r="B116" s="153"/>
      <c r="C116" s="154"/>
      <c r="D116" s="155"/>
      <c r="E116" s="155"/>
      <c r="F116" s="154"/>
      <c r="G116" s="151"/>
      <c r="H116" s="152"/>
      <c r="I116" s="153"/>
      <c r="J116" s="154"/>
      <c r="K116" s="155"/>
      <c r="L116" s="153"/>
      <c r="M116" s="155"/>
      <c r="N116" s="154"/>
    </row>
    <row r="117" spans="1:14" ht="18" customHeight="1" x14ac:dyDescent="0.3">
      <c r="A117" s="156"/>
      <c r="B117" s="157"/>
      <c r="C117" s="158"/>
      <c r="D117" s="159"/>
      <c r="E117" s="159"/>
      <c r="F117" s="158"/>
      <c r="G117" s="151"/>
      <c r="H117" s="156"/>
      <c r="I117" s="157"/>
      <c r="J117" s="158"/>
      <c r="K117" s="159"/>
      <c r="L117" s="157"/>
      <c r="M117" s="159"/>
      <c r="N117" s="158"/>
    </row>
    <row r="118" spans="1:14" ht="18" customHeight="1" x14ac:dyDescent="0.3">
      <c r="A118" s="152"/>
      <c r="B118" s="153"/>
      <c r="C118" s="154"/>
      <c r="D118" s="155"/>
      <c r="E118" s="155"/>
      <c r="F118" s="154"/>
      <c r="G118" s="151"/>
      <c r="H118" s="152"/>
      <c r="I118" s="153"/>
      <c r="J118" s="154"/>
      <c r="K118" s="155"/>
      <c r="L118" s="153"/>
      <c r="M118" s="155"/>
      <c r="N118" s="154"/>
    </row>
    <row r="119" spans="1:14" ht="18" customHeight="1" x14ac:dyDescent="0.3">
      <c r="A119" s="156"/>
      <c r="B119" s="157"/>
      <c r="C119" s="158"/>
      <c r="D119" s="159"/>
      <c r="E119" s="159"/>
      <c r="F119" s="158"/>
      <c r="G119" s="151"/>
      <c r="H119" s="156"/>
      <c r="I119" s="157"/>
      <c r="J119" s="158"/>
      <c r="K119" s="159"/>
      <c r="L119" s="157"/>
      <c r="M119" s="159"/>
      <c r="N119" s="158"/>
    </row>
    <row r="120" spans="1:14" ht="18" customHeight="1" x14ac:dyDescent="0.3">
      <c r="A120" s="152"/>
      <c r="B120" s="153"/>
      <c r="C120" s="154"/>
      <c r="D120" s="155"/>
      <c r="E120" s="155"/>
      <c r="F120" s="154"/>
      <c r="G120" s="151"/>
      <c r="H120" s="152"/>
      <c r="I120" s="153"/>
      <c r="J120" s="154"/>
      <c r="K120" s="155"/>
      <c r="L120" s="153"/>
      <c r="M120" s="155"/>
      <c r="N120" s="154"/>
    </row>
    <row r="121" spans="1:14" ht="18" customHeight="1" x14ac:dyDescent="0.3">
      <c r="A121" s="156"/>
      <c r="B121" s="157"/>
      <c r="C121" s="158"/>
      <c r="D121" s="159"/>
      <c r="E121" s="159"/>
      <c r="F121" s="158"/>
      <c r="G121" s="151"/>
      <c r="H121" s="156"/>
      <c r="I121" s="157"/>
      <c r="J121" s="158"/>
      <c r="K121" s="159"/>
      <c r="L121" s="157"/>
      <c r="M121" s="159"/>
      <c r="N121" s="158"/>
    </row>
    <row r="122" spans="1:14" ht="18" customHeight="1" x14ac:dyDescent="0.3">
      <c r="A122" s="152"/>
      <c r="B122" s="153"/>
      <c r="C122" s="154"/>
      <c r="D122" s="155"/>
      <c r="E122" s="155"/>
      <c r="F122" s="154"/>
      <c r="G122" s="151"/>
      <c r="H122" s="152"/>
      <c r="I122" s="153"/>
      <c r="J122" s="154"/>
      <c r="K122" s="155"/>
      <c r="L122" s="153"/>
      <c r="M122" s="155"/>
      <c r="N122" s="154"/>
    </row>
    <row r="123" spans="1:14" ht="18" customHeight="1" x14ac:dyDescent="0.3">
      <c r="A123" s="156"/>
      <c r="B123" s="157"/>
      <c r="C123" s="158"/>
      <c r="D123" s="159"/>
      <c r="E123" s="159"/>
      <c r="F123" s="158"/>
      <c r="G123" s="151"/>
      <c r="H123" s="156"/>
      <c r="I123" s="157"/>
      <c r="J123" s="158"/>
      <c r="K123" s="159"/>
      <c r="L123" s="157"/>
      <c r="M123" s="159"/>
      <c r="N123" s="158"/>
    </row>
    <row r="124" spans="1:14" ht="18" customHeight="1" x14ac:dyDescent="0.3">
      <c r="A124" s="152"/>
      <c r="B124" s="153"/>
      <c r="C124" s="154"/>
      <c r="D124" s="155"/>
      <c r="E124" s="155"/>
      <c r="F124" s="154"/>
      <c r="G124" s="151"/>
      <c r="H124" s="152"/>
      <c r="I124" s="153"/>
      <c r="J124" s="154"/>
      <c r="K124" s="155"/>
      <c r="L124" s="153"/>
      <c r="M124" s="155"/>
      <c r="N124" s="154"/>
    </row>
    <row r="125" spans="1:14" ht="18" customHeight="1" x14ac:dyDescent="0.3">
      <c r="A125" s="156"/>
      <c r="B125" s="157"/>
      <c r="C125" s="158"/>
      <c r="D125" s="159"/>
      <c r="E125" s="159"/>
      <c r="F125" s="158"/>
      <c r="G125" s="151"/>
      <c r="H125" s="156"/>
      <c r="I125" s="157"/>
      <c r="J125" s="158"/>
      <c r="K125" s="159"/>
      <c r="L125" s="157"/>
      <c r="M125" s="159"/>
      <c r="N125" s="158"/>
    </row>
    <row r="126" spans="1:14" ht="18" customHeight="1" x14ac:dyDescent="0.3">
      <c r="A126" s="152"/>
      <c r="B126" s="153"/>
      <c r="C126" s="154"/>
      <c r="D126" s="155"/>
      <c r="E126" s="155"/>
      <c r="F126" s="154"/>
      <c r="G126" s="151"/>
      <c r="H126" s="152"/>
      <c r="I126" s="153"/>
      <c r="J126" s="154"/>
      <c r="K126" s="155"/>
      <c r="L126" s="153"/>
      <c r="M126" s="155"/>
      <c r="N126" s="154"/>
    </row>
    <row r="127" spans="1:14" ht="18" customHeight="1" x14ac:dyDescent="0.3">
      <c r="A127" s="156"/>
      <c r="B127" s="157"/>
      <c r="C127" s="158"/>
      <c r="D127" s="159"/>
      <c r="E127" s="159"/>
      <c r="F127" s="158"/>
      <c r="G127" s="151"/>
      <c r="H127" s="156"/>
      <c r="I127" s="157"/>
      <c r="J127" s="158"/>
      <c r="K127" s="159"/>
      <c r="L127" s="157"/>
      <c r="M127" s="159"/>
      <c r="N127" s="158"/>
    </row>
    <row r="128" spans="1:14" ht="18" customHeight="1" x14ac:dyDescent="0.3">
      <c r="A128" s="152"/>
      <c r="B128" s="153"/>
      <c r="C128" s="154"/>
      <c r="D128" s="155"/>
      <c r="E128" s="155"/>
      <c r="F128" s="154"/>
      <c r="G128" s="151"/>
      <c r="H128" s="152"/>
      <c r="I128" s="153"/>
      <c r="J128" s="154"/>
      <c r="K128" s="155"/>
      <c r="L128" s="153"/>
      <c r="M128" s="155"/>
      <c r="N128" s="154"/>
    </row>
    <row r="129" spans="1:14" ht="18" customHeight="1" x14ac:dyDescent="0.3">
      <c r="A129" s="156"/>
      <c r="B129" s="157"/>
      <c r="C129" s="158"/>
      <c r="D129" s="159"/>
      <c r="E129" s="159"/>
      <c r="F129" s="158"/>
      <c r="G129" s="151"/>
      <c r="H129" s="156"/>
      <c r="I129" s="157"/>
      <c r="J129" s="158"/>
      <c r="K129" s="159"/>
      <c r="L129" s="157"/>
      <c r="M129" s="159"/>
      <c r="N129" s="158"/>
    </row>
    <row r="130" spans="1:14" ht="18" customHeight="1" x14ac:dyDescent="0.3">
      <c r="A130" s="152"/>
      <c r="B130" s="153"/>
      <c r="C130" s="154"/>
      <c r="D130" s="155"/>
      <c r="E130" s="155"/>
      <c r="F130" s="154"/>
      <c r="G130" s="151"/>
      <c r="H130" s="152"/>
      <c r="I130" s="153"/>
      <c r="J130" s="154"/>
      <c r="K130" s="155"/>
      <c r="L130" s="153"/>
      <c r="M130" s="155"/>
      <c r="N130" s="154"/>
    </row>
    <row r="131" spans="1:14" ht="18" customHeight="1" x14ac:dyDescent="0.3">
      <c r="A131" s="156"/>
      <c r="B131" s="157"/>
      <c r="C131" s="158"/>
      <c r="D131" s="159"/>
      <c r="E131" s="159"/>
      <c r="F131" s="158"/>
      <c r="G131" s="151"/>
      <c r="H131" s="156"/>
      <c r="I131" s="157"/>
      <c r="J131" s="158"/>
      <c r="K131" s="159"/>
      <c r="L131" s="157"/>
      <c r="M131" s="159"/>
      <c r="N131" s="158"/>
    </row>
    <row r="132" spans="1:14" ht="18" customHeight="1" x14ac:dyDescent="0.3">
      <c r="A132" s="152"/>
      <c r="B132" s="153"/>
      <c r="C132" s="154"/>
      <c r="D132" s="155"/>
      <c r="E132" s="155"/>
      <c r="F132" s="154"/>
      <c r="G132" s="151"/>
      <c r="H132" s="152"/>
      <c r="I132" s="153"/>
      <c r="J132" s="154"/>
      <c r="K132" s="155"/>
      <c r="L132" s="153"/>
      <c r="M132" s="155"/>
      <c r="N132" s="154"/>
    </row>
    <row r="133" spans="1:14" ht="18" customHeight="1" x14ac:dyDescent="0.3">
      <c r="A133" s="156"/>
      <c r="B133" s="157"/>
      <c r="C133" s="158"/>
      <c r="D133" s="159"/>
      <c r="E133" s="159"/>
      <c r="F133" s="158"/>
      <c r="G133" s="151"/>
      <c r="H133" s="156"/>
      <c r="I133" s="157"/>
      <c r="J133" s="158"/>
      <c r="K133" s="159"/>
      <c r="L133" s="157"/>
      <c r="M133" s="159"/>
      <c r="N133" s="158"/>
    </row>
    <row r="134" spans="1:14" ht="18" customHeight="1" x14ac:dyDescent="0.3">
      <c r="A134" s="152"/>
      <c r="B134" s="153"/>
      <c r="C134" s="154"/>
      <c r="D134" s="155"/>
      <c r="E134" s="155"/>
      <c r="F134" s="154"/>
      <c r="G134" s="151"/>
      <c r="H134" s="152"/>
      <c r="I134" s="153"/>
      <c r="J134" s="154"/>
      <c r="K134" s="155"/>
      <c r="L134" s="153"/>
      <c r="M134" s="155"/>
      <c r="N134" s="154"/>
    </row>
    <row r="135" spans="1:14" ht="18" customHeight="1" x14ac:dyDescent="0.3">
      <c r="A135" s="156"/>
      <c r="B135" s="157"/>
      <c r="C135" s="158"/>
      <c r="D135" s="159"/>
      <c r="E135" s="159"/>
      <c r="F135" s="158"/>
      <c r="G135" s="151"/>
      <c r="H135" s="156"/>
      <c r="I135" s="157"/>
      <c r="J135" s="158"/>
      <c r="K135" s="159"/>
      <c r="L135" s="157"/>
      <c r="M135" s="159"/>
      <c r="N135" s="158"/>
    </row>
    <row r="136" spans="1:14" ht="18" customHeight="1" x14ac:dyDescent="0.3">
      <c r="A136" s="152"/>
      <c r="B136" s="153"/>
      <c r="C136" s="154"/>
      <c r="D136" s="155"/>
      <c r="E136" s="155"/>
      <c r="F136" s="154"/>
      <c r="G136" s="151"/>
      <c r="H136" s="152"/>
      <c r="I136" s="153"/>
      <c r="J136" s="154"/>
      <c r="K136" s="155"/>
      <c r="L136" s="153"/>
      <c r="M136" s="155"/>
      <c r="N136" s="154"/>
    </row>
    <row r="137" spans="1:14" ht="18" customHeight="1" x14ac:dyDescent="0.3">
      <c r="A137" s="156"/>
      <c r="B137" s="157"/>
      <c r="C137" s="158"/>
      <c r="D137" s="159"/>
      <c r="E137" s="159"/>
      <c r="F137" s="158"/>
      <c r="G137" s="151"/>
      <c r="H137" s="156"/>
      <c r="I137" s="157"/>
      <c r="J137" s="158"/>
      <c r="K137" s="159"/>
      <c r="L137" s="157"/>
      <c r="M137" s="159"/>
      <c r="N137" s="158"/>
    </row>
    <row r="138" spans="1:14" ht="18" customHeight="1" x14ac:dyDescent="0.3">
      <c r="A138" s="152"/>
      <c r="B138" s="153"/>
      <c r="C138" s="154"/>
      <c r="D138" s="155"/>
      <c r="E138" s="155"/>
      <c r="F138" s="154"/>
      <c r="G138" s="151"/>
      <c r="H138" s="152"/>
      <c r="I138" s="153"/>
      <c r="J138" s="154"/>
      <c r="K138" s="155"/>
      <c r="L138" s="153"/>
      <c r="M138" s="155"/>
      <c r="N138" s="154"/>
    </row>
    <row r="139" spans="1:14" ht="18" customHeight="1" x14ac:dyDescent="0.3">
      <c r="A139" s="156"/>
      <c r="B139" s="157"/>
      <c r="C139" s="158"/>
      <c r="D139" s="159"/>
      <c r="E139" s="159"/>
      <c r="F139" s="158"/>
      <c r="G139" s="151"/>
      <c r="H139" s="156"/>
      <c r="I139" s="157"/>
      <c r="J139" s="158"/>
      <c r="K139" s="159"/>
      <c r="L139" s="157"/>
      <c r="M139" s="159"/>
      <c r="N139" s="158"/>
    </row>
    <row r="140" spans="1:14" ht="18" customHeight="1" x14ac:dyDescent="0.3">
      <c r="A140" s="152"/>
      <c r="B140" s="153"/>
      <c r="C140" s="154"/>
      <c r="D140" s="155"/>
      <c r="E140" s="155"/>
      <c r="F140" s="154"/>
      <c r="G140" s="151"/>
      <c r="H140" s="152"/>
      <c r="I140" s="153"/>
      <c r="J140" s="154"/>
      <c r="K140" s="155"/>
      <c r="L140" s="153"/>
      <c r="M140" s="155"/>
      <c r="N140" s="154"/>
    </row>
    <row r="141" spans="1:14" ht="18" customHeight="1" x14ac:dyDescent="0.3">
      <c r="A141" s="156"/>
      <c r="B141" s="157"/>
      <c r="C141" s="158"/>
      <c r="D141" s="159"/>
      <c r="E141" s="159"/>
      <c r="F141" s="158"/>
      <c r="G141" s="151"/>
      <c r="H141" s="156"/>
      <c r="I141" s="157"/>
      <c r="J141" s="158"/>
      <c r="K141" s="159"/>
      <c r="L141" s="157"/>
      <c r="M141" s="159"/>
      <c r="N141" s="158"/>
    </row>
    <row r="142" spans="1:14" ht="18" customHeight="1" x14ac:dyDescent="0.3">
      <c r="A142" s="152"/>
      <c r="B142" s="153"/>
      <c r="C142" s="154"/>
      <c r="D142" s="155"/>
      <c r="E142" s="155"/>
      <c r="F142" s="154"/>
      <c r="G142" s="151"/>
      <c r="H142" s="152"/>
      <c r="I142" s="153"/>
      <c r="J142" s="154"/>
      <c r="K142" s="155"/>
      <c r="L142" s="153"/>
      <c r="M142" s="155"/>
      <c r="N142" s="154"/>
    </row>
    <row r="143" spans="1:14" ht="18" customHeight="1" x14ac:dyDescent="0.3">
      <c r="A143" s="156"/>
      <c r="B143" s="157"/>
      <c r="C143" s="158"/>
      <c r="D143" s="159"/>
      <c r="E143" s="159"/>
      <c r="F143" s="158"/>
      <c r="G143" s="151"/>
      <c r="H143" s="156"/>
      <c r="I143" s="157"/>
      <c r="J143" s="158"/>
      <c r="K143" s="159"/>
      <c r="L143" s="157"/>
      <c r="M143" s="159"/>
      <c r="N143" s="158"/>
    </row>
    <row r="144" spans="1:14" ht="18" customHeight="1" x14ac:dyDescent="0.3">
      <c r="A144" s="152"/>
      <c r="B144" s="153"/>
      <c r="C144" s="154"/>
      <c r="D144" s="155"/>
      <c r="E144" s="155"/>
      <c r="F144" s="154"/>
      <c r="G144" s="151"/>
      <c r="H144" s="152"/>
      <c r="I144" s="153"/>
      <c r="J144" s="154"/>
      <c r="K144" s="155"/>
      <c r="L144" s="153"/>
      <c r="M144" s="155"/>
      <c r="N144" s="154"/>
    </row>
    <row r="145" spans="1:14" ht="18" customHeight="1" x14ac:dyDescent="0.3">
      <c r="A145" s="156"/>
      <c r="B145" s="157"/>
      <c r="C145" s="158"/>
      <c r="D145" s="159"/>
      <c r="E145" s="159"/>
      <c r="F145" s="158"/>
      <c r="G145" s="151"/>
      <c r="H145" s="156"/>
      <c r="I145" s="157"/>
      <c r="J145" s="158"/>
      <c r="K145" s="159"/>
      <c r="L145" s="157"/>
      <c r="M145" s="159"/>
      <c r="N145" s="158"/>
    </row>
    <row r="146" spans="1:14" ht="18" customHeight="1" x14ac:dyDescent="0.3">
      <c r="A146" s="152"/>
      <c r="B146" s="153"/>
      <c r="C146" s="154"/>
      <c r="D146" s="155"/>
      <c r="E146" s="155"/>
      <c r="F146" s="154"/>
      <c r="G146" s="151"/>
      <c r="H146" s="152"/>
      <c r="I146" s="153"/>
      <c r="J146" s="154"/>
      <c r="K146" s="155"/>
      <c r="L146" s="153"/>
      <c r="M146" s="155"/>
      <c r="N146" s="154"/>
    </row>
    <row r="147" spans="1:14" ht="18" customHeight="1" x14ac:dyDescent="0.3">
      <c r="A147" s="156"/>
      <c r="B147" s="157"/>
      <c r="C147" s="158"/>
      <c r="D147" s="159"/>
      <c r="E147" s="159"/>
      <c r="F147" s="158"/>
      <c r="G147" s="151"/>
      <c r="H147" s="156"/>
      <c r="I147" s="157"/>
      <c r="J147" s="158"/>
      <c r="K147" s="159"/>
      <c r="L147" s="157"/>
      <c r="M147" s="159"/>
      <c r="N147" s="158"/>
    </row>
    <row r="148" spans="1:14" ht="18" customHeight="1" x14ac:dyDescent="0.3">
      <c r="A148" s="152"/>
      <c r="B148" s="153"/>
      <c r="C148" s="154"/>
      <c r="D148" s="155"/>
      <c r="E148" s="155"/>
      <c r="F148" s="154"/>
      <c r="G148" s="151"/>
      <c r="H148" s="152"/>
      <c r="I148" s="153"/>
      <c r="J148" s="154"/>
      <c r="K148" s="155"/>
      <c r="L148" s="153"/>
      <c r="M148" s="155"/>
      <c r="N148" s="154"/>
    </row>
    <row r="149" spans="1:14" ht="18" customHeight="1" x14ac:dyDescent="0.3">
      <c r="A149" s="156"/>
      <c r="B149" s="157"/>
      <c r="C149" s="158"/>
      <c r="D149" s="159"/>
      <c r="E149" s="159"/>
      <c r="F149" s="158"/>
      <c r="G149" s="151"/>
      <c r="H149" s="156"/>
      <c r="I149" s="157"/>
      <c r="J149" s="158"/>
      <c r="K149" s="159"/>
      <c r="L149" s="157"/>
      <c r="M149" s="159"/>
      <c r="N149" s="158"/>
    </row>
    <row r="150" spans="1:14" ht="18" customHeight="1" x14ac:dyDescent="0.3">
      <c r="A150" s="152"/>
      <c r="B150" s="153"/>
      <c r="C150" s="154"/>
      <c r="D150" s="155"/>
      <c r="E150" s="155"/>
      <c r="F150" s="154"/>
      <c r="G150" s="151"/>
      <c r="H150" s="152"/>
      <c r="I150" s="153"/>
      <c r="J150" s="154"/>
      <c r="K150" s="155"/>
      <c r="L150" s="153"/>
      <c r="M150" s="155"/>
      <c r="N150" s="154"/>
    </row>
    <row r="151" spans="1:14" ht="18" customHeight="1" x14ac:dyDescent="0.3">
      <c r="A151" s="156"/>
      <c r="B151" s="157"/>
      <c r="C151" s="158"/>
      <c r="D151" s="159"/>
      <c r="E151" s="159"/>
      <c r="F151" s="158"/>
      <c r="G151" s="151"/>
      <c r="H151" s="156"/>
      <c r="I151" s="157"/>
      <c r="J151" s="158"/>
      <c r="K151" s="159"/>
      <c r="L151" s="157"/>
      <c r="M151" s="159"/>
      <c r="N151" s="158"/>
    </row>
    <row r="152" spans="1:14" ht="18" customHeight="1" x14ac:dyDescent="0.3">
      <c r="A152" s="152"/>
      <c r="B152" s="153"/>
      <c r="C152" s="154"/>
      <c r="D152" s="155"/>
      <c r="E152" s="155"/>
      <c r="F152" s="154"/>
      <c r="G152" s="151"/>
      <c r="H152" s="152"/>
      <c r="I152" s="153"/>
      <c r="J152" s="154"/>
      <c r="K152" s="155"/>
      <c r="L152" s="153"/>
      <c r="M152" s="155"/>
      <c r="N152" s="154"/>
    </row>
    <row r="153" spans="1:14" ht="18" customHeight="1" x14ac:dyDescent="0.3">
      <c r="A153" s="156"/>
      <c r="B153" s="157"/>
      <c r="C153" s="158"/>
      <c r="D153" s="159"/>
      <c r="E153" s="159"/>
      <c r="F153" s="158"/>
      <c r="G153" s="151"/>
      <c r="H153" s="156"/>
      <c r="I153" s="157"/>
      <c r="J153" s="158"/>
      <c r="K153" s="159"/>
      <c r="L153" s="157"/>
      <c r="M153" s="159"/>
      <c r="N153" s="158"/>
    </row>
    <row r="154" spans="1:14" ht="18" customHeight="1" x14ac:dyDescent="0.3">
      <c r="A154" s="152"/>
      <c r="B154" s="153"/>
      <c r="C154" s="154"/>
      <c r="D154" s="155"/>
      <c r="E154" s="155"/>
      <c r="F154" s="154"/>
      <c r="G154" s="151"/>
      <c r="H154" s="152"/>
      <c r="I154" s="153"/>
      <c r="J154" s="154"/>
      <c r="K154" s="155"/>
      <c r="L154" s="153"/>
      <c r="M154" s="155"/>
      <c r="N154" s="154"/>
    </row>
    <row r="155" spans="1:14" ht="18" customHeight="1" x14ac:dyDescent="0.3">
      <c r="A155" s="156"/>
      <c r="B155" s="157"/>
      <c r="C155" s="158"/>
      <c r="D155" s="159"/>
      <c r="E155" s="159"/>
      <c r="F155" s="158"/>
      <c r="G155" s="151"/>
      <c r="H155" s="156"/>
      <c r="I155" s="157"/>
      <c r="J155" s="158"/>
      <c r="K155" s="159"/>
      <c r="L155" s="157"/>
      <c r="M155" s="159"/>
      <c r="N155" s="158"/>
    </row>
    <row r="156" spans="1:14" ht="18" customHeight="1" x14ac:dyDescent="0.3">
      <c r="A156" s="152"/>
      <c r="B156" s="153"/>
      <c r="C156" s="154"/>
      <c r="D156" s="155"/>
      <c r="E156" s="155"/>
      <c r="F156" s="154"/>
      <c r="G156" s="151"/>
      <c r="H156" s="152"/>
      <c r="I156" s="153"/>
      <c r="J156" s="154"/>
      <c r="K156" s="155"/>
      <c r="L156" s="153"/>
      <c r="M156" s="155"/>
      <c r="N156" s="154"/>
    </row>
    <row r="157" spans="1:14" ht="18" customHeight="1" x14ac:dyDescent="0.3">
      <c r="A157" s="156"/>
      <c r="B157" s="157"/>
      <c r="C157" s="158"/>
      <c r="D157" s="159"/>
      <c r="E157" s="159"/>
      <c r="F157" s="158"/>
      <c r="G157" s="151"/>
      <c r="H157" s="156"/>
      <c r="I157" s="157"/>
      <c r="J157" s="158"/>
      <c r="K157" s="159"/>
      <c r="L157" s="157"/>
      <c r="M157" s="159"/>
      <c r="N157" s="158"/>
    </row>
    <row r="158" spans="1:14" ht="18" customHeight="1" x14ac:dyDescent="0.3">
      <c r="A158" s="152"/>
      <c r="B158" s="153"/>
      <c r="C158" s="154"/>
      <c r="D158" s="155"/>
      <c r="E158" s="155"/>
      <c r="F158" s="154"/>
      <c r="G158" s="151"/>
      <c r="H158" s="152"/>
      <c r="I158" s="153"/>
      <c r="J158" s="154"/>
      <c r="K158" s="155"/>
      <c r="L158" s="153"/>
      <c r="M158" s="155"/>
      <c r="N158" s="154"/>
    </row>
    <row r="159" spans="1:14" ht="18" customHeight="1" x14ac:dyDescent="0.3">
      <c r="A159" s="156"/>
      <c r="B159" s="157"/>
      <c r="C159" s="158"/>
      <c r="D159" s="159"/>
      <c r="E159" s="159"/>
      <c r="F159" s="158"/>
      <c r="G159" s="151"/>
      <c r="H159" s="156"/>
      <c r="I159" s="157"/>
      <c r="J159" s="158"/>
      <c r="K159" s="159"/>
      <c r="L159" s="157"/>
      <c r="M159" s="159"/>
      <c r="N159" s="158"/>
    </row>
    <row r="160" spans="1:14" ht="18" customHeight="1" x14ac:dyDescent="0.3">
      <c r="A160" s="152"/>
      <c r="B160" s="153"/>
      <c r="C160" s="154"/>
      <c r="D160" s="155"/>
      <c r="E160" s="155"/>
      <c r="F160" s="154"/>
      <c r="G160" s="151"/>
      <c r="H160" s="152"/>
      <c r="I160" s="153"/>
      <c r="J160" s="154"/>
      <c r="K160" s="155"/>
      <c r="L160" s="153"/>
      <c r="M160" s="155"/>
      <c r="N160" s="154"/>
    </row>
    <row r="161" spans="1:14" ht="18" customHeight="1" x14ac:dyDescent="0.3">
      <c r="A161" s="156"/>
      <c r="B161" s="157"/>
      <c r="C161" s="158"/>
      <c r="D161" s="159"/>
      <c r="E161" s="159"/>
      <c r="F161" s="158"/>
      <c r="G161" s="151"/>
      <c r="H161" s="156"/>
      <c r="I161" s="157"/>
      <c r="J161" s="158"/>
      <c r="K161" s="159"/>
      <c r="L161" s="157"/>
      <c r="M161" s="159"/>
      <c r="N161" s="158"/>
    </row>
    <row r="162" spans="1:14" ht="18" customHeight="1" x14ac:dyDescent="0.3">
      <c r="A162" s="152"/>
      <c r="B162" s="153"/>
      <c r="C162" s="154"/>
      <c r="D162" s="155"/>
      <c r="E162" s="155"/>
      <c r="F162" s="154"/>
      <c r="G162" s="151"/>
      <c r="H162" s="152"/>
      <c r="I162" s="153"/>
      <c r="J162" s="154"/>
      <c r="K162" s="155"/>
      <c r="L162" s="153"/>
      <c r="M162" s="155"/>
      <c r="N162" s="154"/>
    </row>
    <row r="163" spans="1:14" ht="18" customHeight="1" x14ac:dyDescent="0.3">
      <c r="A163" s="156"/>
      <c r="B163" s="157"/>
      <c r="C163" s="158"/>
      <c r="D163" s="159"/>
      <c r="E163" s="159"/>
      <c r="F163" s="158"/>
      <c r="G163" s="151"/>
      <c r="H163" s="156"/>
      <c r="I163" s="157"/>
      <c r="J163" s="158"/>
      <c r="K163" s="159"/>
      <c r="L163" s="157"/>
      <c r="M163" s="159"/>
      <c r="N163" s="158"/>
    </row>
    <row r="164" spans="1:14" ht="18" customHeight="1" x14ac:dyDescent="0.3">
      <c r="A164" s="152"/>
      <c r="B164" s="153"/>
      <c r="C164" s="154"/>
      <c r="D164" s="155"/>
      <c r="E164" s="155"/>
      <c r="F164" s="154"/>
      <c r="G164" s="151"/>
      <c r="H164" s="152"/>
      <c r="I164" s="153"/>
      <c r="J164" s="154"/>
      <c r="K164" s="155"/>
      <c r="L164" s="153"/>
      <c r="M164" s="155"/>
      <c r="N164" s="154"/>
    </row>
    <row r="165" spans="1:14" ht="18" customHeight="1" x14ac:dyDescent="0.3">
      <c r="A165" s="156"/>
      <c r="B165" s="157"/>
      <c r="C165" s="158"/>
      <c r="D165" s="159"/>
      <c r="E165" s="159"/>
      <c r="F165" s="158"/>
      <c r="G165" s="151"/>
      <c r="H165" s="156"/>
      <c r="I165" s="157"/>
      <c r="J165" s="158"/>
      <c r="K165" s="159"/>
      <c r="L165" s="157"/>
      <c r="M165" s="159"/>
      <c r="N165" s="158"/>
    </row>
    <row r="166" spans="1:14" ht="18" customHeight="1" x14ac:dyDescent="0.3">
      <c r="A166" s="152"/>
      <c r="B166" s="153"/>
      <c r="C166" s="154"/>
      <c r="D166" s="155"/>
      <c r="E166" s="155"/>
      <c r="F166" s="154"/>
      <c r="G166" s="151"/>
      <c r="H166" s="152"/>
      <c r="I166" s="153"/>
      <c r="J166" s="154"/>
      <c r="K166" s="155"/>
      <c r="L166" s="153"/>
      <c r="M166" s="155"/>
      <c r="N166" s="154"/>
    </row>
    <row r="167" spans="1:14" ht="18" customHeight="1" x14ac:dyDescent="0.3">
      <c r="A167" s="156"/>
      <c r="B167" s="157"/>
      <c r="C167" s="158"/>
      <c r="D167" s="159"/>
      <c r="E167" s="159"/>
      <c r="F167" s="158"/>
      <c r="G167" s="151"/>
      <c r="H167" s="156"/>
      <c r="I167" s="157"/>
      <c r="J167" s="158"/>
      <c r="K167" s="159"/>
      <c r="L167" s="157"/>
      <c r="M167" s="159"/>
      <c r="N167" s="158"/>
    </row>
    <row r="168" spans="1:14" ht="18" customHeight="1" x14ac:dyDescent="0.3">
      <c r="A168" s="152"/>
      <c r="B168" s="153"/>
      <c r="C168" s="154"/>
      <c r="D168" s="155"/>
      <c r="E168" s="155"/>
      <c r="F168" s="154"/>
      <c r="G168" s="151"/>
      <c r="H168" s="152"/>
      <c r="I168" s="153"/>
      <c r="J168" s="154"/>
      <c r="K168" s="155"/>
      <c r="L168" s="153"/>
      <c r="M168" s="155"/>
      <c r="N168" s="154"/>
    </row>
    <row r="169" spans="1:14" ht="18" customHeight="1" x14ac:dyDescent="0.3">
      <c r="A169" s="156"/>
      <c r="B169" s="157"/>
      <c r="C169" s="158"/>
      <c r="D169" s="159"/>
      <c r="E169" s="159"/>
      <c r="F169" s="158"/>
      <c r="G169" s="151"/>
      <c r="H169" s="156"/>
      <c r="I169" s="157"/>
      <c r="J169" s="158"/>
      <c r="K169" s="159"/>
      <c r="L169" s="157"/>
      <c r="M169" s="159"/>
      <c r="N169" s="158"/>
    </row>
    <row r="170" spans="1:14" ht="18" customHeight="1" x14ac:dyDescent="0.3">
      <c r="A170" s="152"/>
      <c r="B170" s="153"/>
      <c r="C170" s="154"/>
      <c r="D170" s="155"/>
      <c r="E170" s="155"/>
      <c r="F170" s="154"/>
      <c r="G170" s="151"/>
      <c r="H170" s="152"/>
      <c r="I170" s="153"/>
      <c r="J170" s="154"/>
      <c r="K170" s="155"/>
      <c r="L170" s="153"/>
      <c r="M170" s="155"/>
      <c r="N170" s="154"/>
    </row>
    <row r="171" spans="1:14" ht="18" customHeight="1" x14ac:dyDescent="0.3">
      <c r="A171" s="156"/>
      <c r="B171" s="157"/>
      <c r="C171" s="158"/>
      <c r="D171" s="159"/>
      <c r="E171" s="159"/>
      <c r="F171" s="158"/>
      <c r="G171" s="151"/>
      <c r="H171" s="156"/>
      <c r="I171" s="157"/>
      <c r="J171" s="158"/>
      <c r="K171" s="159"/>
      <c r="L171" s="157"/>
      <c r="M171" s="159"/>
      <c r="N171" s="158"/>
    </row>
    <row r="172" spans="1:14" ht="18" customHeight="1" x14ac:dyDescent="0.3">
      <c r="A172" s="152"/>
      <c r="B172" s="153"/>
      <c r="C172" s="154"/>
      <c r="D172" s="155"/>
      <c r="E172" s="155"/>
      <c r="F172" s="154"/>
      <c r="G172" s="151"/>
      <c r="H172" s="152"/>
      <c r="I172" s="153"/>
      <c r="J172" s="154"/>
      <c r="K172" s="155"/>
      <c r="L172" s="153"/>
      <c r="M172" s="155"/>
      <c r="N172" s="154"/>
    </row>
    <row r="173" spans="1:14" ht="18" customHeight="1" x14ac:dyDescent="0.3">
      <c r="A173" s="156"/>
      <c r="B173" s="157"/>
      <c r="C173" s="158"/>
      <c r="D173" s="159"/>
      <c r="E173" s="159"/>
      <c r="F173" s="158"/>
      <c r="G173" s="151"/>
      <c r="H173" s="156"/>
      <c r="I173" s="157"/>
      <c r="J173" s="158"/>
      <c r="K173" s="159"/>
      <c r="L173" s="157"/>
      <c r="M173" s="159"/>
      <c r="N173" s="158"/>
    </row>
    <row r="174" spans="1:14" ht="18" customHeight="1" x14ac:dyDescent="0.3">
      <c r="A174" s="152"/>
      <c r="B174" s="153"/>
      <c r="C174" s="154"/>
      <c r="D174" s="155"/>
      <c r="E174" s="155"/>
      <c r="F174" s="154"/>
      <c r="G174" s="151"/>
      <c r="H174" s="152"/>
      <c r="I174" s="153"/>
      <c r="J174" s="154"/>
      <c r="K174" s="155"/>
      <c r="L174" s="153"/>
      <c r="M174" s="155"/>
      <c r="N174" s="154"/>
    </row>
    <row r="175" spans="1:14" ht="18" customHeight="1" x14ac:dyDescent="0.3">
      <c r="A175" s="156"/>
      <c r="B175" s="157"/>
      <c r="C175" s="158"/>
      <c r="D175" s="159"/>
      <c r="E175" s="159"/>
      <c r="F175" s="158"/>
      <c r="G175" s="151"/>
      <c r="H175" s="156"/>
      <c r="I175" s="157"/>
      <c r="J175" s="158"/>
      <c r="K175" s="159"/>
      <c r="L175" s="157"/>
      <c r="M175" s="159"/>
      <c r="N175" s="158"/>
    </row>
    <row r="176" spans="1:14" ht="18" customHeight="1" x14ac:dyDescent="0.3">
      <c r="A176" s="152"/>
      <c r="B176" s="153"/>
      <c r="C176" s="154"/>
      <c r="D176" s="155"/>
      <c r="E176" s="155"/>
      <c r="F176" s="154"/>
      <c r="G176" s="151"/>
      <c r="H176" s="152"/>
      <c r="I176" s="153"/>
      <c r="J176" s="154"/>
      <c r="K176" s="155"/>
      <c r="L176" s="153"/>
      <c r="M176" s="155"/>
      <c r="N176" s="154"/>
    </row>
    <row r="177" spans="1:14" ht="18" customHeight="1" x14ac:dyDescent="0.3">
      <c r="A177" s="156"/>
      <c r="B177" s="157"/>
      <c r="C177" s="158"/>
      <c r="D177" s="159"/>
      <c r="E177" s="159"/>
      <c r="F177" s="158"/>
      <c r="G177" s="151"/>
      <c r="H177" s="156"/>
      <c r="I177" s="157"/>
      <c r="J177" s="158"/>
      <c r="K177" s="159"/>
      <c r="L177" s="157"/>
      <c r="M177" s="159"/>
      <c r="N177" s="158"/>
    </row>
    <row r="178" spans="1:14" ht="18" customHeight="1" x14ac:dyDescent="0.3">
      <c r="A178" s="152"/>
      <c r="B178" s="153"/>
      <c r="C178" s="154"/>
      <c r="D178" s="155"/>
      <c r="E178" s="155"/>
      <c r="F178" s="154"/>
      <c r="G178" s="151"/>
      <c r="H178" s="152"/>
      <c r="I178" s="153"/>
      <c r="J178" s="154"/>
      <c r="K178" s="155"/>
      <c r="L178" s="153"/>
      <c r="M178" s="155"/>
      <c r="N178" s="154"/>
    </row>
    <row r="179" spans="1:14" ht="18" customHeight="1" x14ac:dyDescent="0.3">
      <c r="A179" s="156"/>
      <c r="B179" s="157"/>
      <c r="C179" s="158"/>
      <c r="D179" s="159"/>
      <c r="E179" s="159"/>
      <c r="F179" s="158"/>
      <c r="G179" s="151"/>
      <c r="H179" s="156"/>
      <c r="I179" s="157"/>
      <c r="J179" s="158"/>
      <c r="K179" s="159"/>
      <c r="L179" s="157"/>
      <c r="M179" s="159"/>
      <c r="N179" s="158"/>
    </row>
    <row r="180" spans="1:14" ht="18" customHeight="1" x14ac:dyDescent="0.3">
      <c r="A180" s="152"/>
      <c r="B180" s="153"/>
      <c r="C180" s="154"/>
      <c r="D180" s="155"/>
      <c r="E180" s="155"/>
      <c r="F180" s="154"/>
      <c r="G180" s="151"/>
      <c r="H180" s="152"/>
      <c r="I180" s="153"/>
      <c r="J180" s="154"/>
      <c r="K180" s="155"/>
      <c r="L180" s="153"/>
      <c r="M180" s="155"/>
      <c r="N180" s="154"/>
    </row>
    <row r="181" spans="1:14" ht="18" customHeight="1" x14ac:dyDescent="0.3">
      <c r="A181" s="156"/>
      <c r="B181" s="157"/>
      <c r="C181" s="158"/>
      <c r="D181" s="159"/>
      <c r="E181" s="159"/>
      <c r="F181" s="158"/>
      <c r="G181" s="151"/>
      <c r="H181" s="156"/>
      <c r="I181" s="157"/>
      <c r="J181" s="158"/>
      <c r="K181" s="159"/>
      <c r="L181" s="157"/>
      <c r="M181" s="159"/>
      <c r="N181" s="158"/>
    </row>
    <row r="182" spans="1:14" ht="18" customHeight="1" x14ac:dyDescent="0.3">
      <c r="A182" s="152"/>
      <c r="B182" s="153"/>
      <c r="C182" s="154"/>
      <c r="D182" s="155"/>
      <c r="E182" s="155"/>
      <c r="F182" s="154"/>
      <c r="G182" s="151"/>
      <c r="H182" s="152"/>
      <c r="I182" s="153"/>
      <c r="J182" s="154"/>
      <c r="K182" s="155"/>
      <c r="L182" s="153"/>
      <c r="M182" s="155"/>
      <c r="N182" s="154"/>
    </row>
    <row r="183" spans="1:14" ht="18" customHeight="1" x14ac:dyDescent="0.3">
      <c r="A183" s="156"/>
      <c r="B183" s="157"/>
      <c r="C183" s="158"/>
      <c r="D183" s="159"/>
      <c r="E183" s="159"/>
      <c r="F183" s="158"/>
      <c r="G183" s="151"/>
      <c r="H183" s="156"/>
      <c r="I183" s="157"/>
      <c r="J183" s="158"/>
      <c r="K183" s="159"/>
      <c r="L183" s="157"/>
      <c r="M183" s="159"/>
      <c r="N183" s="158"/>
    </row>
    <row r="184" spans="1:14" ht="18" customHeight="1" x14ac:dyDescent="0.3">
      <c r="A184" s="152"/>
      <c r="B184" s="153"/>
      <c r="C184" s="154"/>
      <c r="D184" s="155"/>
      <c r="E184" s="155"/>
      <c r="F184" s="154"/>
      <c r="G184" s="151"/>
      <c r="H184" s="152"/>
      <c r="I184" s="153"/>
      <c r="J184" s="154"/>
      <c r="K184" s="155"/>
      <c r="L184" s="153"/>
      <c r="M184" s="155"/>
      <c r="N184" s="154"/>
    </row>
    <row r="185" spans="1:14" ht="18" customHeight="1" x14ac:dyDescent="0.3">
      <c r="A185" s="156"/>
      <c r="B185" s="157"/>
      <c r="C185" s="158"/>
      <c r="D185" s="159"/>
      <c r="E185" s="159"/>
      <c r="F185" s="158"/>
      <c r="G185" s="151"/>
      <c r="H185" s="156"/>
      <c r="I185" s="157"/>
      <c r="J185" s="158"/>
      <c r="K185" s="159"/>
      <c r="L185" s="157"/>
      <c r="M185" s="159"/>
      <c r="N185" s="158"/>
    </row>
    <row r="186" spans="1:14" ht="18" customHeight="1" x14ac:dyDescent="0.3">
      <c r="A186" s="152"/>
      <c r="B186" s="153"/>
      <c r="C186" s="154"/>
      <c r="D186" s="155"/>
      <c r="E186" s="155"/>
      <c r="F186" s="154"/>
      <c r="G186" s="151"/>
      <c r="H186" s="152"/>
      <c r="I186" s="153"/>
      <c r="J186" s="154"/>
      <c r="K186" s="155"/>
      <c r="L186" s="153"/>
      <c r="M186" s="155"/>
      <c r="N186" s="154"/>
    </row>
    <row r="187" spans="1:14" ht="18" customHeight="1" x14ac:dyDescent="0.3">
      <c r="A187" s="156"/>
      <c r="B187" s="157"/>
      <c r="C187" s="158"/>
      <c r="D187" s="159"/>
      <c r="E187" s="159"/>
      <c r="F187" s="158"/>
      <c r="G187" s="151"/>
      <c r="H187" s="156"/>
      <c r="I187" s="157"/>
      <c r="J187" s="158"/>
      <c r="K187" s="159"/>
      <c r="L187" s="157"/>
      <c r="M187" s="159"/>
      <c r="N187" s="158"/>
    </row>
    <row r="188" spans="1:14" ht="18" customHeight="1" x14ac:dyDescent="0.3">
      <c r="A188" s="152"/>
      <c r="B188" s="153"/>
      <c r="C188" s="154"/>
      <c r="D188" s="155"/>
      <c r="E188" s="155"/>
      <c r="F188" s="154"/>
      <c r="G188" s="151"/>
      <c r="H188" s="152"/>
      <c r="I188" s="153"/>
      <c r="J188" s="154"/>
      <c r="K188" s="155"/>
      <c r="L188" s="153"/>
      <c r="M188" s="155"/>
      <c r="N188" s="154"/>
    </row>
    <row r="189" spans="1:14" ht="18" customHeight="1" x14ac:dyDescent="0.3">
      <c r="A189" s="156"/>
      <c r="B189" s="157"/>
      <c r="C189" s="158"/>
      <c r="D189" s="159"/>
      <c r="E189" s="159"/>
      <c r="F189" s="158"/>
      <c r="G189" s="151"/>
      <c r="H189" s="156"/>
      <c r="I189" s="157"/>
      <c r="J189" s="158"/>
      <c r="K189" s="159"/>
      <c r="L189" s="157"/>
      <c r="M189" s="159"/>
      <c r="N189" s="158"/>
    </row>
    <row r="190" spans="1:14" ht="18" customHeight="1" x14ac:dyDescent="0.3">
      <c r="A190" s="152"/>
      <c r="B190" s="153"/>
      <c r="C190" s="154"/>
      <c r="D190" s="155"/>
      <c r="E190" s="155"/>
      <c r="F190" s="154"/>
      <c r="G190" s="151"/>
      <c r="H190" s="152"/>
      <c r="I190" s="153"/>
      <c r="J190" s="154"/>
      <c r="K190" s="155"/>
      <c r="L190" s="153"/>
      <c r="M190" s="155"/>
      <c r="N190" s="154"/>
    </row>
    <row r="191" spans="1:14" ht="18" customHeight="1" x14ac:dyDescent="0.3">
      <c r="A191" s="156"/>
      <c r="B191" s="157"/>
      <c r="C191" s="158"/>
      <c r="D191" s="159"/>
      <c r="E191" s="159"/>
      <c r="F191" s="158"/>
      <c r="G191" s="151"/>
      <c r="H191" s="156"/>
      <c r="I191" s="157"/>
      <c r="J191" s="158"/>
      <c r="K191" s="159"/>
      <c r="L191" s="157"/>
      <c r="M191" s="159"/>
      <c r="N191" s="158"/>
    </row>
    <row r="192" spans="1:14" ht="18" customHeight="1" x14ac:dyDescent="0.3">
      <c r="A192" s="152"/>
      <c r="B192" s="153"/>
      <c r="C192" s="154"/>
      <c r="D192" s="155"/>
      <c r="E192" s="155"/>
      <c r="F192" s="154"/>
      <c r="G192" s="151"/>
      <c r="H192" s="152"/>
      <c r="I192" s="153"/>
      <c r="J192" s="154"/>
      <c r="K192" s="155"/>
      <c r="L192" s="153"/>
      <c r="M192" s="155"/>
      <c r="N192" s="154"/>
    </row>
    <row r="193" spans="1:14" ht="18" customHeight="1" x14ac:dyDescent="0.3">
      <c r="A193" s="156"/>
      <c r="B193" s="157"/>
      <c r="C193" s="158"/>
      <c r="D193" s="159"/>
      <c r="E193" s="159"/>
      <c r="F193" s="158"/>
      <c r="G193" s="151"/>
      <c r="H193" s="156"/>
      <c r="I193" s="157"/>
      <c r="J193" s="158"/>
      <c r="K193" s="159"/>
      <c r="L193" s="157"/>
      <c r="M193" s="159"/>
      <c r="N193" s="158"/>
    </row>
    <row r="194" spans="1:14" ht="18" customHeight="1" x14ac:dyDescent="0.3">
      <c r="A194" s="152"/>
      <c r="B194" s="153"/>
      <c r="C194" s="154"/>
      <c r="D194" s="155"/>
      <c r="E194" s="155"/>
      <c r="F194" s="154"/>
      <c r="G194" s="151"/>
      <c r="H194" s="152"/>
      <c r="I194" s="153"/>
      <c r="J194" s="154"/>
      <c r="K194" s="155"/>
      <c r="L194" s="153"/>
      <c r="M194" s="155"/>
      <c r="N194" s="154"/>
    </row>
    <row r="195" spans="1:14" ht="18" customHeight="1" x14ac:dyDescent="0.3">
      <c r="A195" s="156"/>
      <c r="B195" s="157"/>
      <c r="C195" s="158"/>
      <c r="D195" s="159"/>
      <c r="E195" s="159"/>
      <c r="F195" s="158"/>
      <c r="G195" s="151"/>
      <c r="H195" s="156"/>
      <c r="I195" s="157"/>
      <c r="J195" s="158"/>
      <c r="K195" s="159"/>
      <c r="L195" s="157"/>
      <c r="M195" s="159"/>
      <c r="N195" s="158"/>
    </row>
    <row r="196" spans="1:14" ht="18" customHeight="1" x14ac:dyDescent="0.3">
      <c r="A196" s="152"/>
      <c r="B196" s="153"/>
      <c r="C196" s="154"/>
      <c r="D196" s="155"/>
      <c r="E196" s="155"/>
      <c r="F196" s="154"/>
      <c r="G196" s="151"/>
      <c r="H196" s="152"/>
      <c r="I196" s="153"/>
      <c r="J196" s="154"/>
      <c r="K196" s="155"/>
      <c r="L196" s="153"/>
      <c r="M196" s="155"/>
      <c r="N196" s="154"/>
    </row>
    <row r="197" spans="1:14" ht="18" customHeight="1" x14ac:dyDescent="0.3">
      <c r="A197" s="156"/>
      <c r="B197" s="157"/>
      <c r="C197" s="158"/>
      <c r="D197" s="159"/>
      <c r="E197" s="159"/>
      <c r="F197" s="158"/>
      <c r="G197" s="151"/>
      <c r="H197" s="156"/>
      <c r="I197" s="157"/>
      <c r="J197" s="158"/>
      <c r="K197" s="159"/>
      <c r="L197" s="157"/>
      <c r="M197" s="159"/>
      <c r="N197" s="158"/>
    </row>
    <row r="198" spans="1:14" ht="18" customHeight="1" x14ac:dyDescent="0.3">
      <c r="A198" s="152"/>
      <c r="B198" s="153"/>
      <c r="C198" s="154"/>
      <c r="D198" s="155"/>
      <c r="E198" s="155"/>
      <c r="F198" s="154"/>
      <c r="G198" s="151"/>
      <c r="H198" s="152"/>
      <c r="I198" s="153"/>
      <c r="J198" s="154"/>
      <c r="K198" s="155"/>
      <c r="L198" s="153"/>
      <c r="M198" s="155"/>
      <c r="N198" s="154"/>
    </row>
    <row r="199" spans="1:14" ht="18" customHeight="1" x14ac:dyDescent="0.3">
      <c r="A199" s="156"/>
      <c r="B199" s="157"/>
      <c r="C199" s="158"/>
      <c r="D199" s="159"/>
      <c r="E199" s="159"/>
      <c r="F199" s="158"/>
      <c r="G199" s="151"/>
      <c r="H199" s="156"/>
      <c r="I199" s="157"/>
      <c r="J199" s="158"/>
      <c r="K199" s="159"/>
      <c r="L199" s="157"/>
      <c r="M199" s="159"/>
      <c r="N199" s="158"/>
    </row>
    <row r="200" spans="1:14" ht="18" customHeight="1" x14ac:dyDescent="0.3">
      <c r="A200" s="152"/>
      <c r="B200" s="153"/>
      <c r="C200" s="154"/>
      <c r="D200" s="155"/>
      <c r="E200" s="155"/>
      <c r="F200" s="154"/>
      <c r="G200" s="151"/>
      <c r="H200" s="152"/>
      <c r="I200" s="153"/>
      <c r="J200" s="154"/>
      <c r="K200" s="155"/>
      <c r="L200" s="153"/>
      <c r="M200" s="155"/>
      <c r="N200" s="154"/>
    </row>
    <row r="201" spans="1:14" ht="18" customHeight="1" x14ac:dyDescent="0.3">
      <c r="A201" s="156"/>
      <c r="B201" s="157"/>
      <c r="C201" s="158"/>
      <c r="D201" s="159"/>
      <c r="E201" s="159"/>
      <c r="F201" s="158"/>
      <c r="G201" s="151"/>
      <c r="H201" s="156"/>
      <c r="I201" s="157"/>
      <c r="J201" s="158"/>
      <c r="K201" s="159"/>
      <c r="L201" s="157"/>
      <c r="M201" s="159"/>
      <c r="N201" s="158"/>
    </row>
    <row r="202" spans="1:14" ht="18" customHeight="1" x14ac:dyDescent="0.3">
      <c r="A202" s="152"/>
      <c r="B202" s="153"/>
      <c r="C202" s="154"/>
      <c r="D202" s="155"/>
      <c r="E202" s="155"/>
      <c r="F202" s="154"/>
      <c r="G202" s="151"/>
      <c r="H202" s="152"/>
      <c r="I202" s="153"/>
      <c r="J202" s="154"/>
      <c r="K202" s="155"/>
      <c r="L202" s="153"/>
      <c r="M202" s="155"/>
      <c r="N202" s="154"/>
    </row>
    <row r="203" spans="1:14" ht="18" customHeight="1" x14ac:dyDescent="0.3">
      <c r="A203" s="156"/>
      <c r="B203" s="157"/>
      <c r="C203" s="158"/>
      <c r="D203" s="159"/>
      <c r="E203" s="159"/>
      <c r="F203" s="158"/>
      <c r="G203" s="151"/>
      <c r="H203" s="156"/>
      <c r="I203" s="157"/>
      <c r="J203" s="158"/>
      <c r="K203" s="159"/>
      <c r="L203" s="157"/>
      <c r="M203" s="159"/>
      <c r="N203" s="158"/>
    </row>
    <row r="204" spans="1:14" ht="18" customHeight="1" x14ac:dyDescent="0.3">
      <c r="A204" s="152"/>
      <c r="B204" s="153"/>
      <c r="C204" s="154"/>
      <c r="D204" s="155"/>
      <c r="E204" s="155"/>
      <c r="F204" s="154"/>
      <c r="G204" s="151"/>
      <c r="H204" s="152"/>
      <c r="I204" s="153"/>
      <c r="J204" s="154"/>
      <c r="K204" s="155"/>
      <c r="L204" s="153"/>
      <c r="M204" s="155"/>
      <c r="N204" s="154"/>
    </row>
    <row r="205" spans="1:14" ht="18" customHeight="1" x14ac:dyDescent="0.3">
      <c r="A205" s="156"/>
      <c r="B205" s="157"/>
      <c r="C205" s="158"/>
      <c r="D205" s="159"/>
      <c r="E205" s="159"/>
      <c r="F205" s="158"/>
      <c r="G205" s="151"/>
      <c r="H205" s="156"/>
      <c r="I205" s="157"/>
      <c r="J205" s="158"/>
      <c r="K205" s="159"/>
      <c r="L205" s="157"/>
      <c r="M205" s="159"/>
      <c r="N205" s="158"/>
    </row>
  </sheetData>
  <sheetProtection sheet="1" objects="1" scenarios="1" sort="0" autoFilter="0"/>
  <mergeCells count="2">
    <mergeCell ref="A4:F4"/>
    <mergeCell ref="H4:N4"/>
  </mergeCells>
  <dataValidations count="3">
    <dataValidation type="list" allowBlank="1" showInputMessage="1" showErrorMessage="1" promptTitle="Pick one" prompt="Breakfast, Lunch, Dinner, Snack or Drink" sqref="B6:B205" xr:uid="{FED34691-868D-4708-A416-D73FB99945D2}">
      <formula1>"Breakfast,Lunch,Dinner,Snack,Drink"</formula1>
    </dataValidation>
    <dataValidation type="list" allowBlank="1" showInputMessage="1" showErrorMessage="1" promptTitle="Pick one" prompt="Type of session" sqref="I6:I205" xr:uid="{A67D9130-3CB0-4FB8-9337-F7CA0D77A936}">
      <formula1>"Cardio,Strength,Walk,Sport,Mobility,Other"</formula1>
    </dataValidation>
    <dataValidation type="list" allowBlank="1" showInputMessage="1" showErrorMessage="1" promptTitle="Pick one" prompt="How hard it felt" sqref="L6:L205" xr:uid="{F6EB7235-A748-4244-A52E-89E6D5BFBFA6}">
      <formula1>"Low,Moderate,High"</formula1>
    </dataValidation>
  </dataValidations>
  <pageMargins left="0.7" right="0.7" top="0.75" bottom="0.75" header="0.3" footer="0.3"/>
  <pageSetup paperSize="9" scale="50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91B2"/>
    <pageSetUpPr fitToPage="1"/>
  </sheetPr>
  <dimension ref="A1:U109"/>
  <sheetViews>
    <sheetView showGridLines="0" zoomScaleNormal="100" workbookViewId="0">
      <pane ySplit="5" topLeftCell="A45" activePane="bottomLeft" state="frozen"/>
      <selection pane="bottomLeft" activeCell="U1" sqref="U1:U1048576"/>
    </sheetView>
  </sheetViews>
  <sheetFormatPr defaultColWidth="8.6640625" defaultRowHeight="14.4" outlineLevelCol="2" x14ac:dyDescent="0.3"/>
  <cols>
    <col min="1" max="1" width="7" style="3" customWidth="1"/>
    <col min="2" max="3" width="11" style="3" customWidth="1"/>
    <col min="4" max="4" width="12" style="3" customWidth="1"/>
    <col min="5" max="5" width="11" style="3" customWidth="1"/>
    <col min="6" max="6" width="10" style="3" customWidth="1"/>
    <col min="7" max="7" width="12" style="3" customWidth="1"/>
    <col min="8" max="9" width="11" style="3" customWidth="1"/>
    <col min="10" max="11" width="10" style="3" customWidth="1"/>
    <col min="12" max="12" width="12" style="3" customWidth="1"/>
    <col min="13" max="13" width="13" style="3" customWidth="1"/>
    <col min="14" max="14" width="12" style="3" customWidth="1"/>
    <col min="15" max="15" width="8.6640625" style="3"/>
    <col min="16" max="16" width="22" style="3" customWidth="1"/>
    <col min="17" max="17" width="12" style="3" customWidth="1"/>
    <col min="18" max="18" width="13" style="3" hidden="1" customWidth="1" outlineLevel="2"/>
    <col min="19" max="19" width="0" style="3" hidden="1" customWidth="1" outlineLevel="1" collapsed="1"/>
    <col min="20" max="20" width="0" style="3" hidden="1" customWidth="1" outlineLevel="1"/>
    <col min="21" max="21" width="8.6640625" style="3" collapsed="1"/>
    <col min="22" max="16384" width="8.6640625" style="3"/>
  </cols>
  <sheetData>
    <row r="1" spans="1:20" ht="31.95" customHeight="1" x14ac:dyDescent="0.3">
      <c r="A1" s="106" t="s">
        <v>80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</row>
    <row r="2" spans="1:20" ht="18" customHeight="1" x14ac:dyDescent="0.3">
      <c r="A2" s="23" t="s">
        <v>81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R2" s="3">
        <f>COUNT(D6:D57)</f>
        <v>1</v>
      </c>
    </row>
    <row r="3" spans="1:20" ht="6" customHeight="1" x14ac:dyDescent="0.3"/>
    <row r="4" spans="1:20" ht="7.95" customHeight="1" x14ac:dyDescent="0.3"/>
    <row r="5" spans="1:20" ht="28.05" customHeight="1" x14ac:dyDescent="0.3">
      <c r="A5" s="122" t="s">
        <v>82</v>
      </c>
      <c r="B5" s="122" t="s">
        <v>83</v>
      </c>
      <c r="C5" s="122" t="s">
        <v>84</v>
      </c>
      <c r="D5" s="122" t="s">
        <v>85</v>
      </c>
      <c r="E5" s="122" t="s">
        <v>86</v>
      </c>
      <c r="F5" s="122" t="s">
        <v>87</v>
      </c>
      <c r="G5" s="122" t="s">
        <v>88</v>
      </c>
      <c r="H5" s="122" t="s">
        <v>89</v>
      </c>
      <c r="I5" s="122" t="s">
        <v>90</v>
      </c>
      <c r="J5" s="122" t="s">
        <v>91</v>
      </c>
      <c r="K5" s="122" t="s">
        <v>92</v>
      </c>
      <c r="L5" s="122" t="s">
        <v>75</v>
      </c>
      <c r="M5" s="122" t="s">
        <v>93</v>
      </c>
      <c r="N5" s="122" t="s">
        <v>94</v>
      </c>
      <c r="P5" s="160" t="s">
        <v>95</v>
      </c>
      <c r="Q5" s="160"/>
      <c r="R5" s="160"/>
      <c r="S5" s="3" t="s">
        <v>164</v>
      </c>
      <c r="T5" s="3" t="s">
        <v>165</v>
      </c>
    </row>
    <row r="6" spans="1:20" ht="18" customHeight="1" x14ac:dyDescent="0.3">
      <c r="A6" s="130">
        <v>1</v>
      </c>
      <c r="B6" s="161">
        <f>Settings!$B$4+(A6-1)*7</f>
        <v>46278</v>
      </c>
      <c r="C6" s="161">
        <f>B6+6</f>
        <v>46284</v>
      </c>
      <c r="D6" s="125">
        <f>IF(N6=0,"",AVERAGEIFS('Daily Tracking'!$B$6:$B$735,'Daily Tracking'!$A$6:$A$735,"&gt;="&amp;B6,'Daily Tracking'!$A$6:$A$735,"&lt;="&amp;C6))</f>
        <v>157</v>
      </c>
      <c r="E6" s="162">
        <f>IF(OR(D6="",Settings!$B$5=""),"",Settings!$B$5-D6)</f>
        <v>0</v>
      </c>
      <c r="F6" s="163">
        <f>IF(E6="","",E6/Settings!$B$5)</f>
        <v>0</v>
      </c>
      <c r="G6" s="128" t="str">
        <f>IFERROR(AVERAGEIFS('Daily Tracking'!$E$6:$E$735,'Daily Tracking'!$A$6:$A$735,"&gt;="&amp;B6,'Daily Tracking'!$A$6:$A$735,"&lt;="&amp;C6),"")</f>
        <v/>
      </c>
      <c r="H6" s="129" t="str">
        <f>IFERROR(AVERAGEIFS('Daily Tracking'!$F$6:$F$735,'Daily Tracking'!$A$6:$A$735,"&gt;="&amp;B6,'Daily Tracking'!$A$6:$A$735,"&lt;="&amp;C6),"")</f>
        <v/>
      </c>
      <c r="I6" s="128" t="str">
        <f>IFERROR(AVERAGEIFS('Daily Tracking'!$H$6:$H$735,'Daily Tracking'!$A$6:$A$735,"&gt;="&amp;B6,'Daily Tracking'!$A$6:$A$735,"&lt;="&amp;C6),"")</f>
        <v/>
      </c>
      <c r="J6" s="125" t="str">
        <f>IFERROR(AVERAGEIFS('Daily Tracking'!$K$6:$K$735,'Daily Tracking'!$A$6:$A$735,"&gt;="&amp;B6,'Daily Tracking'!$A$6:$A$735,"&lt;="&amp;C6),"")</f>
        <v/>
      </c>
      <c r="K6" s="125" t="str">
        <f>IFERROR(AVERAGEIFS('Daily Tracking'!$G$6:$G$735,'Daily Tracking'!$A$6:$A$735,"&gt;="&amp;B6,'Daily Tracking'!$A$6:$A$735,"&lt;="&amp;C6),"")</f>
        <v/>
      </c>
      <c r="L6" s="129">
        <f>IF(N6=0,"",SUMIFS('Daily Tracking'!$I$6:$I$735,'Daily Tracking'!$A$6:$A$735,"&gt;="&amp;B6,'Daily Tracking'!$A$6:$A$735,"&lt;="&amp;C6))</f>
        <v>0</v>
      </c>
      <c r="M6" s="129">
        <f>IF(N6=0,"",COUNTIFS('Daily Tracking'!$A$6:$A$735,"&gt;="&amp;B6,'Daily Tracking'!$A$6:$A$735,"&lt;="&amp;C6,'Daily Tracking'!$J$6:$J$735,"Yes"))</f>
        <v>0</v>
      </c>
      <c r="N6" s="130">
        <f>COUNTIFS('Daily Tracking'!$A$6:$A$735,"&gt;="&amp;B6,'Daily Tracking'!$A$6:$A$735,"&lt;="&amp;C6,'Daily Tracking'!$B$6:$B$735,"&lt;&gt;")</f>
        <v>1</v>
      </c>
      <c r="P6" s="164" t="s">
        <v>96</v>
      </c>
      <c r="Q6" s="165" t="str">
        <f>IFERROR("Week "&amp;INDEX($A$6:$A$109,MATCH(MAX($E$6:$E$109),$E$6:$E$109,0))&amp;"  ("&amp;FIXED(MAX($E$6:$E$109),2)&amp;" kg)","-")</f>
        <v>Week 1  (0,00 kg)</v>
      </c>
      <c r="R6" s="165"/>
      <c r="S6" s="3">
        <f>IF($E6="",NA(),$E6)</f>
        <v>0</v>
      </c>
      <c r="T6" s="3">
        <f>IF($D6="",NA(),$D6)</f>
        <v>157</v>
      </c>
    </row>
    <row r="7" spans="1:20" ht="18" customHeight="1" x14ac:dyDescent="0.3">
      <c r="A7" s="136">
        <f>A6+1</f>
        <v>2</v>
      </c>
      <c r="B7" s="166">
        <f>Settings!$B$4+(A7-1)*7</f>
        <v>46285</v>
      </c>
      <c r="C7" s="166">
        <f>B7+6</f>
        <v>46291</v>
      </c>
      <c r="D7" s="133" t="str">
        <f>IF(N7=0,"",AVERAGEIFS('Daily Tracking'!$B$6:$B$735,'Daily Tracking'!$A$6:$A$735,"&gt;="&amp;B7,'Daily Tracking'!$A$6:$A$735,"&lt;="&amp;C7))</f>
        <v/>
      </c>
      <c r="E7" s="167" t="str">
        <f>IF(OR(D7="",D6=""),"",D6-D7)</f>
        <v/>
      </c>
      <c r="F7" s="168" t="str">
        <f>IF(E7="","",E7/D6)</f>
        <v/>
      </c>
      <c r="G7" s="134" t="str">
        <f>IFERROR(AVERAGEIFS('Daily Tracking'!$E$6:$E$735,'Daily Tracking'!$A$6:$A$735,"&gt;="&amp;B7,'Daily Tracking'!$A$6:$A$735,"&lt;="&amp;C7),"")</f>
        <v/>
      </c>
      <c r="H7" s="135" t="str">
        <f>IFERROR(AVERAGEIFS('Daily Tracking'!$F$6:$F$735,'Daily Tracking'!$A$6:$A$735,"&gt;="&amp;B7,'Daily Tracking'!$A$6:$A$735,"&lt;="&amp;C7),"")</f>
        <v/>
      </c>
      <c r="I7" s="134" t="str">
        <f>IFERROR(AVERAGEIFS('Daily Tracking'!$H$6:$H$735,'Daily Tracking'!$A$6:$A$735,"&gt;="&amp;B7,'Daily Tracking'!$A$6:$A$735,"&lt;="&amp;C7),"")</f>
        <v/>
      </c>
      <c r="J7" s="133" t="str">
        <f>IFERROR(AVERAGEIFS('Daily Tracking'!$K$6:$K$735,'Daily Tracking'!$A$6:$A$735,"&gt;="&amp;B7,'Daily Tracking'!$A$6:$A$735,"&lt;="&amp;C7),"")</f>
        <v/>
      </c>
      <c r="K7" s="133" t="str">
        <f>IFERROR(AVERAGEIFS('Daily Tracking'!$G$6:$G$735,'Daily Tracking'!$A$6:$A$735,"&gt;="&amp;B7,'Daily Tracking'!$A$6:$A$735,"&lt;="&amp;C7),"")</f>
        <v/>
      </c>
      <c r="L7" s="135" t="str">
        <f>IF(N7=0,"",SUMIFS('Daily Tracking'!$I$6:$I$735,'Daily Tracking'!$A$6:$A$735,"&gt;="&amp;B7,'Daily Tracking'!$A$6:$A$735,"&lt;="&amp;C7))</f>
        <v/>
      </c>
      <c r="M7" s="135" t="str">
        <f>IF(N7=0,"",COUNTIFS('Daily Tracking'!$A$6:$A$735,"&gt;="&amp;B7,'Daily Tracking'!$A$6:$A$735,"&lt;="&amp;C7,'Daily Tracking'!$J$6:$J$735,"Yes"))</f>
        <v/>
      </c>
      <c r="N7" s="136">
        <f>COUNTIFS('Daily Tracking'!$A$6:$A$735,"&gt;="&amp;B7,'Daily Tracking'!$A$6:$A$735,"&lt;="&amp;C7,'Daily Tracking'!$B$6:$B$735,"&lt;&gt;")</f>
        <v>0</v>
      </c>
      <c r="P7" s="164" t="s">
        <v>97</v>
      </c>
      <c r="Q7" s="165" t="str">
        <f>IFERROR("Week "&amp;INDEX($A$6:$A$109,MATCH(MIN($E$6:$E$109),$E$6:$E$109,0))&amp;"  ("&amp;FIXED(MIN($E$6:$E$109),2)&amp;" kg)","-")</f>
        <v>Week 1  (0,00 kg)</v>
      </c>
      <c r="R7" s="165"/>
      <c r="S7" s="3" t="e">
        <f t="shared" ref="S7:S70" si="0">IF($E7="",NA(),$E7)</f>
        <v>#N/A</v>
      </c>
      <c r="T7" s="3" t="e">
        <f t="shared" ref="T7:T70" si="1">IF($D7="",NA(),$D7)</f>
        <v>#N/A</v>
      </c>
    </row>
    <row r="8" spans="1:20" ht="18" customHeight="1" x14ac:dyDescent="0.3">
      <c r="A8" s="130">
        <f>A7+1</f>
        <v>3</v>
      </c>
      <c r="B8" s="161">
        <f>Settings!$B$4+(A8-1)*7</f>
        <v>46292</v>
      </c>
      <c r="C8" s="161">
        <f>B8+6</f>
        <v>46298</v>
      </c>
      <c r="D8" s="125" t="str">
        <f>IF(N8=0,"",AVERAGEIFS('Daily Tracking'!$B$6:$B$735,'Daily Tracking'!$A$6:$A$735,"&gt;="&amp;B8,'Daily Tracking'!$A$6:$A$735,"&lt;="&amp;C8))</f>
        <v/>
      </c>
      <c r="E8" s="162" t="str">
        <f>IF(OR(D8="",D7=""),"",D7-D8)</f>
        <v/>
      </c>
      <c r="F8" s="163" t="str">
        <f>IF(E8="","",E8/D7)</f>
        <v/>
      </c>
      <c r="G8" s="128" t="str">
        <f>IFERROR(AVERAGEIFS('Daily Tracking'!$E$6:$E$735,'Daily Tracking'!$A$6:$A$735,"&gt;="&amp;B8,'Daily Tracking'!$A$6:$A$735,"&lt;="&amp;C8),"")</f>
        <v/>
      </c>
      <c r="H8" s="129" t="str">
        <f>IFERROR(AVERAGEIFS('Daily Tracking'!$F$6:$F$735,'Daily Tracking'!$A$6:$A$735,"&gt;="&amp;B8,'Daily Tracking'!$A$6:$A$735,"&lt;="&amp;C8),"")</f>
        <v/>
      </c>
      <c r="I8" s="128" t="str">
        <f>IFERROR(AVERAGEIFS('Daily Tracking'!$H$6:$H$735,'Daily Tracking'!$A$6:$A$735,"&gt;="&amp;B8,'Daily Tracking'!$A$6:$A$735,"&lt;="&amp;C8),"")</f>
        <v/>
      </c>
      <c r="J8" s="125" t="str">
        <f>IFERROR(AVERAGEIFS('Daily Tracking'!$K$6:$K$735,'Daily Tracking'!$A$6:$A$735,"&gt;="&amp;B8,'Daily Tracking'!$A$6:$A$735,"&lt;="&amp;C8),"")</f>
        <v/>
      </c>
      <c r="K8" s="125" t="str">
        <f>IFERROR(AVERAGEIFS('Daily Tracking'!$G$6:$G$735,'Daily Tracking'!$A$6:$A$735,"&gt;="&amp;B8,'Daily Tracking'!$A$6:$A$735,"&lt;="&amp;C8),"")</f>
        <v/>
      </c>
      <c r="L8" s="129" t="str">
        <f>IF(N8=0,"",SUMIFS('Daily Tracking'!$I$6:$I$735,'Daily Tracking'!$A$6:$A$735,"&gt;="&amp;B8,'Daily Tracking'!$A$6:$A$735,"&lt;="&amp;C8))</f>
        <v/>
      </c>
      <c r="M8" s="129" t="str">
        <f>IF(N8=0,"",COUNTIFS('Daily Tracking'!$A$6:$A$735,"&gt;="&amp;B8,'Daily Tracking'!$A$6:$A$735,"&lt;="&amp;C8,'Daily Tracking'!$J$6:$J$735,"Yes"))</f>
        <v/>
      </c>
      <c r="N8" s="130">
        <f>COUNTIFS('Daily Tracking'!$A$6:$A$735,"&gt;="&amp;B8,'Daily Tracking'!$A$6:$A$735,"&lt;="&amp;C8,'Daily Tracking'!$B$6:$B$735,"&lt;&gt;")</f>
        <v>0</v>
      </c>
      <c r="P8" s="164" t="s">
        <v>98</v>
      </c>
      <c r="Q8" s="165" t="str">
        <f>IFERROR(FIXED(AVERAGE($E$6:$E$109),2)&amp;" kg","-")</f>
        <v>0,00 kg</v>
      </c>
      <c r="R8" s="165"/>
      <c r="S8" s="3" t="e">
        <f t="shared" si="0"/>
        <v>#N/A</v>
      </c>
      <c r="T8" s="3" t="e">
        <f t="shared" si="1"/>
        <v>#N/A</v>
      </c>
    </row>
    <row r="9" spans="1:20" ht="18" customHeight="1" x14ac:dyDescent="0.3">
      <c r="A9" s="136">
        <f>A8+1</f>
        <v>4</v>
      </c>
      <c r="B9" s="166">
        <f>Settings!$B$4+(A9-1)*7</f>
        <v>46299</v>
      </c>
      <c r="C9" s="166">
        <f>B9+6</f>
        <v>46305</v>
      </c>
      <c r="D9" s="133" t="str">
        <f>IF(N9=0,"",AVERAGEIFS('Daily Tracking'!$B$6:$B$735,'Daily Tracking'!$A$6:$A$735,"&gt;="&amp;B9,'Daily Tracking'!$A$6:$A$735,"&lt;="&amp;C9))</f>
        <v/>
      </c>
      <c r="E9" s="167" t="str">
        <f>IF(OR(D9="",D8=""),"",D8-D9)</f>
        <v/>
      </c>
      <c r="F9" s="168" t="str">
        <f>IF(E9="","",E9/D8)</f>
        <v/>
      </c>
      <c r="G9" s="134" t="str">
        <f>IFERROR(AVERAGEIFS('Daily Tracking'!$E$6:$E$735,'Daily Tracking'!$A$6:$A$735,"&gt;="&amp;B9,'Daily Tracking'!$A$6:$A$735,"&lt;="&amp;C9),"")</f>
        <v/>
      </c>
      <c r="H9" s="135" t="str">
        <f>IFERROR(AVERAGEIFS('Daily Tracking'!$F$6:$F$735,'Daily Tracking'!$A$6:$A$735,"&gt;="&amp;B9,'Daily Tracking'!$A$6:$A$735,"&lt;="&amp;C9),"")</f>
        <v/>
      </c>
      <c r="I9" s="134" t="str">
        <f>IFERROR(AVERAGEIFS('Daily Tracking'!$H$6:$H$735,'Daily Tracking'!$A$6:$A$735,"&gt;="&amp;B9,'Daily Tracking'!$A$6:$A$735,"&lt;="&amp;C9),"")</f>
        <v/>
      </c>
      <c r="J9" s="133" t="str">
        <f>IFERROR(AVERAGEIFS('Daily Tracking'!$K$6:$K$735,'Daily Tracking'!$A$6:$A$735,"&gt;="&amp;B9,'Daily Tracking'!$A$6:$A$735,"&lt;="&amp;C9),"")</f>
        <v/>
      </c>
      <c r="K9" s="133" t="str">
        <f>IFERROR(AVERAGEIFS('Daily Tracking'!$G$6:$G$735,'Daily Tracking'!$A$6:$A$735,"&gt;="&amp;B9,'Daily Tracking'!$A$6:$A$735,"&lt;="&amp;C9),"")</f>
        <v/>
      </c>
      <c r="L9" s="135" t="str">
        <f>IF(N9=0,"",SUMIFS('Daily Tracking'!$I$6:$I$735,'Daily Tracking'!$A$6:$A$735,"&gt;="&amp;B9,'Daily Tracking'!$A$6:$A$735,"&lt;="&amp;C9))</f>
        <v/>
      </c>
      <c r="M9" s="135" t="str">
        <f>IF(N9=0,"",COUNTIFS('Daily Tracking'!$A$6:$A$735,"&gt;="&amp;B9,'Daily Tracking'!$A$6:$A$735,"&lt;="&amp;C9,'Daily Tracking'!$J$6:$J$735,"Yes"))</f>
        <v/>
      </c>
      <c r="N9" s="136">
        <f>COUNTIFS('Daily Tracking'!$A$6:$A$735,"&gt;="&amp;B9,'Daily Tracking'!$A$6:$A$735,"&lt;="&amp;C9,'Daily Tracking'!$B$6:$B$735,"&lt;&gt;")</f>
        <v>0</v>
      </c>
      <c r="S9" s="3" t="e">
        <f t="shared" si="0"/>
        <v>#N/A</v>
      </c>
      <c r="T9" s="3" t="e">
        <f t="shared" si="1"/>
        <v>#N/A</v>
      </c>
    </row>
    <row r="10" spans="1:20" ht="18" customHeight="1" x14ac:dyDescent="0.3">
      <c r="A10" s="130">
        <f>A9+1</f>
        <v>5</v>
      </c>
      <c r="B10" s="161">
        <f>Settings!$B$4+(A10-1)*7</f>
        <v>46306</v>
      </c>
      <c r="C10" s="161">
        <f>B10+6</f>
        <v>46312</v>
      </c>
      <c r="D10" s="125" t="str">
        <f>IF(N10=0,"",AVERAGEIFS('Daily Tracking'!$B$6:$B$735,'Daily Tracking'!$A$6:$A$735,"&gt;="&amp;B10,'Daily Tracking'!$A$6:$A$735,"&lt;="&amp;C10))</f>
        <v/>
      </c>
      <c r="E10" s="162" t="str">
        <f>IF(OR(D10="",D9=""),"",D9-D10)</f>
        <v/>
      </c>
      <c r="F10" s="163" t="str">
        <f>IF(E10="","",E10/D9)</f>
        <v/>
      </c>
      <c r="G10" s="128" t="str">
        <f>IFERROR(AVERAGEIFS('Daily Tracking'!$E$6:$E$735,'Daily Tracking'!$A$6:$A$735,"&gt;="&amp;B10,'Daily Tracking'!$A$6:$A$735,"&lt;="&amp;C10),"")</f>
        <v/>
      </c>
      <c r="H10" s="129" t="str">
        <f>IFERROR(AVERAGEIFS('Daily Tracking'!$F$6:$F$735,'Daily Tracking'!$A$6:$A$735,"&gt;="&amp;B10,'Daily Tracking'!$A$6:$A$735,"&lt;="&amp;C10),"")</f>
        <v/>
      </c>
      <c r="I10" s="128" t="str">
        <f>IFERROR(AVERAGEIFS('Daily Tracking'!$H$6:$H$735,'Daily Tracking'!$A$6:$A$735,"&gt;="&amp;B10,'Daily Tracking'!$A$6:$A$735,"&lt;="&amp;C10),"")</f>
        <v/>
      </c>
      <c r="J10" s="125" t="str">
        <f>IFERROR(AVERAGEIFS('Daily Tracking'!$K$6:$K$735,'Daily Tracking'!$A$6:$A$735,"&gt;="&amp;B10,'Daily Tracking'!$A$6:$A$735,"&lt;="&amp;C10),"")</f>
        <v/>
      </c>
      <c r="K10" s="125" t="str">
        <f>IFERROR(AVERAGEIFS('Daily Tracking'!$G$6:$G$735,'Daily Tracking'!$A$6:$A$735,"&gt;="&amp;B10,'Daily Tracking'!$A$6:$A$735,"&lt;="&amp;C10),"")</f>
        <v/>
      </c>
      <c r="L10" s="129" t="str">
        <f>IF(N10=0,"",SUMIFS('Daily Tracking'!$I$6:$I$735,'Daily Tracking'!$A$6:$A$735,"&gt;="&amp;B10,'Daily Tracking'!$A$6:$A$735,"&lt;="&amp;C10))</f>
        <v/>
      </c>
      <c r="M10" s="129" t="str">
        <f>IF(N10=0,"",COUNTIFS('Daily Tracking'!$A$6:$A$735,"&gt;="&amp;B10,'Daily Tracking'!$A$6:$A$735,"&lt;="&amp;C10,'Daily Tracking'!$J$6:$J$735,"Yes"))</f>
        <v/>
      </c>
      <c r="N10" s="130">
        <f>COUNTIFS('Daily Tracking'!$A$6:$A$735,"&gt;="&amp;B10,'Daily Tracking'!$A$6:$A$735,"&lt;="&amp;C10,'Daily Tracking'!$B$6:$B$735,"&lt;&gt;")</f>
        <v>0</v>
      </c>
      <c r="S10" s="3" t="e">
        <f t="shared" si="0"/>
        <v>#N/A</v>
      </c>
      <c r="T10" s="3" t="e">
        <f t="shared" si="1"/>
        <v>#N/A</v>
      </c>
    </row>
    <row r="11" spans="1:20" ht="18" customHeight="1" x14ac:dyDescent="0.3">
      <c r="A11" s="136">
        <f>A10+1</f>
        <v>6</v>
      </c>
      <c r="B11" s="166">
        <f>Settings!$B$4+(A11-1)*7</f>
        <v>46313</v>
      </c>
      <c r="C11" s="166">
        <f>B11+6</f>
        <v>46319</v>
      </c>
      <c r="D11" s="133" t="str">
        <f>IF(N11=0,"",AVERAGEIFS('Daily Tracking'!$B$6:$B$735,'Daily Tracking'!$A$6:$A$735,"&gt;="&amp;B11,'Daily Tracking'!$A$6:$A$735,"&lt;="&amp;C11))</f>
        <v/>
      </c>
      <c r="E11" s="167" t="str">
        <f>IF(OR(D11="",D10=""),"",D10-D11)</f>
        <v/>
      </c>
      <c r="F11" s="168" t="str">
        <f>IF(E11="","",E11/D10)</f>
        <v/>
      </c>
      <c r="G11" s="134" t="str">
        <f>IFERROR(AVERAGEIFS('Daily Tracking'!$E$6:$E$735,'Daily Tracking'!$A$6:$A$735,"&gt;="&amp;B11,'Daily Tracking'!$A$6:$A$735,"&lt;="&amp;C11),"")</f>
        <v/>
      </c>
      <c r="H11" s="135" t="str">
        <f>IFERROR(AVERAGEIFS('Daily Tracking'!$F$6:$F$735,'Daily Tracking'!$A$6:$A$735,"&gt;="&amp;B11,'Daily Tracking'!$A$6:$A$735,"&lt;="&amp;C11),"")</f>
        <v/>
      </c>
      <c r="I11" s="134" t="str">
        <f>IFERROR(AVERAGEIFS('Daily Tracking'!$H$6:$H$735,'Daily Tracking'!$A$6:$A$735,"&gt;="&amp;B11,'Daily Tracking'!$A$6:$A$735,"&lt;="&amp;C11),"")</f>
        <v/>
      </c>
      <c r="J11" s="133" t="str">
        <f>IFERROR(AVERAGEIFS('Daily Tracking'!$K$6:$K$735,'Daily Tracking'!$A$6:$A$735,"&gt;="&amp;B11,'Daily Tracking'!$A$6:$A$735,"&lt;="&amp;C11),"")</f>
        <v/>
      </c>
      <c r="K11" s="133" t="str">
        <f>IFERROR(AVERAGEIFS('Daily Tracking'!$G$6:$G$735,'Daily Tracking'!$A$6:$A$735,"&gt;="&amp;B11,'Daily Tracking'!$A$6:$A$735,"&lt;="&amp;C11),"")</f>
        <v/>
      </c>
      <c r="L11" s="135" t="str">
        <f>IF(N11=0,"",SUMIFS('Daily Tracking'!$I$6:$I$735,'Daily Tracking'!$A$6:$A$735,"&gt;="&amp;B11,'Daily Tracking'!$A$6:$A$735,"&lt;="&amp;C11))</f>
        <v/>
      </c>
      <c r="M11" s="135" t="str">
        <f>IF(N11=0,"",COUNTIFS('Daily Tracking'!$A$6:$A$735,"&gt;="&amp;B11,'Daily Tracking'!$A$6:$A$735,"&lt;="&amp;C11,'Daily Tracking'!$J$6:$J$735,"Yes"))</f>
        <v/>
      </c>
      <c r="N11" s="136">
        <f>COUNTIFS('Daily Tracking'!$A$6:$A$735,"&gt;="&amp;B11,'Daily Tracking'!$A$6:$A$735,"&lt;="&amp;C11,'Daily Tracking'!$B$6:$B$735,"&lt;&gt;")</f>
        <v>0</v>
      </c>
      <c r="S11" s="3" t="e">
        <f t="shared" si="0"/>
        <v>#N/A</v>
      </c>
      <c r="T11" s="3" t="e">
        <f t="shared" si="1"/>
        <v>#N/A</v>
      </c>
    </row>
    <row r="12" spans="1:20" ht="18" customHeight="1" x14ac:dyDescent="0.3">
      <c r="A12" s="130">
        <f>A11+1</f>
        <v>7</v>
      </c>
      <c r="B12" s="161">
        <f>Settings!$B$4+(A12-1)*7</f>
        <v>46320</v>
      </c>
      <c r="C12" s="161">
        <f>B12+6</f>
        <v>46326</v>
      </c>
      <c r="D12" s="125" t="str">
        <f>IF(N12=0,"",AVERAGEIFS('Daily Tracking'!$B$6:$B$735,'Daily Tracking'!$A$6:$A$735,"&gt;="&amp;B12,'Daily Tracking'!$A$6:$A$735,"&lt;="&amp;C12))</f>
        <v/>
      </c>
      <c r="E12" s="162" t="str">
        <f>IF(OR(D12="",D11=""),"",D11-D12)</f>
        <v/>
      </c>
      <c r="F12" s="163" t="str">
        <f>IF(E12="","",E12/D11)</f>
        <v/>
      </c>
      <c r="G12" s="128" t="str">
        <f>IFERROR(AVERAGEIFS('Daily Tracking'!$E$6:$E$735,'Daily Tracking'!$A$6:$A$735,"&gt;="&amp;B12,'Daily Tracking'!$A$6:$A$735,"&lt;="&amp;C12),"")</f>
        <v/>
      </c>
      <c r="H12" s="129" t="str">
        <f>IFERROR(AVERAGEIFS('Daily Tracking'!$F$6:$F$735,'Daily Tracking'!$A$6:$A$735,"&gt;="&amp;B12,'Daily Tracking'!$A$6:$A$735,"&lt;="&amp;C12),"")</f>
        <v/>
      </c>
      <c r="I12" s="128" t="str">
        <f>IFERROR(AVERAGEIFS('Daily Tracking'!$H$6:$H$735,'Daily Tracking'!$A$6:$A$735,"&gt;="&amp;B12,'Daily Tracking'!$A$6:$A$735,"&lt;="&amp;C12),"")</f>
        <v/>
      </c>
      <c r="J12" s="125" t="str">
        <f>IFERROR(AVERAGEIFS('Daily Tracking'!$K$6:$K$735,'Daily Tracking'!$A$6:$A$735,"&gt;="&amp;B12,'Daily Tracking'!$A$6:$A$735,"&lt;="&amp;C12),"")</f>
        <v/>
      </c>
      <c r="K12" s="125" t="str">
        <f>IFERROR(AVERAGEIFS('Daily Tracking'!$G$6:$G$735,'Daily Tracking'!$A$6:$A$735,"&gt;="&amp;B12,'Daily Tracking'!$A$6:$A$735,"&lt;="&amp;C12),"")</f>
        <v/>
      </c>
      <c r="L12" s="129" t="str">
        <f>IF(N12=0,"",SUMIFS('Daily Tracking'!$I$6:$I$735,'Daily Tracking'!$A$6:$A$735,"&gt;="&amp;B12,'Daily Tracking'!$A$6:$A$735,"&lt;="&amp;C12))</f>
        <v/>
      </c>
      <c r="M12" s="129" t="str">
        <f>IF(N12=0,"",COUNTIFS('Daily Tracking'!$A$6:$A$735,"&gt;="&amp;B12,'Daily Tracking'!$A$6:$A$735,"&lt;="&amp;C12,'Daily Tracking'!$J$6:$J$735,"Yes"))</f>
        <v/>
      </c>
      <c r="N12" s="130">
        <f>COUNTIFS('Daily Tracking'!$A$6:$A$735,"&gt;="&amp;B12,'Daily Tracking'!$A$6:$A$735,"&lt;="&amp;C12,'Daily Tracking'!$B$6:$B$735,"&lt;&gt;")</f>
        <v>0</v>
      </c>
      <c r="S12" s="3" t="e">
        <f t="shared" si="0"/>
        <v>#N/A</v>
      </c>
      <c r="T12" s="3" t="e">
        <f t="shared" si="1"/>
        <v>#N/A</v>
      </c>
    </row>
    <row r="13" spans="1:20" ht="18" customHeight="1" x14ac:dyDescent="0.3">
      <c r="A13" s="136">
        <f>A12+1</f>
        <v>8</v>
      </c>
      <c r="B13" s="166">
        <f>Settings!$B$4+(A13-1)*7</f>
        <v>46327</v>
      </c>
      <c r="C13" s="166">
        <f>B13+6</f>
        <v>46333</v>
      </c>
      <c r="D13" s="133" t="str">
        <f>IF(N13=0,"",AVERAGEIFS('Daily Tracking'!$B$6:$B$735,'Daily Tracking'!$A$6:$A$735,"&gt;="&amp;B13,'Daily Tracking'!$A$6:$A$735,"&lt;="&amp;C13))</f>
        <v/>
      </c>
      <c r="E13" s="167" t="str">
        <f>IF(OR(D13="",D12=""),"",D12-D13)</f>
        <v/>
      </c>
      <c r="F13" s="168" t="str">
        <f>IF(E13="","",E13/D12)</f>
        <v/>
      </c>
      <c r="G13" s="134" t="str">
        <f>IFERROR(AVERAGEIFS('Daily Tracking'!$E$6:$E$735,'Daily Tracking'!$A$6:$A$735,"&gt;="&amp;B13,'Daily Tracking'!$A$6:$A$735,"&lt;="&amp;C13),"")</f>
        <v/>
      </c>
      <c r="H13" s="135" t="str">
        <f>IFERROR(AVERAGEIFS('Daily Tracking'!$F$6:$F$735,'Daily Tracking'!$A$6:$A$735,"&gt;="&amp;B13,'Daily Tracking'!$A$6:$A$735,"&lt;="&amp;C13),"")</f>
        <v/>
      </c>
      <c r="I13" s="134" t="str">
        <f>IFERROR(AVERAGEIFS('Daily Tracking'!$H$6:$H$735,'Daily Tracking'!$A$6:$A$735,"&gt;="&amp;B13,'Daily Tracking'!$A$6:$A$735,"&lt;="&amp;C13),"")</f>
        <v/>
      </c>
      <c r="J13" s="133" t="str">
        <f>IFERROR(AVERAGEIFS('Daily Tracking'!$K$6:$K$735,'Daily Tracking'!$A$6:$A$735,"&gt;="&amp;B13,'Daily Tracking'!$A$6:$A$735,"&lt;="&amp;C13),"")</f>
        <v/>
      </c>
      <c r="K13" s="133" t="str">
        <f>IFERROR(AVERAGEIFS('Daily Tracking'!$G$6:$G$735,'Daily Tracking'!$A$6:$A$735,"&gt;="&amp;B13,'Daily Tracking'!$A$6:$A$735,"&lt;="&amp;C13),"")</f>
        <v/>
      </c>
      <c r="L13" s="135" t="str">
        <f>IF(N13=0,"",SUMIFS('Daily Tracking'!$I$6:$I$735,'Daily Tracking'!$A$6:$A$735,"&gt;="&amp;B13,'Daily Tracking'!$A$6:$A$735,"&lt;="&amp;C13))</f>
        <v/>
      </c>
      <c r="M13" s="135" t="str">
        <f>IF(N13=0,"",COUNTIFS('Daily Tracking'!$A$6:$A$735,"&gt;="&amp;B13,'Daily Tracking'!$A$6:$A$735,"&lt;="&amp;C13,'Daily Tracking'!$J$6:$J$735,"Yes"))</f>
        <v/>
      </c>
      <c r="N13" s="136">
        <f>COUNTIFS('Daily Tracking'!$A$6:$A$735,"&gt;="&amp;B13,'Daily Tracking'!$A$6:$A$735,"&lt;="&amp;C13,'Daily Tracking'!$B$6:$B$735,"&lt;&gt;")</f>
        <v>0</v>
      </c>
      <c r="S13" s="3" t="e">
        <f t="shared" si="0"/>
        <v>#N/A</v>
      </c>
      <c r="T13" s="3" t="e">
        <f t="shared" si="1"/>
        <v>#N/A</v>
      </c>
    </row>
    <row r="14" spans="1:20" ht="18" customHeight="1" x14ac:dyDescent="0.3">
      <c r="A14" s="130">
        <f>A13+1</f>
        <v>9</v>
      </c>
      <c r="B14" s="161">
        <f>Settings!$B$4+(A14-1)*7</f>
        <v>46334</v>
      </c>
      <c r="C14" s="161">
        <f>B14+6</f>
        <v>46340</v>
      </c>
      <c r="D14" s="125" t="str">
        <f>IF(N14=0,"",AVERAGEIFS('Daily Tracking'!$B$6:$B$735,'Daily Tracking'!$A$6:$A$735,"&gt;="&amp;B14,'Daily Tracking'!$A$6:$A$735,"&lt;="&amp;C14))</f>
        <v/>
      </c>
      <c r="E14" s="162" t="str">
        <f>IF(OR(D14="",D13=""),"",D13-D14)</f>
        <v/>
      </c>
      <c r="F14" s="163" t="str">
        <f>IF(E14="","",E14/D13)</f>
        <v/>
      </c>
      <c r="G14" s="128" t="str">
        <f>IFERROR(AVERAGEIFS('Daily Tracking'!$E$6:$E$735,'Daily Tracking'!$A$6:$A$735,"&gt;="&amp;B14,'Daily Tracking'!$A$6:$A$735,"&lt;="&amp;C14),"")</f>
        <v/>
      </c>
      <c r="H14" s="129" t="str">
        <f>IFERROR(AVERAGEIFS('Daily Tracking'!$F$6:$F$735,'Daily Tracking'!$A$6:$A$735,"&gt;="&amp;B14,'Daily Tracking'!$A$6:$A$735,"&lt;="&amp;C14),"")</f>
        <v/>
      </c>
      <c r="I14" s="128" t="str">
        <f>IFERROR(AVERAGEIFS('Daily Tracking'!$H$6:$H$735,'Daily Tracking'!$A$6:$A$735,"&gt;="&amp;B14,'Daily Tracking'!$A$6:$A$735,"&lt;="&amp;C14),"")</f>
        <v/>
      </c>
      <c r="J14" s="125" t="str">
        <f>IFERROR(AVERAGEIFS('Daily Tracking'!$K$6:$K$735,'Daily Tracking'!$A$6:$A$735,"&gt;="&amp;B14,'Daily Tracking'!$A$6:$A$735,"&lt;="&amp;C14),"")</f>
        <v/>
      </c>
      <c r="K14" s="125" t="str">
        <f>IFERROR(AVERAGEIFS('Daily Tracking'!$G$6:$G$735,'Daily Tracking'!$A$6:$A$735,"&gt;="&amp;B14,'Daily Tracking'!$A$6:$A$735,"&lt;="&amp;C14),"")</f>
        <v/>
      </c>
      <c r="L14" s="129" t="str">
        <f>IF(N14=0,"",SUMIFS('Daily Tracking'!$I$6:$I$735,'Daily Tracking'!$A$6:$A$735,"&gt;="&amp;B14,'Daily Tracking'!$A$6:$A$735,"&lt;="&amp;C14))</f>
        <v/>
      </c>
      <c r="M14" s="129" t="str">
        <f>IF(N14=0,"",COUNTIFS('Daily Tracking'!$A$6:$A$735,"&gt;="&amp;B14,'Daily Tracking'!$A$6:$A$735,"&lt;="&amp;C14,'Daily Tracking'!$J$6:$J$735,"Yes"))</f>
        <v/>
      </c>
      <c r="N14" s="130">
        <f>COUNTIFS('Daily Tracking'!$A$6:$A$735,"&gt;="&amp;B14,'Daily Tracking'!$A$6:$A$735,"&lt;="&amp;C14,'Daily Tracking'!$B$6:$B$735,"&lt;&gt;")</f>
        <v>0</v>
      </c>
      <c r="S14" s="3" t="e">
        <f t="shared" si="0"/>
        <v>#N/A</v>
      </c>
      <c r="T14" s="3" t="e">
        <f t="shared" si="1"/>
        <v>#N/A</v>
      </c>
    </row>
    <row r="15" spans="1:20" ht="18" customHeight="1" x14ac:dyDescent="0.3">
      <c r="A15" s="136">
        <f>A14+1</f>
        <v>10</v>
      </c>
      <c r="B15" s="166">
        <f>Settings!$B$4+(A15-1)*7</f>
        <v>46341</v>
      </c>
      <c r="C15" s="166">
        <f>B15+6</f>
        <v>46347</v>
      </c>
      <c r="D15" s="133" t="str">
        <f>IF(N15=0,"",AVERAGEIFS('Daily Tracking'!$B$6:$B$735,'Daily Tracking'!$A$6:$A$735,"&gt;="&amp;B15,'Daily Tracking'!$A$6:$A$735,"&lt;="&amp;C15))</f>
        <v/>
      </c>
      <c r="E15" s="167" t="str">
        <f>IF(OR(D15="",D14=""),"",D14-D15)</f>
        <v/>
      </c>
      <c r="F15" s="168" t="str">
        <f>IF(E15="","",E15/D14)</f>
        <v/>
      </c>
      <c r="G15" s="134" t="str">
        <f>IFERROR(AVERAGEIFS('Daily Tracking'!$E$6:$E$735,'Daily Tracking'!$A$6:$A$735,"&gt;="&amp;B15,'Daily Tracking'!$A$6:$A$735,"&lt;="&amp;C15),"")</f>
        <v/>
      </c>
      <c r="H15" s="135" t="str">
        <f>IFERROR(AVERAGEIFS('Daily Tracking'!$F$6:$F$735,'Daily Tracking'!$A$6:$A$735,"&gt;="&amp;B15,'Daily Tracking'!$A$6:$A$735,"&lt;="&amp;C15),"")</f>
        <v/>
      </c>
      <c r="I15" s="134" t="str">
        <f>IFERROR(AVERAGEIFS('Daily Tracking'!$H$6:$H$735,'Daily Tracking'!$A$6:$A$735,"&gt;="&amp;B15,'Daily Tracking'!$A$6:$A$735,"&lt;="&amp;C15),"")</f>
        <v/>
      </c>
      <c r="J15" s="133" t="str">
        <f>IFERROR(AVERAGEIFS('Daily Tracking'!$K$6:$K$735,'Daily Tracking'!$A$6:$A$735,"&gt;="&amp;B15,'Daily Tracking'!$A$6:$A$735,"&lt;="&amp;C15),"")</f>
        <v/>
      </c>
      <c r="K15" s="133" t="str">
        <f>IFERROR(AVERAGEIFS('Daily Tracking'!$G$6:$G$735,'Daily Tracking'!$A$6:$A$735,"&gt;="&amp;B15,'Daily Tracking'!$A$6:$A$735,"&lt;="&amp;C15),"")</f>
        <v/>
      </c>
      <c r="L15" s="135" t="str">
        <f>IF(N15=0,"",SUMIFS('Daily Tracking'!$I$6:$I$735,'Daily Tracking'!$A$6:$A$735,"&gt;="&amp;B15,'Daily Tracking'!$A$6:$A$735,"&lt;="&amp;C15))</f>
        <v/>
      </c>
      <c r="M15" s="135" t="str">
        <f>IF(N15=0,"",COUNTIFS('Daily Tracking'!$A$6:$A$735,"&gt;="&amp;B15,'Daily Tracking'!$A$6:$A$735,"&lt;="&amp;C15,'Daily Tracking'!$J$6:$J$735,"Yes"))</f>
        <v/>
      </c>
      <c r="N15" s="136">
        <f>COUNTIFS('Daily Tracking'!$A$6:$A$735,"&gt;="&amp;B15,'Daily Tracking'!$A$6:$A$735,"&lt;="&amp;C15,'Daily Tracking'!$B$6:$B$735,"&lt;&gt;")</f>
        <v>0</v>
      </c>
      <c r="S15" s="3" t="e">
        <f t="shared" si="0"/>
        <v>#N/A</v>
      </c>
      <c r="T15" s="3" t="e">
        <f t="shared" si="1"/>
        <v>#N/A</v>
      </c>
    </row>
    <row r="16" spans="1:20" ht="18" customHeight="1" x14ac:dyDescent="0.3">
      <c r="A16" s="130">
        <f>A15+1</f>
        <v>11</v>
      </c>
      <c r="B16" s="161">
        <f>Settings!$B$4+(A16-1)*7</f>
        <v>46348</v>
      </c>
      <c r="C16" s="161">
        <f>B16+6</f>
        <v>46354</v>
      </c>
      <c r="D16" s="125" t="str">
        <f>IF(N16=0,"",AVERAGEIFS('Daily Tracking'!$B$6:$B$735,'Daily Tracking'!$A$6:$A$735,"&gt;="&amp;B16,'Daily Tracking'!$A$6:$A$735,"&lt;="&amp;C16))</f>
        <v/>
      </c>
      <c r="E16" s="162" t="str">
        <f>IF(OR(D16="",D15=""),"",D15-D16)</f>
        <v/>
      </c>
      <c r="F16" s="163" t="str">
        <f>IF(E16="","",E16/D15)</f>
        <v/>
      </c>
      <c r="G16" s="128" t="str">
        <f>IFERROR(AVERAGEIFS('Daily Tracking'!$E$6:$E$735,'Daily Tracking'!$A$6:$A$735,"&gt;="&amp;B16,'Daily Tracking'!$A$6:$A$735,"&lt;="&amp;C16),"")</f>
        <v/>
      </c>
      <c r="H16" s="129" t="str">
        <f>IFERROR(AVERAGEIFS('Daily Tracking'!$F$6:$F$735,'Daily Tracking'!$A$6:$A$735,"&gt;="&amp;B16,'Daily Tracking'!$A$6:$A$735,"&lt;="&amp;C16),"")</f>
        <v/>
      </c>
      <c r="I16" s="128" t="str">
        <f>IFERROR(AVERAGEIFS('Daily Tracking'!$H$6:$H$735,'Daily Tracking'!$A$6:$A$735,"&gt;="&amp;B16,'Daily Tracking'!$A$6:$A$735,"&lt;="&amp;C16),"")</f>
        <v/>
      </c>
      <c r="J16" s="125" t="str">
        <f>IFERROR(AVERAGEIFS('Daily Tracking'!$K$6:$K$735,'Daily Tracking'!$A$6:$A$735,"&gt;="&amp;B16,'Daily Tracking'!$A$6:$A$735,"&lt;="&amp;C16),"")</f>
        <v/>
      </c>
      <c r="K16" s="125" t="str">
        <f>IFERROR(AVERAGEIFS('Daily Tracking'!$G$6:$G$735,'Daily Tracking'!$A$6:$A$735,"&gt;="&amp;B16,'Daily Tracking'!$A$6:$A$735,"&lt;="&amp;C16),"")</f>
        <v/>
      </c>
      <c r="L16" s="129" t="str">
        <f>IF(N16=0,"",SUMIFS('Daily Tracking'!$I$6:$I$735,'Daily Tracking'!$A$6:$A$735,"&gt;="&amp;B16,'Daily Tracking'!$A$6:$A$735,"&lt;="&amp;C16))</f>
        <v/>
      </c>
      <c r="M16" s="129" t="str">
        <f>IF(N16=0,"",COUNTIFS('Daily Tracking'!$A$6:$A$735,"&gt;="&amp;B16,'Daily Tracking'!$A$6:$A$735,"&lt;="&amp;C16,'Daily Tracking'!$J$6:$J$735,"Yes"))</f>
        <v/>
      </c>
      <c r="N16" s="130">
        <f>COUNTIFS('Daily Tracking'!$A$6:$A$735,"&gt;="&amp;B16,'Daily Tracking'!$A$6:$A$735,"&lt;="&amp;C16,'Daily Tracking'!$B$6:$B$735,"&lt;&gt;")</f>
        <v>0</v>
      </c>
      <c r="S16" s="3" t="e">
        <f t="shared" si="0"/>
        <v>#N/A</v>
      </c>
      <c r="T16" s="3" t="e">
        <f t="shared" si="1"/>
        <v>#N/A</v>
      </c>
    </row>
    <row r="17" spans="1:20" ht="18" customHeight="1" x14ac:dyDescent="0.3">
      <c r="A17" s="136">
        <f>A16+1</f>
        <v>12</v>
      </c>
      <c r="B17" s="166">
        <f>Settings!$B$4+(A17-1)*7</f>
        <v>46355</v>
      </c>
      <c r="C17" s="166">
        <f>B17+6</f>
        <v>46361</v>
      </c>
      <c r="D17" s="133" t="str">
        <f>IF(N17=0,"",AVERAGEIFS('Daily Tracking'!$B$6:$B$735,'Daily Tracking'!$A$6:$A$735,"&gt;="&amp;B17,'Daily Tracking'!$A$6:$A$735,"&lt;="&amp;C17))</f>
        <v/>
      </c>
      <c r="E17" s="167" t="str">
        <f>IF(OR(D17="",D16=""),"",D16-D17)</f>
        <v/>
      </c>
      <c r="F17" s="168" t="str">
        <f>IF(E17="","",E17/D16)</f>
        <v/>
      </c>
      <c r="G17" s="134" t="str">
        <f>IFERROR(AVERAGEIFS('Daily Tracking'!$E$6:$E$735,'Daily Tracking'!$A$6:$A$735,"&gt;="&amp;B17,'Daily Tracking'!$A$6:$A$735,"&lt;="&amp;C17),"")</f>
        <v/>
      </c>
      <c r="H17" s="135" t="str">
        <f>IFERROR(AVERAGEIFS('Daily Tracking'!$F$6:$F$735,'Daily Tracking'!$A$6:$A$735,"&gt;="&amp;B17,'Daily Tracking'!$A$6:$A$735,"&lt;="&amp;C17),"")</f>
        <v/>
      </c>
      <c r="I17" s="134" t="str">
        <f>IFERROR(AVERAGEIFS('Daily Tracking'!$H$6:$H$735,'Daily Tracking'!$A$6:$A$735,"&gt;="&amp;B17,'Daily Tracking'!$A$6:$A$735,"&lt;="&amp;C17),"")</f>
        <v/>
      </c>
      <c r="J17" s="133" t="str">
        <f>IFERROR(AVERAGEIFS('Daily Tracking'!$K$6:$K$735,'Daily Tracking'!$A$6:$A$735,"&gt;="&amp;B17,'Daily Tracking'!$A$6:$A$735,"&lt;="&amp;C17),"")</f>
        <v/>
      </c>
      <c r="K17" s="133" t="str">
        <f>IFERROR(AVERAGEIFS('Daily Tracking'!$G$6:$G$735,'Daily Tracking'!$A$6:$A$735,"&gt;="&amp;B17,'Daily Tracking'!$A$6:$A$735,"&lt;="&amp;C17),"")</f>
        <v/>
      </c>
      <c r="L17" s="135" t="str">
        <f>IF(N17=0,"",SUMIFS('Daily Tracking'!$I$6:$I$735,'Daily Tracking'!$A$6:$A$735,"&gt;="&amp;B17,'Daily Tracking'!$A$6:$A$735,"&lt;="&amp;C17))</f>
        <v/>
      </c>
      <c r="M17" s="135" t="str">
        <f>IF(N17=0,"",COUNTIFS('Daily Tracking'!$A$6:$A$735,"&gt;="&amp;B17,'Daily Tracking'!$A$6:$A$735,"&lt;="&amp;C17,'Daily Tracking'!$J$6:$J$735,"Yes"))</f>
        <v/>
      </c>
      <c r="N17" s="136">
        <f>COUNTIFS('Daily Tracking'!$A$6:$A$735,"&gt;="&amp;B17,'Daily Tracking'!$A$6:$A$735,"&lt;="&amp;C17,'Daily Tracking'!$B$6:$B$735,"&lt;&gt;")</f>
        <v>0</v>
      </c>
      <c r="S17" s="3" t="e">
        <f t="shared" si="0"/>
        <v>#N/A</v>
      </c>
      <c r="T17" s="3" t="e">
        <f t="shared" si="1"/>
        <v>#N/A</v>
      </c>
    </row>
    <row r="18" spans="1:20" ht="18" customHeight="1" x14ac:dyDescent="0.3">
      <c r="A18" s="130">
        <f>A17+1</f>
        <v>13</v>
      </c>
      <c r="B18" s="161">
        <f>Settings!$B$4+(A18-1)*7</f>
        <v>46362</v>
      </c>
      <c r="C18" s="161">
        <f>B18+6</f>
        <v>46368</v>
      </c>
      <c r="D18" s="125" t="str">
        <f>IF(N18=0,"",AVERAGEIFS('Daily Tracking'!$B$6:$B$735,'Daily Tracking'!$A$6:$A$735,"&gt;="&amp;B18,'Daily Tracking'!$A$6:$A$735,"&lt;="&amp;C18))</f>
        <v/>
      </c>
      <c r="E18" s="162" t="str">
        <f>IF(OR(D18="",D17=""),"",D17-D18)</f>
        <v/>
      </c>
      <c r="F18" s="163" t="str">
        <f>IF(E18="","",E18/D17)</f>
        <v/>
      </c>
      <c r="G18" s="128" t="str">
        <f>IFERROR(AVERAGEIFS('Daily Tracking'!$E$6:$E$735,'Daily Tracking'!$A$6:$A$735,"&gt;="&amp;B18,'Daily Tracking'!$A$6:$A$735,"&lt;="&amp;C18),"")</f>
        <v/>
      </c>
      <c r="H18" s="129" t="str">
        <f>IFERROR(AVERAGEIFS('Daily Tracking'!$F$6:$F$735,'Daily Tracking'!$A$6:$A$735,"&gt;="&amp;B18,'Daily Tracking'!$A$6:$A$735,"&lt;="&amp;C18),"")</f>
        <v/>
      </c>
      <c r="I18" s="128" t="str">
        <f>IFERROR(AVERAGEIFS('Daily Tracking'!$H$6:$H$735,'Daily Tracking'!$A$6:$A$735,"&gt;="&amp;B18,'Daily Tracking'!$A$6:$A$735,"&lt;="&amp;C18),"")</f>
        <v/>
      </c>
      <c r="J18" s="125" t="str">
        <f>IFERROR(AVERAGEIFS('Daily Tracking'!$K$6:$K$735,'Daily Tracking'!$A$6:$A$735,"&gt;="&amp;B18,'Daily Tracking'!$A$6:$A$735,"&lt;="&amp;C18),"")</f>
        <v/>
      </c>
      <c r="K18" s="125" t="str">
        <f>IFERROR(AVERAGEIFS('Daily Tracking'!$G$6:$G$735,'Daily Tracking'!$A$6:$A$735,"&gt;="&amp;B18,'Daily Tracking'!$A$6:$A$735,"&lt;="&amp;C18),"")</f>
        <v/>
      </c>
      <c r="L18" s="129" t="str">
        <f>IF(N18=0,"",SUMIFS('Daily Tracking'!$I$6:$I$735,'Daily Tracking'!$A$6:$A$735,"&gt;="&amp;B18,'Daily Tracking'!$A$6:$A$735,"&lt;="&amp;C18))</f>
        <v/>
      </c>
      <c r="M18" s="129" t="str">
        <f>IF(N18=0,"",COUNTIFS('Daily Tracking'!$A$6:$A$735,"&gt;="&amp;B18,'Daily Tracking'!$A$6:$A$735,"&lt;="&amp;C18,'Daily Tracking'!$J$6:$J$735,"Yes"))</f>
        <v/>
      </c>
      <c r="N18" s="130">
        <f>COUNTIFS('Daily Tracking'!$A$6:$A$735,"&gt;="&amp;B18,'Daily Tracking'!$A$6:$A$735,"&lt;="&amp;C18,'Daily Tracking'!$B$6:$B$735,"&lt;&gt;")</f>
        <v>0</v>
      </c>
      <c r="S18" s="3" t="e">
        <f t="shared" si="0"/>
        <v>#N/A</v>
      </c>
      <c r="T18" s="3" t="e">
        <f t="shared" si="1"/>
        <v>#N/A</v>
      </c>
    </row>
    <row r="19" spans="1:20" ht="18" customHeight="1" x14ac:dyDescent="0.3">
      <c r="A19" s="136">
        <f>A18+1</f>
        <v>14</v>
      </c>
      <c r="B19" s="166">
        <f>Settings!$B$4+(A19-1)*7</f>
        <v>46369</v>
      </c>
      <c r="C19" s="166">
        <f>B19+6</f>
        <v>46375</v>
      </c>
      <c r="D19" s="133" t="str">
        <f>IF(N19=0,"",AVERAGEIFS('Daily Tracking'!$B$6:$B$735,'Daily Tracking'!$A$6:$A$735,"&gt;="&amp;B19,'Daily Tracking'!$A$6:$A$735,"&lt;="&amp;C19))</f>
        <v/>
      </c>
      <c r="E19" s="167" t="str">
        <f>IF(OR(D19="",D18=""),"",D18-D19)</f>
        <v/>
      </c>
      <c r="F19" s="168" t="str">
        <f>IF(E19="","",E19/D18)</f>
        <v/>
      </c>
      <c r="G19" s="134" t="str">
        <f>IFERROR(AVERAGEIFS('Daily Tracking'!$E$6:$E$735,'Daily Tracking'!$A$6:$A$735,"&gt;="&amp;B19,'Daily Tracking'!$A$6:$A$735,"&lt;="&amp;C19),"")</f>
        <v/>
      </c>
      <c r="H19" s="135" t="str">
        <f>IFERROR(AVERAGEIFS('Daily Tracking'!$F$6:$F$735,'Daily Tracking'!$A$6:$A$735,"&gt;="&amp;B19,'Daily Tracking'!$A$6:$A$735,"&lt;="&amp;C19),"")</f>
        <v/>
      </c>
      <c r="I19" s="134" t="str">
        <f>IFERROR(AVERAGEIFS('Daily Tracking'!$H$6:$H$735,'Daily Tracking'!$A$6:$A$735,"&gt;="&amp;B19,'Daily Tracking'!$A$6:$A$735,"&lt;="&amp;C19),"")</f>
        <v/>
      </c>
      <c r="J19" s="133" t="str">
        <f>IFERROR(AVERAGEIFS('Daily Tracking'!$K$6:$K$735,'Daily Tracking'!$A$6:$A$735,"&gt;="&amp;B19,'Daily Tracking'!$A$6:$A$735,"&lt;="&amp;C19),"")</f>
        <v/>
      </c>
      <c r="K19" s="133" t="str">
        <f>IFERROR(AVERAGEIFS('Daily Tracking'!$G$6:$G$735,'Daily Tracking'!$A$6:$A$735,"&gt;="&amp;B19,'Daily Tracking'!$A$6:$A$735,"&lt;="&amp;C19),"")</f>
        <v/>
      </c>
      <c r="L19" s="135" t="str">
        <f>IF(N19=0,"",SUMIFS('Daily Tracking'!$I$6:$I$735,'Daily Tracking'!$A$6:$A$735,"&gt;="&amp;B19,'Daily Tracking'!$A$6:$A$735,"&lt;="&amp;C19))</f>
        <v/>
      </c>
      <c r="M19" s="135" t="str">
        <f>IF(N19=0,"",COUNTIFS('Daily Tracking'!$A$6:$A$735,"&gt;="&amp;B19,'Daily Tracking'!$A$6:$A$735,"&lt;="&amp;C19,'Daily Tracking'!$J$6:$J$735,"Yes"))</f>
        <v/>
      </c>
      <c r="N19" s="136">
        <f>COUNTIFS('Daily Tracking'!$A$6:$A$735,"&gt;="&amp;B19,'Daily Tracking'!$A$6:$A$735,"&lt;="&amp;C19,'Daily Tracking'!$B$6:$B$735,"&lt;&gt;")</f>
        <v>0</v>
      </c>
      <c r="S19" s="3" t="e">
        <f t="shared" si="0"/>
        <v>#N/A</v>
      </c>
      <c r="T19" s="3" t="e">
        <f t="shared" si="1"/>
        <v>#N/A</v>
      </c>
    </row>
    <row r="20" spans="1:20" ht="18" customHeight="1" x14ac:dyDescent="0.3">
      <c r="A20" s="130">
        <f>A19+1</f>
        <v>15</v>
      </c>
      <c r="B20" s="161">
        <f>Settings!$B$4+(A20-1)*7</f>
        <v>46376</v>
      </c>
      <c r="C20" s="161">
        <f>B20+6</f>
        <v>46382</v>
      </c>
      <c r="D20" s="125" t="str">
        <f>IF(N20=0,"",AVERAGEIFS('Daily Tracking'!$B$6:$B$735,'Daily Tracking'!$A$6:$A$735,"&gt;="&amp;B20,'Daily Tracking'!$A$6:$A$735,"&lt;="&amp;C20))</f>
        <v/>
      </c>
      <c r="E20" s="162" t="str">
        <f>IF(OR(D20="",D19=""),"",D19-D20)</f>
        <v/>
      </c>
      <c r="F20" s="163" t="str">
        <f>IF(E20="","",E20/D19)</f>
        <v/>
      </c>
      <c r="G20" s="128" t="str">
        <f>IFERROR(AVERAGEIFS('Daily Tracking'!$E$6:$E$735,'Daily Tracking'!$A$6:$A$735,"&gt;="&amp;B20,'Daily Tracking'!$A$6:$A$735,"&lt;="&amp;C20),"")</f>
        <v/>
      </c>
      <c r="H20" s="129" t="str">
        <f>IFERROR(AVERAGEIFS('Daily Tracking'!$F$6:$F$735,'Daily Tracking'!$A$6:$A$735,"&gt;="&amp;B20,'Daily Tracking'!$A$6:$A$735,"&lt;="&amp;C20),"")</f>
        <v/>
      </c>
      <c r="I20" s="128" t="str">
        <f>IFERROR(AVERAGEIFS('Daily Tracking'!$H$6:$H$735,'Daily Tracking'!$A$6:$A$735,"&gt;="&amp;B20,'Daily Tracking'!$A$6:$A$735,"&lt;="&amp;C20),"")</f>
        <v/>
      </c>
      <c r="J20" s="125" t="str">
        <f>IFERROR(AVERAGEIFS('Daily Tracking'!$K$6:$K$735,'Daily Tracking'!$A$6:$A$735,"&gt;="&amp;B20,'Daily Tracking'!$A$6:$A$735,"&lt;="&amp;C20),"")</f>
        <v/>
      </c>
      <c r="K20" s="125" t="str">
        <f>IFERROR(AVERAGEIFS('Daily Tracking'!$G$6:$G$735,'Daily Tracking'!$A$6:$A$735,"&gt;="&amp;B20,'Daily Tracking'!$A$6:$A$735,"&lt;="&amp;C20),"")</f>
        <v/>
      </c>
      <c r="L20" s="129" t="str">
        <f>IF(N20=0,"",SUMIFS('Daily Tracking'!$I$6:$I$735,'Daily Tracking'!$A$6:$A$735,"&gt;="&amp;B20,'Daily Tracking'!$A$6:$A$735,"&lt;="&amp;C20))</f>
        <v/>
      </c>
      <c r="M20" s="129" t="str">
        <f>IF(N20=0,"",COUNTIFS('Daily Tracking'!$A$6:$A$735,"&gt;="&amp;B20,'Daily Tracking'!$A$6:$A$735,"&lt;="&amp;C20,'Daily Tracking'!$J$6:$J$735,"Yes"))</f>
        <v/>
      </c>
      <c r="N20" s="130">
        <f>COUNTIFS('Daily Tracking'!$A$6:$A$735,"&gt;="&amp;B20,'Daily Tracking'!$A$6:$A$735,"&lt;="&amp;C20,'Daily Tracking'!$B$6:$B$735,"&lt;&gt;")</f>
        <v>0</v>
      </c>
      <c r="S20" s="3" t="e">
        <f t="shared" si="0"/>
        <v>#N/A</v>
      </c>
      <c r="T20" s="3" t="e">
        <f t="shared" si="1"/>
        <v>#N/A</v>
      </c>
    </row>
    <row r="21" spans="1:20" ht="18" customHeight="1" x14ac:dyDescent="0.3">
      <c r="A21" s="136">
        <f>A20+1</f>
        <v>16</v>
      </c>
      <c r="B21" s="166">
        <f>Settings!$B$4+(A21-1)*7</f>
        <v>46383</v>
      </c>
      <c r="C21" s="166">
        <f>B21+6</f>
        <v>46389</v>
      </c>
      <c r="D21" s="133" t="str">
        <f>IF(N21=0,"",AVERAGEIFS('Daily Tracking'!$B$6:$B$735,'Daily Tracking'!$A$6:$A$735,"&gt;="&amp;B21,'Daily Tracking'!$A$6:$A$735,"&lt;="&amp;C21))</f>
        <v/>
      </c>
      <c r="E21" s="167" t="str">
        <f>IF(OR(D21="",D20=""),"",D20-D21)</f>
        <v/>
      </c>
      <c r="F21" s="168" t="str">
        <f>IF(E21="","",E21/D20)</f>
        <v/>
      </c>
      <c r="G21" s="134" t="str">
        <f>IFERROR(AVERAGEIFS('Daily Tracking'!$E$6:$E$735,'Daily Tracking'!$A$6:$A$735,"&gt;="&amp;B21,'Daily Tracking'!$A$6:$A$735,"&lt;="&amp;C21),"")</f>
        <v/>
      </c>
      <c r="H21" s="135" t="str">
        <f>IFERROR(AVERAGEIFS('Daily Tracking'!$F$6:$F$735,'Daily Tracking'!$A$6:$A$735,"&gt;="&amp;B21,'Daily Tracking'!$A$6:$A$735,"&lt;="&amp;C21),"")</f>
        <v/>
      </c>
      <c r="I21" s="134" t="str">
        <f>IFERROR(AVERAGEIFS('Daily Tracking'!$H$6:$H$735,'Daily Tracking'!$A$6:$A$735,"&gt;="&amp;B21,'Daily Tracking'!$A$6:$A$735,"&lt;="&amp;C21),"")</f>
        <v/>
      </c>
      <c r="J21" s="133" t="str">
        <f>IFERROR(AVERAGEIFS('Daily Tracking'!$K$6:$K$735,'Daily Tracking'!$A$6:$A$735,"&gt;="&amp;B21,'Daily Tracking'!$A$6:$A$735,"&lt;="&amp;C21),"")</f>
        <v/>
      </c>
      <c r="K21" s="133" t="str">
        <f>IFERROR(AVERAGEIFS('Daily Tracking'!$G$6:$G$735,'Daily Tracking'!$A$6:$A$735,"&gt;="&amp;B21,'Daily Tracking'!$A$6:$A$735,"&lt;="&amp;C21),"")</f>
        <v/>
      </c>
      <c r="L21" s="135" t="str">
        <f>IF(N21=0,"",SUMIFS('Daily Tracking'!$I$6:$I$735,'Daily Tracking'!$A$6:$A$735,"&gt;="&amp;B21,'Daily Tracking'!$A$6:$A$735,"&lt;="&amp;C21))</f>
        <v/>
      </c>
      <c r="M21" s="135" t="str">
        <f>IF(N21=0,"",COUNTIFS('Daily Tracking'!$A$6:$A$735,"&gt;="&amp;B21,'Daily Tracking'!$A$6:$A$735,"&lt;="&amp;C21,'Daily Tracking'!$J$6:$J$735,"Yes"))</f>
        <v/>
      </c>
      <c r="N21" s="136">
        <f>COUNTIFS('Daily Tracking'!$A$6:$A$735,"&gt;="&amp;B21,'Daily Tracking'!$A$6:$A$735,"&lt;="&amp;C21,'Daily Tracking'!$B$6:$B$735,"&lt;&gt;")</f>
        <v>0</v>
      </c>
      <c r="S21" s="3" t="e">
        <f t="shared" si="0"/>
        <v>#N/A</v>
      </c>
      <c r="T21" s="3" t="e">
        <f t="shared" si="1"/>
        <v>#N/A</v>
      </c>
    </row>
    <row r="22" spans="1:20" ht="18" customHeight="1" x14ac:dyDescent="0.3">
      <c r="A22" s="130">
        <f>A21+1</f>
        <v>17</v>
      </c>
      <c r="B22" s="161">
        <f>Settings!$B$4+(A22-1)*7</f>
        <v>46390</v>
      </c>
      <c r="C22" s="161">
        <f>B22+6</f>
        <v>46396</v>
      </c>
      <c r="D22" s="125" t="str">
        <f>IF(N22=0,"",AVERAGEIFS('Daily Tracking'!$B$6:$B$735,'Daily Tracking'!$A$6:$A$735,"&gt;="&amp;B22,'Daily Tracking'!$A$6:$A$735,"&lt;="&amp;C22))</f>
        <v/>
      </c>
      <c r="E22" s="162" t="str">
        <f>IF(OR(D22="",D21=""),"",D21-D22)</f>
        <v/>
      </c>
      <c r="F22" s="163" t="str">
        <f>IF(E22="","",E22/D21)</f>
        <v/>
      </c>
      <c r="G22" s="128" t="str">
        <f>IFERROR(AVERAGEIFS('Daily Tracking'!$E$6:$E$735,'Daily Tracking'!$A$6:$A$735,"&gt;="&amp;B22,'Daily Tracking'!$A$6:$A$735,"&lt;="&amp;C22),"")</f>
        <v/>
      </c>
      <c r="H22" s="129" t="str">
        <f>IFERROR(AVERAGEIFS('Daily Tracking'!$F$6:$F$735,'Daily Tracking'!$A$6:$A$735,"&gt;="&amp;B22,'Daily Tracking'!$A$6:$A$735,"&lt;="&amp;C22),"")</f>
        <v/>
      </c>
      <c r="I22" s="128" t="str">
        <f>IFERROR(AVERAGEIFS('Daily Tracking'!$H$6:$H$735,'Daily Tracking'!$A$6:$A$735,"&gt;="&amp;B22,'Daily Tracking'!$A$6:$A$735,"&lt;="&amp;C22),"")</f>
        <v/>
      </c>
      <c r="J22" s="125" t="str">
        <f>IFERROR(AVERAGEIFS('Daily Tracking'!$K$6:$K$735,'Daily Tracking'!$A$6:$A$735,"&gt;="&amp;B22,'Daily Tracking'!$A$6:$A$735,"&lt;="&amp;C22),"")</f>
        <v/>
      </c>
      <c r="K22" s="125" t="str">
        <f>IFERROR(AVERAGEIFS('Daily Tracking'!$G$6:$G$735,'Daily Tracking'!$A$6:$A$735,"&gt;="&amp;B22,'Daily Tracking'!$A$6:$A$735,"&lt;="&amp;C22),"")</f>
        <v/>
      </c>
      <c r="L22" s="129" t="str">
        <f>IF(N22=0,"",SUMIFS('Daily Tracking'!$I$6:$I$735,'Daily Tracking'!$A$6:$A$735,"&gt;="&amp;B22,'Daily Tracking'!$A$6:$A$735,"&lt;="&amp;C22))</f>
        <v/>
      </c>
      <c r="M22" s="129" t="str">
        <f>IF(N22=0,"",COUNTIFS('Daily Tracking'!$A$6:$A$735,"&gt;="&amp;B22,'Daily Tracking'!$A$6:$A$735,"&lt;="&amp;C22,'Daily Tracking'!$J$6:$J$735,"Yes"))</f>
        <v/>
      </c>
      <c r="N22" s="130">
        <f>COUNTIFS('Daily Tracking'!$A$6:$A$735,"&gt;="&amp;B22,'Daily Tracking'!$A$6:$A$735,"&lt;="&amp;C22,'Daily Tracking'!$B$6:$B$735,"&lt;&gt;")</f>
        <v>0</v>
      </c>
      <c r="S22" s="3" t="e">
        <f t="shared" si="0"/>
        <v>#N/A</v>
      </c>
      <c r="T22" s="3" t="e">
        <f t="shared" si="1"/>
        <v>#N/A</v>
      </c>
    </row>
    <row r="23" spans="1:20" ht="18" customHeight="1" x14ac:dyDescent="0.3">
      <c r="A23" s="136">
        <f>A22+1</f>
        <v>18</v>
      </c>
      <c r="B23" s="166">
        <f>Settings!$B$4+(A23-1)*7</f>
        <v>46397</v>
      </c>
      <c r="C23" s="166">
        <f>B23+6</f>
        <v>46403</v>
      </c>
      <c r="D23" s="133" t="str">
        <f>IF(N23=0,"",AVERAGEIFS('Daily Tracking'!$B$6:$B$735,'Daily Tracking'!$A$6:$A$735,"&gt;="&amp;B23,'Daily Tracking'!$A$6:$A$735,"&lt;="&amp;C23))</f>
        <v/>
      </c>
      <c r="E23" s="167" t="str">
        <f>IF(OR(D23="",D22=""),"",D22-D23)</f>
        <v/>
      </c>
      <c r="F23" s="168" t="str">
        <f>IF(E23="","",E23/D22)</f>
        <v/>
      </c>
      <c r="G23" s="134" t="str">
        <f>IFERROR(AVERAGEIFS('Daily Tracking'!$E$6:$E$735,'Daily Tracking'!$A$6:$A$735,"&gt;="&amp;B23,'Daily Tracking'!$A$6:$A$735,"&lt;="&amp;C23),"")</f>
        <v/>
      </c>
      <c r="H23" s="135" t="str">
        <f>IFERROR(AVERAGEIFS('Daily Tracking'!$F$6:$F$735,'Daily Tracking'!$A$6:$A$735,"&gt;="&amp;B23,'Daily Tracking'!$A$6:$A$735,"&lt;="&amp;C23),"")</f>
        <v/>
      </c>
      <c r="I23" s="134" t="str">
        <f>IFERROR(AVERAGEIFS('Daily Tracking'!$H$6:$H$735,'Daily Tracking'!$A$6:$A$735,"&gt;="&amp;B23,'Daily Tracking'!$A$6:$A$735,"&lt;="&amp;C23),"")</f>
        <v/>
      </c>
      <c r="J23" s="133" t="str">
        <f>IFERROR(AVERAGEIFS('Daily Tracking'!$K$6:$K$735,'Daily Tracking'!$A$6:$A$735,"&gt;="&amp;B23,'Daily Tracking'!$A$6:$A$735,"&lt;="&amp;C23),"")</f>
        <v/>
      </c>
      <c r="K23" s="133" t="str">
        <f>IFERROR(AVERAGEIFS('Daily Tracking'!$G$6:$G$735,'Daily Tracking'!$A$6:$A$735,"&gt;="&amp;B23,'Daily Tracking'!$A$6:$A$735,"&lt;="&amp;C23),"")</f>
        <v/>
      </c>
      <c r="L23" s="135" t="str">
        <f>IF(N23=0,"",SUMIFS('Daily Tracking'!$I$6:$I$735,'Daily Tracking'!$A$6:$A$735,"&gt;="&amp;B23,'Daily Tracking'!$A$6:$A$735,"&lt;="&amp;C23))</f>
        <v/>
      </c>
      <c r="M23" s="135" t="str">
        <f>IF(N23=0,"",COUNTIFS('Daily Tracking'!$A$6:$A$735,"&gt;="&amp;B23,'Daily Tracking'!$A$6:$A$735,"&lt;="&amp;C23,'Daily Tracking'!$J$6:$J$735,"Yes"))</f>
        <v/>
      </c>
      <c r="N23" s="136">
        <f>COUNTIFS('Daily Tracking'!$A$6:$A$735,"&gt;="&amp;B23,'Daily Tracking'!$A$6:$A$735,"&lt;="&amp;C23,'Daily Tracking'!$B$6:$B$735,"&lt;&gt;")</f>
        <v>0</v>
      </c>
      <c r="S23" s="3" t="e">
        <f t="shared" si="0"/>
        <v>#N/A</v>
      </c>
      <c r="T23" s="3" t="e">
        <f t="shared" si="1"/>
        <v>#N/A</v>
      </c>
    </row>
    <row r="24" spans="1:20" ht="18" customHeight="1" x14ac:dyDescent="0.3">
      <c r="A24" s="130">
        <f>A23+1</f>
        <v>19</v>
      </c>
      <c r="B24" s="161">
        <f>Settings!$B$4+(A24-1)*7</f>
        <v>46404</v>
      </c>
      <c r="C24" s="161">
        <f>B24+6</f>
        <v>46410</v>
      </c>
      <c r="D24" s="125" t="str">
        <f>IF(N24=0,"",AVERAGEIFS('Daily Tracking'!$B$6:$B$735,'Daily Tracking'!$A$6:$A$735,"&gt;="&amp;B24,'Daily Tracking'!$A$6:$A$735,"&lt;="&amp;C24))</f>
        <v/>
      </c>
      <c r="E24" s="162" t="str">
        <f>IF(OR(D24="",D23=""),"",D23-D24)</f>
        <v/>
      </c>
      <c r="F24" s="163" t="str">
        <f>IF(E24="","",E24/D23)</f>
        <v/>
      </c>
      <c r="G24" s="128" t="str">
        <f>IFERROR(AVERAGEIFS('Daily Tracking'!$E$6:$E$735,'Daily Tracking'!$A$6:$A$735,"&gt;="&amp;B24,'Daily Tracking'!$A$6:$A$735,"&lt;="&amp;C24),"")</f>
        <v/>
      </c>
      <c r="H24" s="129" t="str">
        <f>IFERROR(AVERAGEIFS('Daily Tracking'!$F$6:$F$735,'Daily Tracking'!$A$6:$A$735,"&gt;="&amp;B24,'Daily Tracking'!$A$6:$A$735,"&lt;="&amp;C24),"")</f>
        <v/>
      </c>
      <c r="I24" s="128" t="str">
        <f>IFERROR(AVERAGEIFS('Daily Tracking'!$H$6:$H$735,'Daily Tracking'!$A$6:$A$735,"&gt;="&amp;B24,'Daily Tracking'!$A$6:$A$735,"&lt;="&amp;C24),"")</f>
        <v/>
      </c>
      <c r="J24" s="125" t="str">
        <f>IFERROR(AVERAGEIFS('Daily Tracking'!$K$6:$K$735,'Daily Tracking'!$A$6:$A$735,"&gt;="&amp;B24,'Daily Tracking'!$A$6:$A$735,"&lt;="&amp;C24),"")</f>
        <v/>
      </c>
      <c r="K24" s="125" t="str">
        <f>IFERROR(AVERAGEIFS('Daily Tracking'!$G$6:$G$735,'Daily Tracking'!$A$6:$A$735,"&gt;="&amp;B24,'Daily Tracking'!$A$6:$A$735,"&lt;="&amp;C24),"")</f>
        <v/>
      </c>
      <c r="L24" s="129" t="str">
        <f>IF(N24=0,"",SUMIFS('Daily Tracking'!$I$6:$I$735,'Daily Tracking'!$A$6:$A$735,"&gt;="&amp;B24,'Daily Tracking'!$A$6:$A$735,"&lt;="&amp;C24))</f>
        <v/>
      </c>
      <c r="M24" s="129" t="str">
        <f>IF(N24=0,"",COUNTIFS('Daily Tracking'!$A$6:$A$735,"&gt;="&amp;B24,'Daily Tracking'!$A$6:$A$735,"&lt;="&amp;C24,'Daily Tracking'!$J$6:$J$735,"Yes"))</f>
        <v/>
      </c>
      <c r="N24" s="130">
        <f>COUNTIFS('Daily Tracking'!$A$6:$A$735,"&gt;="&amp;B24,'Daily Tracking'!$A$6:$A$735,"&lt;="&amp;C24,'Daily Tracking'!$B$6:$B$735,"&lt;&gt;")</f>
        <v>0</v>
      </c>
      <c r="S24" s="3" t="e">
        <f t="shared" si="0"/>
        <v>#N/A</v>
      </c>
      <c r="T24" s="3" t="e">
        <f t="shared" si="1"/>
        <v>#N/A</v>
      </c>
    </row>
    <row r="25" spans="1:20" ht="18" customHeight="1" x14ac:dyDescent="0.3">
      <c r="A25" s="136">
        <f>A24+1</f>
        <v>20</v>
      </c>
      <c r="B25" s="166">
        <f>Settings!$B$4+(A25-1)*7</f>
        <v>46411</v>
      </c>
      <c r="C25" s="166">
        <f>B25+6</f>
        <v>46417</v>
      </c>
      <c r="D25" s="133" t="str">
        <f>IF(N25=0,"",AVERAGEIFS('Daily Tracking'!$B$6:$B$735,'Daily Tracking'!$A$6:$A$735,"&gt;="&amp;B25,'Daily Tracking'!$A$6:$A$735,"&lt;="&amp;C25))</f>
        <v/>
      </c>
      <c r="E25" s="167" t="str">
        <f>IF(OR(D25="",D24=""),"",D24-D25)</f>
        <v/>
      </c>
      <c r="F25" s="168" t="str">
        <f>IF(E25="","",E25/D24)</f>
        <v/>
      </c>
      <c r="G25" s="134" t="str">
        <f>IFERROR(AVERAGEIFS('Daily Tracking'!$E$6:$E$735,'Daily Tracking'!$A$6:$A$735,"&gt;="&amp;B25,'Daily Tracking'!$A$6:$A$735,"&lt;="&amp;C25),"")</f>
        <v/>
      </c>
      <c r="H25" s="135" t="str">
        <f>IFERROR(AVERAGEIFS('Daily Tracking'!$F$6:$F$735,'Daily Tracking'!$A$6:$A$735,"&gt;="&amp;B25,'Daily Tracking'!$A$6:$A$735,"&lt;="&amp;C25),"")</f>
        <v/>
      </c>
      <c r="I25" s="134" t="str">
        <f>IFERROR(AVERAGEIFS('Daily Tracking'!$H$6:$H$735,'Daily Tracking'!$A$6:$A$735,"&gt;="&amp;B25,'Daily Tracking'!$A$6:$A$735,"&lt;="&amp;C25),"")</f>
        <v/>
      </c>
      <c r="J25" s="133" t="str">
        <f>IFERROR(AVERAGEIFS('Daily Tracking'!$K$6:$K$735,'Daily Tracking'!$A$6:$A$735,"&gt;="&amp;B25,'Daily Tracking'!$A$6:$A$735,"&lt;="&amp;C25),"")</f>
        <v/>
      </c>
      <c r="K25" s="133" t="str">
        <f>IFERROR(AVERAGEIFS('Daily Tracking'!$G$6:$G$735,'Daily Tracking'!$A$6:$A$735,"&gt;="&amp;B25,'Daily Tracking'!$A$6:$A$735,"&lt;="&amp;C25),"")</f>
        <v/>
      </c>
      <c r="L25" s="135" t="str">
        <f>IF(N25=0,"",SUMIFS('Daily Tracking'!$I$6:$I$735,'Daily Tracking'!$A$6:$A$735,"&gt;="&amp;B25,'Daily Tracking'!$A$6:$A$735,"&lt;="&amp;C25))</f>
        <v/>
      </c>
      <c r="M25" s="135" t="str">
        <f>IF(N25=0,"",COUNTIFS('Daily Tracking'!$A$6:$A$735,"&gt;="&amp;B25,'Daily Tracking'!$A$6:$A$735,"&lt;="&amp;C25,'Daily Tracking'!$J$6:$J$735,"Yes"))</f>
        <v/>
      </c>
      <c r="N25" s="136">
        <f>COUNTIFS('Daily Tracking'!$A$6:$A$735,"&gt;="&amp;B25,'Daily Tracking'!$A$6:$A$735,"&lt;="&amp;C25,'Daily Tracking'!$B$6:$B$735,"&lt;&gt;")</f>
        <v>0</v>
      </c>
      <c r="S25" s="3" t="e">
        <f t="shared" si="0"/>
        <v>#N/A</v>
      </c>
      <c r="T25" s="3" t="e">
        <f t="shared" si="1"/>
        <v>#N/A</v>
      </c>
    </row>
    <row r="26" spans="1:20" ht="18" customHeight="1" x14ac:dyDescent="0.3">
      <c r="A26" s="130">
        <f>A25+1</f>
        <v>21</v>
      </c>
      <c r="B26" s="161">
        <f>Settings!$B$4+(A26-1)*7</f>
        <v>46418</v>
      </c>
      <c r="C26" s="161">
        <f>B26+6</f>
        <v>46424</v>
      </c>
      <c r="D26" s="125" t="str">
        <f>IF(N26=0,"",AVERAGEIFS('Daily Tracking'!$B$6:$B$735,'Daily Tracking'!$A$6:$A$735,"&gt;="&amp;B26,'Daily Tracking'!$A$6:$A$735,"&lt;="&amp;C26))</f>
        <v/>
      </c>
      <c r="E26" s="162" t="str">
        <f>IF(OR(D26="",D25=""),"",D25-D26)</f>
        <v/>
      </c>
      <c r="F26" s="163" t="str">
        <f>IF(E26="","",E26/D25)</f>
        <v/>
      </c>
      <c r="G26" s="128" t="str">
        <f>IFERROR(AVERAGEIFS('Daily Tracking'!$E$6:$E$735,'Daily Tracking'!$A$6:$A$735,"&gt;="&amp;B26,'Daily Tracking'!$A$6:$A$735,"&lt;="&amp;C26),"")</f>
        <v/>
      </c>
      <c r="H26" s="129" t="str">
        <f>IFERROR(AVERAGEIFS('Daily Tracking'!$F$6:$F$735,'Daily Tracking'!$A$6:$A$735,"&gt;="&amp;B26,'Daily Tracking'!$A$6:$A$735,"&lt;="&amp;C26),"")</f>
        <v/>
      </c>
      <c r="I26" s="128" t="str">
        <f>IFERROR(AVERAGEIFS('Daily Tracking'!$H$6:$H$735,'Daily Tracking'!$A$6:$A$735,"&gt;="&amp;B26,'Daily Tracking'!$A$6:$A$735,"&lt;="&amp;C26),"")</f>
        <v/>
      </c>
      <c r="J26" s="125" t="str">
        <f>IFERROR(AVERAGEIFS('Daily Tracking'!$K$6:$K$735,'Daily Tracking'!$A$6:$A$735,"&gt;="&amp;B26,'Daily Tracking'!$A$6:$A$735,"&lt;="&amp;C26),"")</f>
        <v/>
      </c>
      <c r="K26" s="125" t="str">
        <f>IFERROR(AVERAGEIFS('Daily Tracking'!$G$6:$G$735,'Daily Tracking'!$A$6:$A$735,"&gt;="&amp;B26,'Daily Tracking'!$A$6:$A$735,"&lt;="&amp;C26),"")</f>
        <v/>
      </c>
      <c r="L26" s="129" t="str">
        <f>IF(N26=0,"",SUMIFS('Daily Tracking'!$I$6:$I$735,'Daily Tracking'!$A$6:$A$735,"&gt;="&amp;B26,'Daily Tracking'!$A$6:$A$735,"&lt;="&amp;C26))</f>
        <v/>
      </c>
      <c r="M26" s="129" t="str">
        <f>IF(N26=0,"",COUNTIFS('Daily Tracking'!$A$6:$A$735,"&gt;="&amp;B26,'Daily Tracking'!$A$6:$A$735,"&lt;="&amp;C26,'Daily Tracking'!$J$6:$J$735,"Yes"))</f>
        <v/>
      </c>
      <c r="N26" s="130">
        <f>COUNTIFS('Daily Tracking'!$A$6:$A$735,"&gt;="&amp;B26,'Daily Tracking'!$A$6:$A$735,"&lt;="&amp;C26,'Daily Tracking'!$B$6:$B$735,"&lt;&gt;")</f>
        <v>0</v>
      </c>
      <c r="S26" s="3" t="e">
        <f t="shared" si="0"/>
        <v>#N/A</v>
      </c>
      <c r="T26" s="3" t="e">
        <f t="shared" si="1"/>
        <v>#N/A</v>
      </c>
    </row>
    <row r="27" spans="1:20" ht="18" customHeight="1" x14ac:dyDescent="0.3">
      <c r="A27" s="136">
        <f>A26+1</f>
        <v>22</v>
      </c>
      <c r="B27" s="166">
        <f>Settings!$B$4+(A27-1)*7</f>
        <v>46425</v>
      </c>
      <c r="C27" s="166">
        <f>B27+6</f>
        <v>46431</v>
      </c>
      <c r="D27" s="133" t="str">
        <f>IF(N27=0,"",AVERAGEIFS('Daily Tracking'!$B$6:$B$735,'Daily Tracking'!$A$6:$A$735,"&gt;="&amp;B27,'Daily Tracking'!$A$6:$A$735,"&lt;="&amp;C27))</f>
        <v/>
      </c>
      <c r="E27" s="167" t="str">
        <f>IF(OR(D27="",D26=""),"",D26-D27)</f>
        <v/>
      </c>
      <c r="F27" s="168" t="str">
        <f>IF(E27="","",E27/D26)</f>
        <v/>
      </c>
      <c r="G27" s="134" t="str">
        <f>IFERROR(AVERAGEIFS('Daily Tracking'!$E$6:$E$735,'Daily Tracking'!$A$6:$A$735,"&gt;="&amp;B27,'Daily Tracking'!$A$6:$A$735,"&lt;="&amp;C27),"")</f>
        <v/>
      </c>
      <c r="H27" s="135" t="str">
        <f>IFERROR(AVERAGEIFS('Daily Tracking'!$F$6:$F$735,'Daily Tracking'!$A$6:$A$735,"&gt;="&amp;B27,'Daily Tracking'!$A$6:$A$735,"&lt;="&amp;C27),"")</f>
        <v/>
      </c>
      <c r="I27" s="134" t="str">
        <f>IFERROR(AVERAGEIFS('Daily Tracking'!$H$6:$H$735,'Daily Tracking'!$A$6:$A$735,"&gt;="&amp;B27,'Daily Tracking'!$A$6:$A$735,"&lt;="&amp;C27),"")</f>
        <v/>
      </c>
      <c r="J27" s="133" t="str">
        <f>IFERROR(AVERAGEIFS('Daily Tracking'!$K$6:$K$735,'Daily Tracking'!$A$6:$A$735,"&gt;="&amp;B27,'Daily Tracking'!$A$6:$A$735,"&lt;="&amp;C27),"")</f>
        <v/>
      </c>
      <c r="K27" s="133" t="str">
        <f>IFERROR(AVERAGEIFS('Daily Tracking'!$G$6:$G$735,'Daily Tracking'!$A$6:$A$735,"&gt;="&amp;B27,'Daily Tracking'!$A$6:$A$735,"&lt;="&amp;C27),"")</f>
        <v/>
      </c>
      <c r="L27" s="135" t="str">
        <f>IF(N27=0,"",SUMIFS('Daily Tracking'!$I$6:$I$735,'Daily Tracking'!$A$6:$A$735,"&gt;="&amp;B27,'Daily Tracking'!$A$6:$A$735,"&lt;="&amp;C27))</f>
        <v/>
      </c>
      <c r="M27" s="135" t="str">
        <f>IF(N27=0,"",COUNTIFS('Daily Tracking'!$A$6:$A$735,"&gt;="&amp;B27,'Daily Tracking'!$A$6:$A$735,"&lt;="&amp;C27,'Daily Tracking'!$J$6:$J$735,"Yes"))</f>
        <v/>
      </c>
      <c r="N27" s="136">
        <f>COUNTIFS('Daily Tracking'!$A$6:$A$735,"&gt;="&amp;B27,'Daily Tracking'!$A$6:$A$735,"&lt;="&amp;C27,'Daily Tracking'!$B$6:$B$735,"&lt;&gt;")</f>
        <v>0</v>
      </c>
      <c r="S27" s="3" t="e">
        <f t="shared" si="0"/>
        <v>#N/A</v>
      </c>
      <c r="T27" s="3" t="e">
        <f t="shared" si="1"/>
        <v>#N/A</v>
      </c>
    </row>
    <row r="28" spans="1:20" ht="18" customHeight="1" x14ac:dyDescent="0.3">
      <c r="A28" s="130">
        <f>A27+1</f>
        <v>23</v>
      </c>
      <c r="B28" s="161">
        <f>Settings!$B$4+(A28-1)*7</f>
        <v>46432</v>
      </c>
      <c r="C28" s="161">
        <f>B28+6</f>
        <v>46438</v>
      </c>
      <c r="D28" s="125" t="str">
        <f>IF(N28=0,"",AVERAGEIFS('Daily Tracking'!$B$6:$B$735,'Daily Tracking'!$A$6:$A$735,"&gt;="&amp;B28,'Daily Tracking'!$A$6:$A$735,"&lt;="&amp;C28))</f>
        <v/>
      </c>
      <c r="E28" s="162" t="str">
        <f>IF(OR(D28="",D27=""),"",D27-D28)</f>
        <v/>
      </c>
      <c r="F28" s="163" t="str">
        <f>IF(E28="","",E28/D27)</f>
        <v/>
      </c>
      <c r="G28" s="128" t="str">
        <f>IFERROR(AVERAGEIFS('Daily Tracking'!$E$6:$E$735,'Daily Tracking'!$A$6:$A$735,"&gt;="&amp;B28,'Daily Tracking'!$A$6:$A$735,"&lt;="&amp;C28),"")</f>
        <v/>
      </c>
      <c r="H28" s="129" t="str">
        <f>IFERROR(AVERAGEIFS('Daily Tracking'!$F$6:$F$735,'Daily Tracking'!$A$6:$A$735,"&gt;="&amp;B28,'Daily Tracking'!$A$6:$A$735,"&lt;="&amp;C28),"")</f>
        <v/>
      </c>
      <c r="I28" s="128" t="str">
        <f>IFERROR(AVERAGEIFS('Daily Tracking'!$H$6:$H$735,'Daily Tracking'!$A$6:$A$735,"&gt;="&amp;B28,'Daily Tracking'!$A$6:$A$735,"&lt;="&amp;C28),"")</f>
        <v/>
      </c>
      <c r="J28" s="125" t="str">
        <f>IFERROR(AVERAGEIFS('Daily Tracking'!$K$6:$K$735,'Daily Tracking'!$A$6:$A$735,"&gt;="&amp;B28,'Daily Tracking'!$A$6:$A$735,"&lt;="&amp;C28),"")</f>
        <v/>
      </c>
      <c r="K28" s="125" t="str">
        <f>IFERROR(AVERAGEIFS('Daily Tracking'!$G$6:$G$735,'Daily Tracking'!$A$6:$A$735,"&gt;="&amp;B28,'Daily Tracking'!$A$6:$A$735,"&lt;="&amp;C28),"")</f>
        <v/>
      </c>
      <c r="L28" s="129" t="str">
        <f>IF(N28=0,"",SUMIFS('Daily Tracking'!$I$6:$I$735,'Daily Tracking'!$A$6:$A$735,"&gt;="&amp;B28,'Daily Tracking'!$A$6:$A$735,"&lt;="&amp;C28))</f>
        <v/>
      </c>
      <c r="M28" s="129" t="str">
        <f>IF(N28=0,"",COUNTIFS('Daily Tracking'!$A$6:$A$735,"&gt;="&amp;B28,'Daily Tracking'!$A$6:$A$735,"&lt;="&amp;C28,'Daily Tracking'!$J$6:$J$735,"Yes"))</f>
        <v/>
      </c>
      <c r="N28" s="130">
        <f>COUNTIFS('Daily Tracking'!$A$6:$A$735,"&gt;="&amp;B28,'Daily Tracking'!$A$6:$A$735,"&lt;="&amp;C28,'Daily Tracking'!$B$6:$B$735,"&lt;&gt;")</f>
        <v>0</v>
      </c>
      <c r="S28" s="3" t="e">
        <f t="shared" si="0"/>
        <v>#N/A</v>
      </c>
      <c r="T28" s="3" t="e">
        <f t="shared" si="1"/>
        <v>#N/A</v>
      </c>
    </row>
    <row r="29" spans="1:20" ht="18" customHeight="1" x14ac:dyDescent="0.3">
      <c r="A29" s="136">
        <f>A28+1</f>
        <v>24</v>
      </c>
      <c r="B29" s="166">
        <f>Settings!$B$4+(A29-1)*7</f>
        <v>46439</v>
      </c>
      <c r="C29" s="166">
        <f>B29+6</f>
        <v>46445</v>
      </c>
      <c r="D29" s="133" t="str">
        <f>IF(N29=0,"",AVERAGEIFS('Daily Tracking'!$B$6:$B$735,'Daily Tracking'!$A$6:$A$735,"&gt;="&amp;B29,'Daily Tracking'!$A$6:$A$735,"&lt;="&amp;C29))</f>
        <v/>
      </c>
      <c r="E29" s="167" t="str">
        <f>IF(OR(D29="",D28=""),"",D28-D29)</f>
        <v/>
      </c>
      <c r="F29" s="168" t="str">
        <f>IF(E29="","",E29/D28)</f>
        <v/>
      </c>
      <c r="G29" s="134" t="str">
        <f>IFERROR(AVERAGEIFS('Daily Tracking'!$E$6:$E$735,'Daily Tracking'!$A$6:$A$735,"&gt;="&amp;B29,'Daily Tracking'!$A$6:$A$735,"&lt;="&amp;C29),"")</f>
        <v/>
      </c>
      <c r="H29" s="135" t="str">
        <f>IFERROR(AVERAGEIFS('Daily Tracking'!$F$6:$F$735,'Daily Tracking'!$A$6:$A$735,"&gt;="&amp;B29,'Daily Tracking'!$A$6:$A$735,"&lt;="&amp;C29),"")</f>
        <v/>
      </c>
      <c r="I29" s="134" t="str">
        <f>IFERROR(AVERAGEIFS('Daily Tracking'!$H$6:$H$735,'Daily Tracking'!$A$6:$A$735,"&gt;="&amp;B29,'Daily Tracking'!$A$6:$A$735,"&lt;="&amp;C29),"")</f>
        <v/>
      </c>
      <c r="J29" s="133" t="str">
        <f>IFERROR(AVERAGEIFS('Daily Tracking'!$K$6:$K$735,'Daily Tracking'!$A$6:$A$735,"&gt;="&amp;B29,'Daily Tracking'!$A$6:$A$735,"&lt;="&amp;C29),"")</f>
        <v/>
      </c>
      <c r="K29" s="133" t="str">
        <f>IFERROR(AVERAGEIFS('Daily Tracking'!$G$6:$G$735,'Daily Tracking'!$A$6:$A$735,"&gt;="&amp;B29,'Daily Tracking'!$A$6:$A$735,"&lt;="&amp;C29),"")</f>
        <v/>
      </c>
      <c r="L29" s="135" t="str">
        <f>IF(N29=0,"",SUMIFS('Daily Tracking'!$I$6:$I$735,'Daily Tracking'!$A$6:$A$735,"&gt;="&amp;B29,'Daily Tracking'!$A$6:$A$735,"&lt;="&amp;C29))</f>
        <v/>
      </c>
      <c r="M29" s="135" t="str">
        <f>IF(N29=0,"",COUNTIFS('Daily Tracking'!$A$6:$A$735,"&gt;="&amp;B29,'Daily Tracking'!$A$6:$A$735,"&lt;="&amp;C29,'Daily Tracking'!$J$6:$J$735,"Yes"))</f>
        <v/>
      </c>
      <c r="N29" s="136">
        <f>COUNTIFS('Daily Tracking'!$A$6:$A$735,"&gt;="&amp;B29,'Daily Tracking'!$A$6:$A$735,"&lt;="&amp;C29,'Daily Tracking'!$B$6:$B$735,"&lt;&gt;")</f>
        <v>0</v>
      </c>
      <c r="S29" s="3" t="e">
        <f t="shared" si="0"/>
        <v>#N/A</v>
      </c>
      <c r="T29" s="3" t="e">
        <f t="shared" si="1"/>
        <v>#N/A</v>
      </c>
    </row>
    <row r="30" spans="1:20" ht="18" customHeight="1" x14ac:dyDescent="0.3">
      <c r="A30" s="130">
        <f>A29+1</f>
        <v>25</v>
      </c>
      <c r="B30" s="161">
        <f>Settings!$B$4+(A30-1)*7</f>
        <v>46446</v>
      </c>
      <c r="C30" s="161">
        <f>B30+6</f>
        <v>46452</v>
      </c>
      <c r="D30" s="125" t="str">
        <f>IF(N30=0,"",AVERAGEIFS('Daily Tracking'!$B$6:$B$735,'Daily Tracking'!$A$6:$A$735,"&gt;="&amp;B30,'Daily Tracking'!$A$6:$A$735,"&lt;="&amp;C30))</f>
        <v/>
      </c>
      <c r="E30" s="162" t="str">
        <f>IF(OR(D30="",D29=""),"",D29-D30)</f>
        <v/>
      </c>
      <c r="F30" s="163" t="str">
        <f>IF(E30="","",E30/D29)</f>
        <v/>
      </c>
      <c r="G30" s="128" t="str">
        <f>IFERROR(AVERAGEIFS('Daily Tracking'!$E$6:$E$735,'Daily Tracking'!$A$6:$A$735,"&gt;="&amp;B30,'Daily Tracking'!$A$6:$A$735,"&lt;="&amp;C30),"")</f>
        <v/>
      </c>
      <c r="H30" s="129" t="str">
        <f>IFERROR(AVERAGEIFS('Daily Tracking'!$F$6:$F$735,'Daily Tracking'!$A$6:$A$735,"&gt;="&amp;B30,'Daily Tracking'!$A$6:$A$735,"&lt;="&amp;C30),"")</f>
        <v/>
      </c>
      <c r="I30" s="128" t="str">
        <f>IFERROR(AVERAGEIFS('Daily Tracking'!$H$6:$H$735,'Daily Tracking'!$A$6:$A$735,"&gt;="&amp;B30,'Daily Tracking'!$A$6:$A$735,"&lt;="&amp;C30),"")</f>
        <v/>
      </c>
      <c r="J30" s="125" t="str">
        <f>IFERROR(AVERAGEIFS('Daily Tracking'!$K$6:$K$735,'Daily Tracking'!$A$6:$A$735,"&gt;="&amp;B30,'Daily Tracking'!$A$6:$A$735,"&lt;="&amp;C30),"")</f>
        <v/>
      </c>
      <c r="K30" s="125" t="str">
        <f>IFERROR(AVERAGEIFS('Daily Tracking'!$G$6:$G$735,'Daily Tracking'!$A$6:$A$735,"&gt;="&amp;B30,'Daily Tracking'!$A$6:$A$735,"&lt;="&amp;C30),"")</f>
        <v/>
      </c>
      <c r="L30" s="129" t="str">
        <f>IF(N30=0,"",SUMIFS('Daily Tracking'!$I$6:$I$735,'Daily Tracking'!$A$6:$A$735,"&gt;="&amp;B30,'Daily Tracking'!$A$6:$A$735,"&lt;="&amp;C30))</f>
        <v/>
      </c>
      <c r="M30" s="129" t="str">
        <f>IF(N30=0,"",COUNTIFS('Daily Tracking'!$A$6:$A$735,"&gt;="&amp;B30,'Daily Tracking'!$A$6:$A$735,"&lt;="&amp;C30,'Daily Tracking'!$J$6:$J$735,"Yes"))</f>
        <v/>
      </c>
      <c r="N30" s="130">
        <f>COUNTIFS('Daily Tracking'!$A$6:$A$735,"&gt;="&amp;B30,'Daily Tracking'!$A$6:$A$735,"&lt;="&amp;C30,'Daily Tracking'!$B$6:$B$735,"&lt;&gt;")</f>
        <v>0</v>
      </c>
      <c r="S30" s="3" t="e">
        <f t="shared" si="0"/>
        <v>#N/A</v>
      </c>
      <c r="T30" s="3" t="e">
        <f t="shared" si="1"/>
        <v>#N/A</v>
      </c>
    </row>
    <row r="31" spans="1:20" ht="18" customHeight="1" x14ac:dyDescent="0.3">
      <c r="A31" s="136">
        <f>A30+1</f>
        <v>26</v>
      </c>
      <c r="B31" s="166">
        <f>Settings!$B$4+(A31-1)*7</f>
        <v>46453</v>
      </c>
      <c r="C31" s="166">
        <f>B31+6</f>
        <v>46459</v>
      </c>
      <c r="D31" s="133" t="str">
        <f>IF(N31=0,"",AVERAGEIFS('Daily Tracking'!$B$6:$B$735,'Daily Tracking'!$A$6:$A$735,"&gt;="&amp;B31,'Daily Tracking'!$A$6:$A$735,"&lt;="&amp;C31))</f>
        <v/>
      </c>
      <c r="E31" s="167" t="str">
        <f>IF(OR(D31="",D30=""),"",D30-D31)</f>
        <v/>
      </c>
      <c r="F31" s="168" t="str">
        <f>IF(E31="","",E31/D30)</f>
        <v/>
      </c>
      <c r="G31" s="134" t="str">
        <f>IFERROR(AVERAGEIFS('Daily Tracking'!$E$6:$E$735,'Daily Tracking'!$A$6:$A$735,"&gt;="&amp;B31,'Daily Tracking'!$A$6:$A$735,"&lt;="&amp;C31),"")</f>
        <v/>
      </c>
      <c r="H31" s="135" t="str">
        <f>IFERROR(AVERAGEIFS('Daily Tracking'!$F$6:$F$735,'Daily Tracking'!$A$6:$A$735,"&gt;="&amp;B31,'Daily Tracking'!$A$6:$A$735,"&lt;="&amp;C31),"")</f>
        <v/>
      </c>
      <c r="I31" s="134" t="str">
        <f>IFERROR(AVERAGEIFS('Daily Tracking'!$H$6:$H$735,'Daily Tracking'!$A$6:$A$735,"&gt;="&amp;B31,'Daily Tracking'!$A$6:$A$735,"&lt;="&amp;C31),"")</f>
        <v/>
      </c>
      <c r="J31" s="133" t="str">
        <f>IFERROR(AVERAGEIFS('Daily Tracking'!$K$6:$K$735,'Daily Tracking'!$A$6:$A$735,"&gt;="&amp;B31,'Daily Tracking'!$A$6:$A$735,"&lt;="&amp;C31),"")</f>
        <v/>
      </c>
      <c r="K31" s="133" t="str">
        <f>IFERROR(AVERAGEIFS('Daily Tracking'!$G$6:$G$735,'Daily Tracking'!$A$6:$A$735,"&gt;="&amp;B31,'Daily Tracking'!$A$6:$A$735,"&lt;="&amp;C31),"")</f>
        <v/>
      </c>
      <c r="L31" s="135" t="str">
        <f>IF(N31=0,"",SUMIFS('Daily Tracking'!$I$6:$I$735,'Daily Tracking'!$A$6:$A$735,"&gt;="&amp;B31,'Daily Tracking'!$A$6:$A$735,"&lt;="&amp;C31))</f>
        <v/>
      </c>
      <c r="M31" s="135" t="str">
        <f>IF(N31=0,"",COUNTIFS('Daily Tracking'!$A$6:$A$735,"&gt;="&amp;B31,'Daily Tracking'!$A$6:$A$735,"&lt;="&amp;C31,'Daily Tracking'!$J$6:$J$735,"Yes"))</f>
        <v/>
      </c>
      <c r="N31" s="136">
        <f>COUNTIFS('Daily Tracking'!$A$6:$A$735,"&gt;="&amp;B31,'Daily Tracking'!$A$6:$A$735,"&lt;="&amp;C31,'Daily Tracking'!$B$6:$B$735,"&lt;&gt;")</f>
        <v>0</v>
      </c>
      <c r="S31" s="3" t="e">
        <f t="shared" si="0"/>
        <v>#N/A</v>
      </c>
      <c r="T31" s="3" t="e">
        <f t="shared" si="1"/>
        <v>#N/A</v>
      </c>
    </row>
    <row r="32" spans="1:20" ht="18" customHeight="1" x14ac:dyDescent="0.3">
      <c r="A32" s="130">
        <f>A31+1</f>
        <v>27</v>
      </c>
      <c r="B32" s="161">
        <f>Settings!$B$4+(A32-1)*7</f>
        <v>46460</v>
      </c>
      <c r="C32" s="161">
        <f>B32+6</f>
        <v>46466</v>
      </c>
      <c r="D32" s="125" t="str">
        <f>IF(N32=0,"",AVERAGEIFS('Daily Tracking'!$B$6:$B$735,'Daily Tracking'!$A$6:$A$735,"&gt;="&amp;B32,'Daily Tracking'!$A$6:$A$735,"&lt;="&amp;C32))</f>
        <v/>
      </c>
      <c r="E32" s="162" t="str">
        <f>IF(OR(D32="",D31=""),"",D31-D32)</f>
        <v/>
      </c>
      <c r="F32" s="163" t="str">
        <f>IF(E32="","",E32/D31)</f>
        <v/>
      </c>
      <c r="G32" s="128" t="str">
        <f>IFERROR(AVERAGEIFS('Daily Tracking'!$E$6:$E$735,'Daily Tracking'!$A$6:$A$735,"&gt;="&amp;B32,'Daily Tracking'!$A$6:$A$735,"&lt;="&amp;C32),"")</f>
        <v/>
      </c>
      <c r="H32" s="129" t="str">
        <f>IFERROR(AVERAGEIFS('Daily Tracking'!$F$6:$F$735,'Daily Tracking'!$A$6:$A$735,"&gt;="&amp;B32,'Daily Tracking'!$A$6:$A$735,"&lt;="&amp;C32),"")</f>
        <v/>
      </c>
      <c r="I32" s="128" t="str">
        <f>IFERROR(AVERAGEIFS('Daily Tracking'!$H$6:$H$735,'Daily Tracking'!$A$6:$A$735,"&gt;="&amp;B32,'Daily Tracking'!$A$6:$A$735,"&lt;="&amp;C32),"")</f>
        <v/>
      </c>
      <c r="J32" s="125" t="str">
        <f>IFERROR(AVERAGEIFS('Daily Tracking'!$K$6:$K$735,'Daily Tracking'!$A$6:$A$735,"&gt;="&amp;B32,'Daily Tracking'!$A$6:$A$735,"&lt;="&amp;C32),"")</f>
        <v/>
      </c>
      <c r="K32" s="125" t="str">
        <f>IFERROR(AVERAGEIFS('Daily Tracking'!$G$6:$G$735,'Daily Tracking'!$A$6:$A$735,"&gt;="&amp;B32,'Daily Tracking'!$A$6:$A$735,"&lt;="&amp;C32),"")</f>
        <v/>
      </c>
      <c r="L32" s="129" t="str">
        <f>IF(N32=0,"",SUMIFS('Daily Tracking'!$I$6:$I$735,'Daily Tracking'!$A$6:$A$735,"&gt;="&amp;B32,'Daily Tracking'!$A$6:$A$735,"&lt;="&amp;C32))</f>
        <v/>
      </c>
      <c r="M32" s="129" t="str">
        <f>IF(N32=0,"",COUNTIFS('Daily Tracking'!$A$6:$A$735,"&gt;="&amp;B32,'Daily Tracking'!$A$6:$A$735,"&lt;="&amp;C32,'Daily Tracking'!$J$6:$J$735,"Yes"))</f>
        <v/>
      </c>
      <c r="N32" s="130">
        <f>COUNTIFS('Daily Tracking'!$A$6:$A$735,"&gt;="&amp;B32,'Daily Tracking'!$A$6:$A$735,"&lt;="&amp;C32,'Daily Tracking'!$B$6:$B$735,"&lt;&gt;")</f>
        <v>0</v>
      </c>
      <c r="S32" s="3" t="e">
        <f t="shared" si="0"/>
        <v>#N/A</v>
      </c>
      <c r="T32" s="3" t="e">
        <f t="shared" si="1"/>
        <v>#N/A</v>
      </c>
    </row>
    <row r="33" spans="1:20" ht="18" customHeight="1" x14ac:dyDescent="0.3">
      <c r="A33" s="136">
        <f>A32+1</f>
        <v>28</v>
      </c>
      <c r="B33" s="166">
        <f>Settings!$B$4+(A33-1)*7</f>
        <v>46467</v>
      </c>
      <c r="C33" s="166">
        <f>B33+6</f>
        <v>46473</v>
      </c>
      <c r="D33" s="133" t="str">
        <f>IF(N33=0,"",AVERAGEIFS('Daily Tracking'!$B$6:$B$735,'Daily Tracking'!$A$6:$A$735,"&gt;="&amp;B33,'Daily Tracking'!$A$6:$A$735,"&lt;="&amp;C33))</f>
        <v/>
      </c>
      <c r="E33" s="167" t="str">
        <f>IF(OR(D33="",D32=""),"",D32-D33)</f>
        <v/>
      </c>
      <c r="F33" s="168" t="str">
        <f>IF(E33="","",E33/D32)</f>
        <v/>
      </c>
      <c r="G33" s="134" t="str">
        <f>IFERROR(AVERAGEIFS('Daily Tracking'!$E$6:$E$735,'Daily Tracking'!$A$6:$A$735,"&gt;="&amp;B33,'Daily Tracking'!$A$6:$A$735,"&lt;="&amp;C33),"")</f>
        <v/>
      </c>
      <c r="H33" s="135" t="str">
        <f>IFERROR(AVERAGEIFS('Daily Tracking'!$F$6:$F$735,'Daily Tracking'!$A$6:$A$735,"&gt;="&amp;B33,'Daily Tracking'!$A$6:$A$735,"&lt;="&amp;C33),"")</f>
        <v/>
      </c>
      <c r="I33" s="134" t="str">
        <f>IFERROR(AVERAGEIFS('Daily Tracking'!$H$6:$H$735,'Daily Tracking'!$A$6:$A$735,"&gt;="&amp;B33,'Daily Tracking'!$A$6:$A$735,"&lt;="&amp;C33),"")</f>
        <v/>
      </c>
      <c r="J33" s="133" t="str">
        <f>IFERROR(AVERAGEIFS('Daily Tracking'!$K$6:$K$735,'Daily Tracking'!$A$6:$A$735,"&gt;="&amp;B33,'Daily Tracking'!$A$6:$A$735,"&lt;="&amp;C33),"")</f>
        <v/>
      </c>
      <c r="K33" s="133" t="str">
        <f>IFERROR(AVERAGEIFS('Daily Tracking'!$G$6:$G$735,'Daily Tracking'!$A$6:$A$735,"&gt;="&amp;B33,'Daily Tracking'!$A$6:$A$735,"&lt;="&amp;C33),"")</f>
        <v/>
      </c>
      <c r="L33" s="135" t="str">
        <f>IF(N33=0,"",SUMIFS('Daily Tracking'!$I$6:$I$735,'Daily Tracking'!$A$6:$A$735,"&gt;="&amp;B33,'Daily Tracking'!$A$6:$A$735,"&lt;="&amp;C33))</f>
        <v/>
      </c>
      <c r="M33" s="135" t="str">
        <f>IF(N33=0,"",COUNTIFS('Daily Tracking'!$A$6:$A$735,"&gt;="&amp;B33,'Daily Tracking'!$A$6:$A$735,"&lt;="&amp;C33,'Daily Tracking'!$J$6:$J$735,"Yes"))</f>
        <v/>
      </c>
      <c r="N33" s="136">
        <f>COUNTIFS('Daily Tracking'!$A$6:$A$735,"&gt;="&amp;B33,'Daily Tracking'!$A$6:$A$735,"&lt;="&amp;C33,'Daily Tracking'!$B$6:$B$735,"&lt;&gt;")</f>
        <v>0</v>
      </c>
      <c r="S33" s="3" t="e">
        <f t="shared" si="0"/>
        <v>#N/A</v>
      </c>
      <c r="T33" s="3" t="e">
        <f t="shared" si="1"/>
        <v>#N/A</v>
      </c>
    </row>
    <row r="34" spans="1:20" ht="18" customHeight="1" x14ac:dyDescent="0.3">
      <c r="A34" s="130">
        <f>A33+1</f>
        <v>29</v>
      </c>
      <c r="B34" s="161">
        <f>Settings!$B$4+(A34-1)*7</f>
        <v>46474</v>
      </c>
      <c r="C34" s="161">
        <f>B34+6</f>
        <v>46480</v>
      </c>
      <c r="D34" s="125" t="str">
        <f>IF(N34=0,"",AVERAGEIFS('Daily Tracking'!$B$6:$B$735,'Daily Tracking'!$A$6:$A$735,"&gt;="&amp;B34,'Daily Tracking'!$A$6:$A$735,"&lt;="&amp;C34))</f>
        <v/>
      </c>
      <c r="E34" s="162" t="str">
        <f>IF(OR(D34="",D33=""),"",D33-D34)</f>
        <v/>
      </c>
      <c r="F34" s="163" t="str">
        <f>IF(E34="","",E34/D33)</f>
        <v/>
      </c>
      <c r="G34" s="128" t="str">
        <f>IFERROR(AVERAGEIFS('Daily Tracking'!$E$6:$E$735,'Daily Tracking'!$A$6:$A$735,"&gt;="&amp;B34,'Daily Tracking'!$A$6:$A$735,"&lt;="&amp;C34),"")</f>
        <v/>
      </c>
      <c r="H34" s="129" t="str">
        <f>IFERROR(AVERAGEIFS('Daily Tracking'!$F$6:$F$735,'Daily Tracking'!$A$6:$A$735,"&gt;="&amp;B34,'Daily Tracking'!$A$6:$A$735,"&lt;="&amp;C34),"")</f>
        <v/>
      </c>
      <c r="I34" s="128" t="str">
        <f>IFERROR(AVERAGEIFS('Daily Tracking'!$H$6:$H$735,'Daily Tracking'!$A$6:$A$735,"&gt;="&amp;B34,'Daily Tracking'!$A$6:$A$735,"&lt;="&amp;C34),"")</f>
        <v/>
      </c>
      <c r="J34" s="125" t="str">
        <f>IFERROR(AVERAGEIFS('Daily Tracking'!$K$6:$K$735,'Daily Tracking'!$A$6:$A$735,"&gt;="&amp;B34,'Daily Tracking'!$A$6:$A$735,"&lt;="&amp;C34),"")</f>
        <v/>
      </c>
      <c r="K34" s="125" t="str">
        <f>IFERROR(AVERAGEIFS('Daily Tracking'!$G$6:$G$735,'Daily Tracking'!$A$6:$A$735,"&gt;="&amp;B34,'Daily Tracking'!$A$6:$A$735,"&lt;="&amp;C34),"")</f>
        <v/>
      </c>
      <c r="L34" s="129" t="str">
        <f>IF(N34=0,"",SUMIFS('Daily Tracking'!$I$6:$I$735,'Daily Tracking'!$A$6:$A$735,"&gt;="&amp;B34,'Daily Tracking'!$A$6:$A$735,"&lt;="&amp;C34))</f>
        <v/>
      </c>
      <c r="M34" s="129" t="str">
        <f>IF(N34=0,"",COUNTIFS('Daily Tracking'!$A$6:$A$735,"&gt;="&amp;B34,'Daily Tracking'!$A$6:$A$735,"&lt;="&amp;C34,'Daily Tracking'!$J$6:$J$735,"Yes"))</f>
        <v/>
      </c>
      <c r="N34" s="130">
        <f>COUNTIFS('Daily Tracking'!$A$6:$A$735,"&gt;="&amp;B34,'Daily Tracking'!$A$6:$A$735,"&lt;="&amp;C34,'Daily Tracking'!$B$6:$B$735,"&lt;&gt;")</f>
        <v>0</v>
      </c>
      <c r="S34" s="3" t="e">
        <f t="shared" si="0"/>
        <v>#N/A</v>
      </c>
      <c r="T34" s="3" t="e">
        <f t="shared" si="1"/>
        <v>#N/A</v>
      </c>
    </row>
    <row r="35" spans="1:20" ht="18" customHeight="1" x14ac:dyDescent="0.3">
      <c r="A35" s="136">
        <f>A34+1</f>
        <v>30</v>
      </c>
      <c r="B35" s="166">
        <f>Settings!$B$4+(A35-1)*7</f>
        <v>46481</v>
      </c>
      <c r="C35" s="166">
        <f>B35+6</f>
        <v>46487</v>
      </c>
      <c r="D35" s="133" t="str">
        <f>IF(N35=0,"",AVERAGEIFS('Daily Tracking'!$B$6:$B$735,'Daily Tracking'!$A$6:$A$735,"&gt;="&amp;B35,'Daily Tracking'!$A$6:$A$735,"&lt;="&amp;C35))</f>
        <v/>
      </c>
      <c r="E35" s="167" t="str">
        <f>IF(OR(D35="",D34=""),"",D34-D35)</f>
        <v/>
      </c>
      <c r="F35" s="168" t="str">
        <f>IF(E35="","",E35/D34)</f>
        <v/>
      </c>
      <c r="G35" s="134" t="str">
        <f>IFERROR(AVERAGEIFS('Daily Tracking'!$E$6:$E$735,'Daily Tracking'!$A$6:$A$735,"&gt;="&amp;B35,'Daily Tracking'!$A$6:$A$735,"&lt;="&amp;C35),"")</f>
        <v/>
      </c>
      <c r="H35" s="135" t="str">
        <f>IFERROR(AVERAGEIFS('Daily Tracking'!$F$6:$F$735,'Daily Tracking'!$A$6:$A$735,"&gt;="&amp;B35,'Daily Tracking'!$A$6:$A$735,"&lt;="&amp;C35),"")</f>
        <v/>
      </c>
      <c r="I35" s="134" t="str">
        <f>IFERROR(AVERAGEIFS('Daily Tracking'!$H$6:$H$735,'Daily Tracking'!$A$6:$A$735,"&gt;="&amp;B35,'Daily Tracking'!$A$6:$A$735,"&lt;="&amp;C35),"")</f>
        <v/>
      </c>
      <c r="J35" s="133" t="str">
        <f>IFERROR(AVERAGEIFS('Daily Tracking'!$K$6:$K$735,'Daily Tracking'!$A$6:$A$735,"&gt;="&amp;B35,'Daily Tracking'!$A$6:$A$735,"&lt;="&amp;C35),"")</f>
        <v/>
      </c>
      <c r="K35" s="133" t="str">
        <f>IFERROR(AVERAGEIFS('Daily Tracking'!$G$6:$G$735,'Daily Tracking'!$A$6:$A$735,"&gt;="&amp;B35,'Daily Tracking'!$A$6:$A$735,"&lt;="&amp;C35),"")</f>
        <v/>
      </c>
      <c r="L35" s="135" t="str">
        <f>IF(N35=0,"",SUMIFS('Daily Tracking'!$I$6:$I$735,'Daily Tracking'!$A$6:$A$735,"&gt;="&amp;B35,'Daily Tracking'!$A$6:$A$735,"&lt;="&amp;C35))</f>
        <v/>
      </c>
      <c r="M35" s="135" t="str">
        <f>IF(N35=0,"",COUNTIFS('Daily Tracking'!$A$6:$A$735,"&gt;="&amp;B35,'Daily Tracking'!$A$6:$A$735,"&lt;="&amp;C35,'Daily Tracking'!$J$6:$J$735,"Yes"))</f>
        <v/>
      </c>
      <c r="N35" s="136">
        <f>COUNTIFS('Daily Tracking'!$A$6:$A$735,"&gt;="&amp;B35,'Daily Tracking'!$A$6:$A$735,"&lt;="&amp;C35,'Daily Tracking'!$B$6:$B$735,"&lt;&gt;")</f>
        <v>0</v>
      </c>
      <c r="S35" s="3" t="e">
        <f t="shared" si="0"/>
        <v>#N/A</v>
      </c>
      <c r="T35" s="3" t="e">
        <f t="shared" si="1"/>
        <v>#N/A</v>
      </c>
    </row>
    <row r="36" spans="1:20" ht="18" customHeight="1" x14ac:dyDescent="0.3">
      <c r="A36" s="130">
        <f>A35+1</f>
        <v>31</v>
      </c>
      <c r="B36" s="161">
        <f>Settings!$B$4+(A36-1)*7</f>
        <v>46488</v>
      </c>
      <c r="C36" s="161">
        <f>B36+6</f>
        <v>46494</v>
      </c>
      <c r="D36" s="125" t="str">
        <f>IF(N36=0,"",AVERAGEIFS('Daily Tracking'!$B$6:$B$735,'Daily Tracking'!$A$6:$A$735,"&gt;="&amp;B36,'Daily Tracking'!$A$6:$A$735,"&lt;="&amp;C36))</f>
        <v/>
      </c>
      <c r="E36" s="162" t="str">
        <f>IF(OR(D36="",D35=""),"",D35-D36)</f>
        <v/>
      </c>
      <c r="F36" s="163" t="str">
        <f>IF(E36="","",E36/D35)</f>
        <v/>
      </c>
      <c r="G36" s="128" t="str">
        <f>IFERROR(AVERAGEIFS('Daily Tracking'!$E$6:$E$735,'Daily Tracking'!$A$6:$A$735,"&gt;="&amp;B36,'Daily Tracking'!$A$6:$A$735,"&lt;="&amp;C36),"")</f>
        <v/>
      </c>
      <c r="H36" s="129" t="str">
        <f>IFERROR(AVERAGEIFS('Daily Tracking'!$F$6:$F$735,'Daily Tracking'!$A$6:$A$735,"&gt;="&amp;B36,'Daily Tracking'!$A$6:$A$735,"&lt;="&amp;C36),"")</f>
        <v/>
      </c>
      <c r="I36" s="128" t="str">
        <f>IFERROR(AVERAGEIFS('Daily Tracking'!$H$6:$H$735,'Daily Tracking'!$A$6:$A$735,"&gt;="&amp;B36,'Daily Tracking'!$A$6:$A$735,"&lt;="&amp;C36),"")</f>
        <v/>
      </c>
      <c r="J36" s="125" t="str">
        <f>IFERROR(AVERAGEIFS('Daily Tracking'!$K$6:$K$735,'Daily Tracking'!$A$6:$A$735,"&gt;="&amp;B36,'Daily Tracking'!$A$6:$A$735,"&lt;="&amp;C36),"")</f>
        <v/>
      </c>
      <c r="K36" s="125" t="str">
        <f>IFERROR(AVERAGEIFS('Daily Tracking'!$G$6:$G$735,'Daily Tracking'!$A$6:$A$735,"&gt;="&amp;B36,'Daily Tracking'!$A$6:$A$735,"&lt;="&amp;C36),"")</f>
        <v/>
      </c>
      <c r="L36" s="129" t="str">
        <f>IF(N36=0,"",SUMIFS('Daily Tracking'!$I$6:$I$735,'Daily Tracking'!$A$6:$A$735,"&gt;="&amp;B36,'Daily Tracking'!$A$6:$A$735,"&lt;="&amp;C36))</f>
        <v/>
      </c>
      <c r="M36" s="129" t="str">
        <f>IF(N36=0,"",COUNTIFS('Daily Tracking'!$A$6:$A$735,"&gt;="&amp;B36,'Daily Tracking'!$A$6:$A$735,"&lt;="&amp;C36,'Daily Tracking'!$J$6:$J$735,"Yes"))</f>
        <v/>
      </c>
      <c r="N36" s="130">
        <f>COUNTIFS('Daily Tracking'!$A$6:$A$735,"&gt;="&amp;B36,'Daily Tracking'!$A$6:$A$735,"&lt;="&amp;C36,'Daily Tracking'!$B$6:$B$735,"&lt;&gt;")</f>
        <v>0</v>
      </c>
      <c r="S36" s="3" t="e">
        <f t="shared" si="0"/>
        <v>#N/A</v>
      </c>
      <c r="T36" s="3" t="e">
        <f t="shared" si="1"/>
        <v>#N/A</v>
      </c>
    </row>
    <row r="37" spans="1:20" ht="18" customHeight="1" x14ac:dyDescent="0.3">
      <c r="A37" s="136">
        <f>A36+1</f>
        <v>32</v>
      </c>
      <c r="B37" s="166">
        <f>Settings!$B$4+(A37-1)*7</f>
        <v>46495</v>
      </c>
      <c r="C37" s="166">
        <f>B37+6</f>
        <v>46501</v>
      </c>
      <c r="D37" s="133" t="str">
        <f>IF(N37=0,"",AVERAGEIFS('Daily Tracking'!$B$6:$B$735,'Daily Tracking'!$A$6:$A$735,"&gt;="&amp;B37,'Daily Tracking'!$A$6:$A$735,"&lt;="&amp;C37))</f>
        <v/>
      </c>
      <c r="E37" s="167" t="str">
        <f>IF(OR(D37="",D36=""),"",D36-D37)</f>
        <v/>
      </c>
      <c r="F37" s="168" t="str">
        <f>IF(E37="","",E37/D36)</f>
        <v/>
      </c>
      <c r="G37" s="134" t="str">
        <f>IFERROR(AVERAGEIFS('Daily Tracking'!$E$6:$E$735,'Daily Tracking'!$A$6:$A$735,"&gt;="&amp;B37,'Daily Tracking'!$A$6:$A$735,"&lt;="&amp;C37),"")</f>
        <v/>
      </c>
      <c r="H37" s="135" t="str">
        <f>IFERROR(AVERAGEIFS('Daily Tracking'!$F$6:$F$735,'Daily Tracking'!$A$6:$A$735,"&gt;="&amp;B37,'Daily Tracking'!$A$6:$A$735,"&lt;="&amp;C37),"")</f>
        <v/>
      </c>
      <c r="I37" s="134" t="str">
        <f>IFERROR(AVERAGEIFS('Daily Tracking'!$H$6:$H$735,'Daily Tracking'!$A$6:$A$735,"&gt;="&amp;B37,'Daily Tracking'!$A$6:$A$735,"&lt;="&amp;C37),"")</f>
        <v/>
      </c>
      <c r="J37" s="133" t="str">
        <f>IFERROR(AVERAGEIFS('Daily Tracking'!$K$6:$K$735,'Daily Tracking'!$A$6:$A$735,"&gt;="&amp;B37,'Daily Tracking'!$A$6:$A$735,"&lt;="&amp;C37),"")</f>
        <v/>
      </c>
      <c r="K37" s="133" t="str">
        <f>IFERROR(AVERAGEIFS('Daily Tracking'!$G$6:$G$735,'Daily Tracking'!$A$6:$A$735,"&gt;="&amp;B37,'Daily Tracking'!$A$6:$A$735,"&lt;="&amp;C37),"")</f>
        <v/>
      </c>
      <c r="L37" s="135" t="str">
        <f>IF(N37=0,"",SUMIFS('Daily Tracking'!$I$6:$I$735,'Daily Tracking'!$A$6:$A$735,"&gt;="&amp;B37,'Daily Tracking'!$A$6:$A$735,"&lt;="&amp;C37))</f>
        <v/>
      </c>
      <c r="M37" s="135" t="str">
        <f>IF(N37=0,"",COUNTIFS('Daily Tracking'!$A$6:$A$735,"&gt;="&amp;B37,'Daily Tracking'!$A$6:$A$735,"&lt;="&amp;C37,'Daily Tracking'!$J$6:$J$735,"Yes"))</f>
        <v/>
      </c>
      <c r="N37" s="136">
        <f>COUNTIFS('Daily Tracking'!$A$6:$A$735,"&gt;="&amp;B37,'Daily Tracking'!$A$6:$A$735,"&lt;="&amp;C37,'Daily Tracking'!$B$6:$B$735,"&lt;&gt;")</f>
        <v>0</v>
      </c>
      <c r="S37" s="3" t="e">
        <f t="shared" si="0"/>
        <v>#N/A</v>
      </c>
      <c r="T37" s="3" t="e">
        <f t="shared" si="1"/>
        <v>#N/A</v>
      </c>
    </row>
    <row r="38" spans="1:20" ht="18" customHeight="1" x14ac:dyDescent="0.3">
      <c r="A38" s="130">
        <f>A37+1</f>
        <v>33</v>
      </c>
      <c r="B38" s="161">
        <f>Settings!$B$4+(A38-1)*7</f>
        <v>46502</v>
      </c>
      <c r="C38" s="161">
        <f>B38+6</f>
        <v>46508</v>
      </c>
      <c r="D38" s="125" t="str">
        <f>IF(N38=0,"",AVERAGEIFS('Daily Tracking'!$B$6:$B$735,'Daily Tracking'!$A$6:$A$735,"&gt;="&amp;B38,'Daily Tracking'!$A$6:$A$735,"&lt;="&amp;C38))</f>
        <v/>
      </c>
      <c r="E38" s="162" t="str">
        <f>IF(OR(D38="",D37=""),"",D37-D38)</f>
        <v/>
      </c>
      <c r="F38" s="163" t="str">
        <f>IF(E38="","",E38/D37)</f>
        <v/>
      </c>
      <c r="G38" s="128" t="str">
        <f>IFERROR(AVERAGEIFS('Daily Tracking'!$E$6:$E$735,'Daily Tracking'!$A$6:$A$735,"&gt;="&amp;B38,'Daily Tracking'!$A$6:$A$735,"&lt;="&amp;C38),"")</f>
        <v/>
      </c>
      <c r="H38" s="129" t="str">
        <f>IFERROR(AVERAGEIFS('Daily Tracking'!$F$6:$F$735,'Daily Tracking'!$A$6:$A$735,"&gt;="&amp;B38,'Daily Tracking'!$A$6:$A$735,"&lt;="&amp;C38),"")</f>
        <v/>
      </c>
      <c r="I38" s="128" t="str">
        <f>IFERROR(AVERAGEIFS('Daily Tracking'!$H$6:$H$735,'Daily Tracking'!$A$6:$A$735,"&gt;="&amp;B38,'Daily Tracking'!$A$6:$A$735,"&lt;="&amp;C38),"")</f>
        <v/>
      </c>
      <c r="J38" s="125" t="str">
        <f>IFERROR(AVERAGEIFS('Daily Tracking'!$K$6:$K$735,'Daily Tracking'!$A$6:$A$735,"&gt;="&amp;B38,'Daily Tracking'!$A$6:$A$735,"&lt;="&amp;C38),"")</f>
        <v/>
      </c>
      <c r="K38" s="125" t="str">
        <f>IFERROR(AVERAGEIFS('Daily Tracking'!$G$6:$G$735,'Daily Tracking'!$A$6:$A$735,"&gt;="&amp;B38,'Daily Tracking'!$A$6:$A$735,"&lt;="&amp;C38),"")</f>
        <v/>
      </c>
      <c r="L38" s="129" t="str">
        <f>IF(N38=0,"",SUMIFS('Daily Tracking'!$I$6:$I$735,'Daily Tracking'!$A$6:$A$735,"&gt;="&amp;B38,'Daily Tracking'!$A$6:$A$735,"&lt;="&amp;C38))</f>
        <v/>
      </c>
      <c r="M38" s="129" t="str">
        <f>IF(N38=0,"",COUNTIFS('Daily Tracking'!$A$6:$A$735,"&gt;="&amp;B38,'Daily Tracking'!$A$6:$A$735,"&lt;="&amp;C38,'Daily Tracking'!$J$6:$J$735,"Yes"))</f>
        <v/>
      </c>
      <c r="N38" s="130">
        <f>COUNTIFS('Daily Tracking'!$A$6:$A$735,"&gt;="&amp;B38,'Daily Tracking'!$A$6:$A$735,"&lt;="&amp;C38,'Daily Tracking'!$B$6:$B$735,"&lt;&gt;")</f>
        <v>0</v>
      </c>
      <c r="S38" s="3" t="e">
        <f t="shared" si="0"/>
        <v>#N/A</v>
      </c>
      <c r="T38" s="3" t="e">
        <f t="shared" si="1"/>
        <v>#N/A</v>
      </c>
    </row>
    <row r="39" spans="1:20" ht="18" customHeight="1" x14ac:dyDescent="0.3">
      <c r="A39" s="136">
        <f>A38+1</f>
        <v>34</v>
      </c>
      <c r="B39" s="166">
        <f>Settings!$B$4+(A39-1)*7</f>
        <v>46509</v>
      </c>
      <c r="C39" s="166">
        <f>B39+6</f>
        <v>46515</v>
      </c>
      <c r="D39" s="133" t="str">
        <f>IF(N39=0,"",AVERAGEIFS('Daily Tracking'!$B$6:$B$735,'Daily Tracking'!$A$6:$A$735,"&gt;="&amp;B39,'Daily Tracking'!$A$6:$A$735,"&lt;="&amp;C39))</f>
        <v/>
      </c>
      <c r="E39" s="167" t="str">
        <f>IF(OR(D39="",D38=""),"",D38-D39)</f>
        <v/>
      </c>
      <c r="F39" s="168" t="str">
        <f>IF(E39="","",E39/D38)</f>
        <v/>
      </c>
      <c r="G39" s="134" t="str">
        <f>IFERROR(AVERAGEIFS('Daily Tracking'!$E$6:$E$735,'Daily Tracking'!$A$6:$A$735,"&gt;="&amp;B39,'Daily Tracking'!$A$6:$A$735,"&lt;="&amp;C39),"")</f>
        <v/>
      </c>
      <c r="H39" s="135" t="str">
        <f>IFERROR(AVERAGEIFS('Daily Tracking'!$F$6:$F$735,'Daily Tracking'!$A$6:$A$735,"&gt;="&amp;B39,'Daily Tracking'!$A$6:$A$735,"&lt;="&amp;C39),"")</f>
        <v/>
      </c>
      <c r="I39" s="134" t="str">
        <f>IFERROR(AVERAGEIFS('Daily Tracking'!$H$6:$H$735,'Daily Tracking'!$A$6:$A$735,"&gt;="&amp;B39,'Daily Tracking'!$A$6:$A$735,"&lt;="&amp;C39),"")</f>
        <v/>
      </c>
      <c r="J39" s="133" t="str">
        <f>IFERROR(AVERAGEIFS('Daily Tracking'!$K$6:$K$735,'Daily Tracking'!$A$6:$A$735,"&gt;="&amp;B39,'Daily Tracking'!$A$6:$A$735,"&lt;="&amp;C39),"")</f>
        <v/>
      </c>
      <c r="K39" s="133" t="str">
        <f>IFERROR(AVERAGEIFS('Daily Tracking'!$G$6:$G$735,'Daily Tracking'!$A$6:$A$735,"&gt;="&amp;B39,'Daily Tracking'!$A$6:$A$735,"&lt;="&amp;C39),"")</f>
        <v/>
      </c>
      <c r="L39" s="135" t="str">
        <f>IF(N39=0,"",SUMIFS('Daily Tracking'!$I$6:$I$735,'Daily Tracking'!$A$6:$A$735,"&gt;="&amp;B39,'Daily Tracking'!$A$6:$A$735,"&lt;="&amp;C39))</f>
        <v/>
      </c>
      <c r="M39" s="135" t="str">
        <f>IF(N39=0,"",COUNTIFS('Daily Tracking'!$A$6:$A$735,"&gt;="&amp;B39,'Daily Tracking'!$A$6:$A$735,"&lt;="&amp;C39,'Daily Tracking'!$J$6:$J$735,"Yes"))</f>
        <v/>
      </c>
      <c r="N39" s="136">
        <f>COUNTIFS('Daily Tracking'!$A$6:$A$735,"&gt;="&amp;B39,'Daily Tracking'!$A$6:$A$735,"&lt;="&amp;C39,'Daily Tracking'!$B$6:$B$735,"&lt;&gt;")</f>
        <v>0</v>
      </c>
      <c r="S39" s="3" t="e">
        <f t="shared" si="0"/>
        <v>#N/A</v>
      </c>
      <c r="T39" s="3" t="e">
        <f t="shared" si="1"/>
        <v>#N/A</v>
      </c>
    </row>
    <row r="40" spans="1:20" ht="18" customHeight="1" x14ac:dyDescent="0.3">
      <c r="A40" s="130">
        <f>A39+1</f>
        <v>35</v>
      </c>
      <c r="B40" s="161">
        <f>Settings!$B$4+(A40-1)*7</f>
        <v>46516</v>
      </c>
      <c r="C40" s="161">
        <f>B40+6</f>
        <v>46522</v>
      </c>
      <c r="D40" s="125" t="str">
        <f>IF(N40=0,"",AVERAGEIFS('Daily Tracking'!$B$6:$B$735,'Daily Tracking'!$A$6:$A$735,"&gt;="&amp;B40,'Daily Tracking'!$A$6:$A$735,"&lt;="&amp;C40))</f>
        <v/>
      </c>
      <c r="E40" s="162" t="str">
        <f>IF(OR(D40="",D39=""),"",D39-D40)</f>
        <v/>
      </c>
      <c r="F40" s="163" t="str">
        <f>IF(E40="","",E40/D39)</f>
        <v/>
      </c>
      <c r="G40" s="128" t="str">
        <f>IFERROR(AVERAGEIFS('Daily Tracking'!$E$6:$E$735,'Daily Tracking'!$A$6:$A$735,"&gt;="&amp;B40,'Daily Tracking'!$A$6:$A$735,"&lt;="&amp;C40),"")</f>
        <v/>
      </c>
      <c r="H40" s="129" t="str">
        <f>IFERROR(AVERAGEIFS('Daily Tracking'!$F$6:$F$735,'Daily Tracking'!$A$6:$A$735,"&gt;="&amp;B40,'Daily Tracking'!$A$6:$A$735,"&lt;="&amp;C40),"")</f>
        <v/>
      </c>
      <c r="I40" s="128" t="str">
        <f>IFERROR(AVERAGEIFS('Daily Tracking'!$H$6:$H$735,'Daily Tracking'!$A$6:$A$735,"&gt;="&amp;B40,'Daily Tracking'!$A$6:$A$735,"&lt;="&amp;C40),"")</f>
        <v/>
      </c>
      <c r="J40" s="125" t="str">
        <f>IFERROR(AVERAGEIFS('Daily Tracking'!$K$6:$K$735,'Daily Tracking'!$A$6:$A$735,"&gt;="&amp;B40,'Daily Tracking'!$A$6:$A$735,"&lt;="&amp;C40),"")</f>
        <v/>
      </c>
      <c r="K40" s="125" t="str">
        <f>IFERROR(AVERAGEIFS('Daily Tracking'!$G$6:$G$735,'Daily Tracking'!$A$6:$A$735,"&gt;="&amp;B40,'Daily Tracking'!$A$6:$A$735,"&lt;="&amp;C40),"")</f>
        <v/>
      </c>
      <c r="L40" s="129" t="str">
        <f>IF(N40=0,"",SUMIFS('Daily Tracking'!$I$6:$I$735,'Daily Tracking'!$A$6:$A$735,"&gt;="&amp;B40,'Daily Tracking'!$A$6:$A$735,"&lt;="&amp;C40))</f>
        <v/>
      </c>
      <c r="M40" s="129" t="str">
        <f>IF(N40=0,"",COUNTIFS('Daily Tracking'!$A$6:$A$735,"&gt;="&amp;B40,'Daily Tracking'!$A$6:$A$735,"&lt;="&amp;C40,'Daily Tracking'!$J$6:$J$735,"Yes"))</f>
        <v/>
      </c>
      <c r="N40" s="130">
        <f>COUNTIFS('Daily Tracking'!$A$6:$A$735,"&gt;="&amp;B40,'Daily Tracking'!$A$6:$A$735,"&lt;="&amp;C40,'Daily Tracking'!$B$6:$B$735,"&lt;&gt;")</f>
        <v>0</v>
      </c>
      <c r="S40" s="3" t="e">
        <f t="shared" si="0"/>
        <v>#N/A</v>
      </c>
      <c r="T40" s="3" t="e">
        <f t="shared" si="1"/>
        <v>#N/A</v>
      </c>
    </row>
    <row r="41" spans="1:20" ht="18" customHeight="1" x14ac:dyDescent="0.3">
      <c r="A41" s="136">
        <f>A40+1</f>
        <v>36</v>
      </c>
      <c r="B41" s="166">
        <f>Settings!$B$4+(A41-1)*7</f>
        <v>46523</v>
      </c>
      <c r="C41" s="166">
        <f>B41+6</f>
        <v>46529</v>
      </c>
      <c r="D41" s="133" t="str">
        <f>IF(N41=0,"",AVERAGEIFS('Daily Tracking'!$B$6:$B$735,'Daily Tracking'!$A$6:$A$735,"&gt;="&amp;B41,'Daily Tracking'!$A$6:$A$735,"&lt;="&amp;C41))</f>
        <v/>
      </c>
      <c r="E41" s="167" t="str">
        <f>IF(OR(D41="",D40=""),"",D40-D41)</f>
        <v/>
      </c>
      <c r="F41" s="168" t="str">
        <f>IF(E41="","",E41/D40)</f>
        <v/>
      </c>
      <c r="G41" s="134" t="str">
        <f>IFERROR(AVERAGEIFS('Daily Tracking'!$E$6:$E$735,'Daily Tracking'!$A$6:$A$735,"&gt;="&amp;B41,'Daily Tracking'!$A$6:$A$735,"&lt;="&amp;C41),"")</f>
        <v/>
      </c>
      <c r="H41" s="135" t="str">
        <f>IFERROR(AVERAGEIFS('Daily Tracking'!$F$6:$F$735,'Daily Tracking'!$A$6:$A$735,"&gt;="&amp;B41,'Daily Tracking'!$A$6:$A$735,"&lt;="&amp;C41),"")</f>
        <v/>
      </c>
      <c r="I41" s="134" t="str">
        <f>IFERROR(AVERAGEIFS('Daily Tracking'!$H$6:$H$735,'Daily Tracking'!$A$6:$A$735,"&gt;="&amp;B41,'Daily Tracking'!$A$6:$A$735,"&lt;="&amp;C41),"")</f>
        <v/>
      </c>
      <c r="J41" s="133" t="str">
        <f>IFERROR(AVERAGEIFS('Daily Tracking'!$K$6:$K$735,'Daily Tracking'!$A$6:$A$735,"&gt;="&amp;B41,'Daily Tracking'!$A$6:$A$735,"&lt;="&amp;C41),"")</f>
        <v/>
      </c>
      <c r="K41" s="133" t="str">
        <f>IFERROR(AVERAGEIFS('Daily Tracking'!$G$6:$G$735,'Daily Tracking'!$A$6:$A$735,"&gt;="&amp;B41,'Daily Tracking'!$A$6:$A$735,"&lt;="&amp;C41),"")</f>
        <v/>
      </c>
      <c r="L41" s="135" t="str">
        <f>IF(N41=0,"",SUMIFS('Daily Tracking'!$I$6:$I$735,'Daily Tracking'!$A$6:$A$735,"&gt;="&amp;B41,'Daily Tracking'!$A$6:$A$735,"&lt;="&amp;C41))</f>
        <v/>
      </c>
      <c r="M41" s="135" t="str">
        <f>IF(N41=0,"",COUNTIFS('Daily Tracking'!$A$6:$A$735,"&gt;="&amp;B41,'Daily Tracking'!$A$6:$A$735,"&lt;="&amp;C41,'Daily Tracking'!$J$6:$J$735,"Yes"))</f>
        <v/>
      </c>
      <c r="N41" s="136">
        <f>COUNTIFS('Daily Tracking'!$A$6:$A$735,"&gt;="&amp;B41,'Daily Tracking'!$A$6:$A$735,"&lt;="&amp;C41,'Daily Tracking'!$B$6:$B$735,"&lt;&gt;")</f>
        <v>0</v>
      </c>
      <c r="S41" s="3" t="e">
        <f t="shared" si="0"/>
        <v>#N/A</v>
      </c>
      <c r="T41" s="3" t="e">
        <f t="shared" si="1"/>
        <v>#N/A</v>
      </c>
    </row>
    <row r="42" spans="1:20" ht="18" customHeight="1" x14ac:dyDescent="0.3">
      <c r="A42" s="130">
        <f>A41+1</f>
        <v>37</v>
      </c>
      <c r="B42" s="161">
        <f>Settings!$B$4+(A42-1)*7</f>
        <v>46530</v>
      </c>
      <c r="C42" s="161">
        <f>B42+6</f>
        <v>46536</v>
      </c>
      <c r="D42" s="125" t="str">
        <f>IF(N42=0,"",AVERAGEIFS('Daily Tracking'!$B$6:$B$735,'Daily Tracking'!$A$6:$A$735,"&gt;="&amp;B42,'Daily Tracking'!$A$6:$A$735,"&lt;="&amp;C42))</f>
        <v/>
      </c>
      <c r="E42" s="162" t="str">
        <f>IF(OR(D42="",D41=""),"",D41-D42)</f>
        <v/>
      </c>
      <c r="F42" s="163" t="str">
        <f>IF(E42="","",E42/D41)</f>
        <v/>
      </c>
      <c r="G42" s="128" t="str">
        <f>IFERROR(AVERAGEIFS('Daily Tracking'!$E$6:$E$735,'Daily Tracking'!$A$6:$A$735,"&gt;="&amp;B42,'Daily Tracking'!$A$6:$A$735,"&lt;="&amp;C42),"")</f>
        <v/>
      </c>
      <c r="H42" s="129" t="str">
        <f>IFERROR(AVERAGEIFS('Daily Tracking'!$F$6:$F$735,'Daily Tracking'!$A$6:$A$735,"&gt;="&amp;B42,'Daily Tracking'!$A$6:$A$735,"&lt;="&amp;C42),"")</f>
        <v/>
      </c>
      <c r="I42" s="128" t="str">
        <f>IFERROR(AVERAGEIFS('Daily Tracking'!$H$6:$H$735,'Daily Tracking'!$A$6:$A$735,"&gt;="&amp;B42,'Daily Tracking'!$A$6:$A$735,"&lt;="&amp;C42),"")</f>
        <v/>
      </c>
      <c r="J42" s="125" t="str">
        <f>IFERROR(AVERAGEIFS('Daily Tracking'!$K$6:$K$735,'Daily Tracking'!$A$6:$A$735,"&gt;="&amp;B42,'Daily Tracking'!$A$6:$A$735,"&lt;="&amp;C42),"")</f>
        <v/>
      </c>
      <c r="K42" s="125" t="str">
        <f>IFERROR(AVERAGEIFS('Daily Tracking'!$G$6:$G$735,'Daily Tracking'!$A$6:$A$735,"&gt;="&amp;B42,'Daily Tracking'!$A$6:$A$735,"&lt;="&amp;C42),"")</f>
        <v/>
      </c>
      <c r="L42" s="129" t="str">
        <f>IF(N42=0,"",SUMIFS('Daily Tracking'!$I$6:$I$735,'Daily Tracking'!$A$6:$A$735,"&gt;="&amp;B42,'Daily Tracking'!$A$6:$A$735,"&lt;="&amp;C42))</f>
        <v/>
      </c>
      <c r="M42" s="129" t="str">
        <f>IF(N42=0,"",COUNTIFS('Daily Tracking'!$A$6:$A$735,"&gt;="&amp;B42,'Daily Tracking'!$A$6:$A$735,"&lt;="&amp;C42,'Daily Tracking'!$J$6:$J$735,"Yes"))</f>
        <v/>
      </c>
      <c r="N42" s="130">
        <f>COUNTIFS('Daily Tracking'!$A$6:$A$735,"&gt;="&amp;B42,'Daily Tracking'!$A$6:$A$735,"&lt;="&amp;C42,'Daily Tracking'!$B$6:$B$735,"&lt;&gt;")</f>
        <v>0</v>
      </c>
      <c r="S42" s="3" t="e">
        <f t="shared" si="0"/>
        <v>#N/A</v>
      </c>
      <c r="T42" s="3" t="e">
        <f t="shared" si="1"/>
        <v>#N/A</v>
      </c>
    </row>
    <row r="43" spans="1:20" ht="18" customHeight="1" x14ac:dyDescent="0.3">
      <c r="A43" s="136">
        <f>A42+1</f>
        <v>38</v>
      </c>
      <c r="B43" s="166">
        <f>Settings!$B$4+(A43-1)*7</f>
        <v>46537</v>
      </c>
      <c r="C43" s="166">
        <f>B43+6</f>
        <v>46543</v>
      </c>
      <c r="D43" s="133" t="str">
        <f>IF(N43=0,"",AVERAGEIFS('Daily Tracking'!$B$6:$B$735,'Daily Tracking'!$A$6:$A$735,"&gt;="&amp;B43,'Daily Tracking'!$A$6:$A$735,"&lt;="&amp;C43))</f>
        <v/>
      </c>
      <c r="E43" s="167" t="str">
        <f>IF(OR(D43="",D42=""),"",D42-D43)</f>
        <v/>
      </c>
      <c r="F43" s="168" t="str">
        <f>IF(E43="","",E43/D42)</f>
        <v/>
      </c>
      <c r="G43" s="134" t="str">
        <f>IFERROR(AVERAGEIFS('Daily Tracking'!$E$6:$E$735,'Daily Tracking'!$A$6:$A$735,"&gt;="&amp;B43,'Daily Tracking'!$A$6:$A$735,"&lt;="&amp;C43),"")</f>
        <v/>
      </c>
      <c r="H43" s="135" t="str">
        <f>IFERROR(AVERAGEIFS('Daily Tracking'!$F$6:$F$735,'Daily Tracking'!$A$6:$A$735,"&gt;="&amp;B43,'Daily Tracking'!$A$6:$A$735,"&lt;="&amp;C43),"")</f>
        <v/>
      </c>
      <c r="I43" s="134" t="str">
        <f>IFERROR(AVERAGEIFS('Daily Tracking'!$H$6:$H$735,'Daily Tracking'!$A$6:$A$735,"&gt;="&amp;B43,'Daily Tracking'!$A$6:$A$735,"&lt;="&amp;C43),"")</f>
        <v/>
      </c>
      <c r="J43" s="133" t="str">
        <f>IFERROR(AVERAGEIFS('Daily Tracking'!$K$6:$K$735,'Daily Tracking'!$A$6:$A$735,"&gt;="&amp;B43,'Daily Tracking'!$A$6:$A$735,"&lt;="&amp;C43),"")</f>
        <v/>
      </c>
      <c r="K43" s="133" t="str">
        <f>IFERROR(AVERAGEIFS('Daily Tracking'!$G$6:$G$735,'Daily Tracking'!$A$6:$A$735,"&gt;="&amp;B43,'Daily Tracking'!$A$6:$A$735,"&lt;="&amp;C43),"")</f>
        <v/>
      </c>
      <c r="L43" s="135" t="str">
        <f>IF(N43=0,"",SUMIFS('Daily Tracking'!$I$6:$I$735,'Daily Tracking'!$A$6:$A$735,"&gt;="&amp;B43,'Daily Tracking'!$A$6:$A$735,"&lt;="&amp;C43))</f>
        <v/>
      </c>
      <c r="M43" s="135" t="str">
        <f>IF(N43=0,"",COUNTIFS('Daily Tracking'!$A$6:$A$735,"&gt;="&amp;B43,'Daily Tracking'!$A$6:$A$735,"&lt;="&amp;C43,'Daily Tracking'!$J$6:$J$735,"Yes"))</f>
        <v/>
      </c>
      <c r="N43" s="136">
        <f>COUNTIFS('Daily Tracking'!$A$6:$A$735,"&gt;="&amp;B43,'Daily Tracking'!$A$6:$A$735,"&lt;="&amp;C43,'Daily Tracking'!$B$6:$B$735,"&lt;&gt;")</f>
        <v>0</v>
      </c>
      <c r="S43" s="3" t="e">
        <f t="shared" si="0"/>
        <v>#N/A</v>
      </c>
      <c r="T43" s="3" t="e">
        <f t="shared" si="1"/>
        <v>#N/A</v>
      </c>
    </row>
    <row r="44" spans="1:20" ht="18" customHeight="1" x14ac:dyDescent="0.3">
      <c r="A44" s="130">
        <f>A43+1</f>
        <v>39</v>
      </c>
      <c r="B44" s="161">
        <f>Settings!$B$4+(A44-1)*7</f>
        <v>46544</v>
      </c>
      <c r="C44" s="161">
        <f>B44+6</f>
        <v>46550</v>
      </c>
      <c r="D44" s="125" t="str">
        <f>IF(N44=0,"",AVERAGEIFS('Daily Tracking'!$B$6:$B$735,'Daily Tracking'!$A$6:$A$735,"&gt;="&amp;B44,'Daily Tracking'!$A$6:$A$735,"&lt;="&amp;C44))</f>
        <v/>
      </c>
      <c r="E44" s="162" t="str">
        <f>IF(OR(D44="",D43=""),"",D43-D44)</f>
        <v/>
      </c>
      <c r="F44" s="163" t="str">
        <f>IF(E44="","",E44/D43)</f>
        <v/>
      </c>
      <c r="G44" s="128" t="str">
        <f>IFERROR(AVERAGEIFS('Daily Tracking'!$E$6:$E$735,'Daily Tracking'!$A$6:$A$735,"&gt;="&amp;B44,'Daily Tracking'!$A$6:$A$735,"&lt;="&amp;C44),"")</f>
        <v/>
      </c>
      <c r="H44" s="129" t="str">
        <f>IFERROR(AVERAGEIFS('Daily Tracking'!$F$6:$F$735,'Daily Tracking'!$A$6:$A$735,"&gt;="&amp;B44,'Daily Tracking'!$A$6:$A$735,"&lt;="&amp;C44),"")</f>
        <v/>
      </c>
      <c r="I44" s="128" t="str">
        <f>IFERROR(AVERAGEIFS('Daily Tracking'!$H$6:$H$735,'Daily Tracking'!$A$6:$A$735,"&gt;="&amp;B44,'Daily Tracking'!$A$6:$A$735,"&lt;="&amp;C44),"")</f>
        <v/>
      </c>
      <c r="J44" s="125" t="str">
        <f>IFERROR(AVERAGEIFS('Daily Tracking'!$K$6:$K$735,'Daily Tracking'!$A$6:$A$735,"&gt;="&amp;B44,'Daily Tracking'!$A$6:$A$735,"&lt;="&amp;C44),"")</f>
        <v/>
      </c>
      <c r="K44" s="125" t="str">
        <f>IFERROR(AVERAGEIFS('Daily Tracking'!$G$6:$G$735,'Daily Tracking'!$A$6:$A$735,"&gt;="&amp;B44,'Daily Tracking'!$A$6:$A$735,"&lt;="&amp;C44),"")</f>
        <v/>
      </c>
      <c r="L44" s="129" t="str">
        <f>IF(N44=0,"",SUMIFS('Daily Tracking'!$I$6:$I$735,'Daily Tracking'!$A$6:$A$735,"&gt;="&amp;B44,'Daily Tracking'!$A$6:$A$735,"&lt;="&amp;C44))</f>
        <v/>
      </c>
      <c r="M44" s="129" t="str">
        <f>IF(N44=0,"",COUNTIFS('Daily Tracking'!$A$6:$A$735,"&gt;="&amp;B44,'Daily Tracking'!$A$6:$A$735,"&lt;="&amp;C44,'Daily Tracking'!$J$6:$J$735,"Yes"))</f>
        <v/>
      </c>
      <c r="N44" s="130">
        <f>COUNTIFS('Daily Tracking'!$A$6:$A$735,"&gt;="&amp;B44,'Daily Tracking'!$A$6:$A$735,"&lt;="&amp;C44,'Daily Tracking'!$B$6:$B$735,"&lt;&gt;")</f>
        <v>0</v>
      </c>
      <c r="S44" s="3" t="e">
        <f t="shared" si="0"/>
        <v>#N/A</v>
      </c>
      <c r="T44" s="3" t="e">
        <f t="shared" si="1"/>
        <v>#N/A</v>
      </c>
    </row>
    <row r="45" spans="1:20" ht="18" customHeight="1" x14ac:dyDescent="0.3">
      <c r="A45" s="136">
        <f>A44+1</f>
        <v>40</v>
      </c>
      <c r="B45" s="166">
        <f>Settings!$B$4+(A45-1)*7</f>
        <v>46551</v>
      </c>
      <c r="C45" s="166">
        <f>B45+6</f>
        <v>46557</v>
      </c>
      <c r="D45" s="133" t="str">
        <f>IF(N45=0,"",AVERAGEIFS('Daily Tracking'!$B$6:$B$735,'Daily Tracking'!$A$6:$A$735,"&gt;="&amp;B45,'Daily Tracking'!$A$6:$A$735,"&lt;="&amp;C45))</f>
        <v/>
      </c>
      <c r="E45" s="167" t="str">
        <f>IF(OR(D45="",D44=""),"",D44-D45)</f>
        <v/>
      </c>
      <c r="F45" s="168" t="str">
        <f>IF(E45="","",E45/D44)</f>
        <v/>
      </c>
      <c r="G45" s="134" t="str">
        <f>IFERROR(AVERAGEIFS('Daily Tracking'!$E$6:$E$735,'Daily Tracking'!$A$6:$A$735,"&gt;="&amp;B45,'Daily Tracking'!$A$6:$A$735,"&lt;="&amp;C45),"")</f>
        <v/>
      </c>
      <c r="H45" s="135" t="str">
        <f>IFERROR(AVERAGEIFS('Daily Tracking'!$F$6:$F$735,'Daily Tracking'!$A$6:$A$735,"&gt;="&amp;B45,'Daily Tracking'!$A$6:$A$735,"&lt;="&amp;C45),"")</f>
        <v/>
      </c>
      <c r="I45" s="134" t="str">
        <f>IFERROR(AVERAGEIFS('Daily Tracking'!$H$6:$H$735,'Daily Tracking'!$A$6:$A$735,"&gt;="&amp;B45,'Daily Tracking'!$A$6:$A$735,"&lt;="&amp;C45),"")</f>
        <v/>
      </c>
      <c r="J45" s="133" t="str">
        <f>IFERROR(AVERAGEIFS('Daily Tracking'!$K$6:$K$735,'Daily Tracking'!$A$6:$A$735,"&gt;="&amp;B45,'Daily Tracking'!$A$6:$A$735,"&lt;="&amp;C45),"")</f>
        <v/>
      </c>
      <c r="K45" s="133" t="str">
        <f>IFERROR(AVERAGEIFS('Daily Tracking'!$G$6:$G$735,'Daily Tracking'!$A$6:$A$735,"&gt;="&amp;B45,'Daily Tracking'!$A$6:$A$735,"&lt;="&amp;C45),"")</f>
        <v/>
      </c>
      <c r="L45" s="135" t="str">
        <f>IF(N45=0,"",SUMIFS('Daily Tracking'!$I$6:$I$735,'Daily Tracking'!$A$6:$A$735,"&gt;="&amp;B45,'Daily Tracking'!$A$6:$A$735,"&lt;="&amp;C45))</f>
        <v/>
      </c>
      <c r="M45" s="135" t="str">
        <f>IF(N45=0,"",COUNTIFS('Daily Tracking'!$A$6:$A$735,"&gt;="&amp;B45,'Daily Tracking'!$A$6:$A$735,"&lt;="&amp;C45,'Daily Tracking'!$J$6:$J$735,"Yes"))</f>
        <v/>
      </c>
      <c r="N45" s="136">
        <f>COUNTIFS('Daily Tracking'!$A$6:$A$735,"&gt;="&amp;B45,'Daily Tracking'!$A$6:$A$735,"&lt;="&amp;C45,'Daily Tracking'!$B$6:$B$735,"&lt;&gt;")</f>
        <v>0</v>
      </c>
      <c r="S45" s="3" t="e">
        <f t="shared" si="0"/>
        <v>#N/A</v>
      </c>
      <c r="T45" s="3" t="e">
        <f t="shared" si="1"/>
        <v>#N/A</v>
      </c>
    </row>
    <row r="46" spans="1:20" ht="18" customHeight="1" x14ac:dyDescent="0.3">
      <c r="A46" s="130">
        <f>A45+1</f>
        <v>41</v>
      </c>
      <c r="B46" s="161">
        <f>Settings!$B$4+(A46-1)*7</f>
        <v>46558</v>
      </c>
      <c r="C46" s="161">
        <f>B46+6</f>
        <v>46564</v>
      </c>
      <c r="D46" s="125" t="str">
        <f>IF(N46=0,"",AVERAGEIFS('Daily Tracking'!$B$6:$B$735,'Daily Tracking'!$A$6:$A$735,"&gt;="&amp;B46,'Daily Tracking'!$A$6:$A$735,"&lt;="&amp;C46))</f>
        <v/>
      </c>
      <c r="E46" s="162" t="str">
        <f>IF(OR(D46="",D45=""),"",D45-D46)</f>
        <v/>
      </c>
      <c r="F46" s="163" t="str">
        <f>IF(E46="","",E46/D45)</f>
        <v/>
      </c>
      <c r="G46" s="128" t="str">
        <f>IFERROR(AVERAGEIFS('Daily Tracking'!$E$6:$E$735,'Daily Tracking'!$A$6:$A$735,"&gt;="&amp;B46,'Daily Tracking'!$A$6:$A$735,"&lt;="&amp;C46),"")</f>
        <v/>
      </c>
      <c r="H46" s="129" t="str">
        <f>IFERROR(AVERAGEIFS('Daily Tracking'!$F$6:$F$735,'Daily Tracking'!$A$6:$A$735,"&gt;="&amp;B46,'Daily Tracking'!$A$6:$A$735,"&lt;="&amp;C46),"")</f>
        <v/>
      </c>
      <c r="I46" s="128" t="str">
        <f>IFERROR(AVERAGEIFS('Daily Tracking'!$H$6:$H$735,'Daily Tracking'!$A$6:$A$735,"&gt;="&amp;B46,'Daily Tracking'!$A$6:$A$735,"&lt;="&amp;C46),"")</f>
        <v/>
      </c>
      <c r="J46" s="125" t="str">
        <f>IFERROR(AVERAGEIFS('Daily Tracking'!$K$6:$K$735,'Daily Tracking'!$A$6:$A$735,"&gt;="&amp;B46,'Daily Tracking'!$A$6:$A$735,"&lt;="&amp;C46),"")</f>
        <v/>
      </c>
      <c r="K46" s="125" t="str">
        <f>IFERROR(AVERAGEIFS('Daily Tracking'!$G$6:$G$735,'Daily Tracking'!$A$6:$A$735,"&gt;="&amp;B46,'Daily Tracking'!$A$6:$A$735,"&lt;="&amp;C46),"")</f>
        <v/>
      </c>
      <c r="L46" s="129" t="str">
        <f>IF(N46=0,"",SUMIFS('Daily Tracking'!$I$6:$I$735,'Daily Tracking'!$A$6:$A$735,"&gt;="&amp;B46,'Daily Tracking'!$A$6:$A$735,"&lt;="&amp;C46))</f>
        <v/>
      </c>
      <c r="M46" s="129" t="str">
        <f>IF(N46=0,"",COUNTIFS('Daily Tracking'!$A$6:$A$735,"&gt;="&amp;B46,'Daily Tracking'!$A$6:$A$735,"&lt;="&amp;C46,'Daily Tracking'!$J$6:$J$735,"Yes"))</f>
        <v/>
      </c>
      <c r="N46" s="130">
        <f>COUNTIFS('Daily Tracking'!$A$6:$A$735,"&gt;="&amp;B46,'Daily Tracking'!$A$6:$A$735,"&lt;="&amp;C46,'Daily Tracking'!$B$6:$B$735,"&lt;&gt;")</f>
        <v>0</v>
      </c>
      <c r="S46" s="3" t="e">
        <f t="shared" si="0"/>
        <v>#N/A</v>
      </c>
      <c r="T46" s="3" t="e">
        <f t="shared" si="1"/>
        <v>#N/A</v>
      </c>
    </row>
    <row r="47" spans="1:20" ht="18" customHeight="1" x14ac:dyDescent="0.3">
      <c r="A47" s="136">
        <f>A46+1</f>
        <v>42</v>
      </c>
      <c r="B47" s="166">
        <f>Settings!$B$4+(A47-1)*7</f>
        <v>46565</v>
      </c>
      <c r="C47" s="166">
        <f>B47+6</f>
        <v>46571</v>
      </c>
      <c r="D47" s="133" t="str">
        <f>IF(N47=0,"",AVERAGEIFS('Daily Tracking'!$B$6:$B$735,'Daily Tracking'!$A$6:$A$735,"&gt;="&amp;B47,'Daily Tracking'!$A$6:$A$735,"&lt;="&amp;C47))</f>
        <v/>
      </c>
      <c r="E47" s="167" t="str">
        <f>IF(OR(D47="",D46=""),"",D46-D47)</f>
        <v/>
      </c>
      <c r="F47" s="168" t="str">
        <f>IF(E47="","",E47/D46)</f>
        <v/>
      </c>
      <c r="G47" s="134" t="str">
        <f>IFERROR(AVERAGEIFS('Daily Tracking'!$E$6:$E$735,'Daily Tracking'!$A$6:$A$735,"&gt;="&amp;B47,'Daily Tracking'!$A$6:$A$735,"&lt;="&amp;C47),"")</f>
        <v/>
      </c>
      <c r="H47" s="135" t="str">
        <f>IFERROR(AVERAGEIFS('Daily Tracking'!$F$6:$F$735,'Daily Tracking'!$A$6:$A$735,"&gt;="&amp;B47,'Daily Tracking'!$A$6:$A$735,"&lt;="&amp;C47),"")</f>
        <v/>
      </c>
      <c r="I47" s="134" t="str">
        <f>IFERROR(AVERAGEIFS('Daily Tracking'!$H$6:$H$735,'Daily Tracking'!$A$6:$A$735,"&gt;="&amp;B47,'Daily Tracking'!$A$6:$A$735,"&lt;="&amp;C47),"")</f>
        <v/>
      </c>
      <c r="J47" s="133" t="str">
        <f>IFERROR(AVERAGEIFS('Daily Tracking'!$K$6:$K$735,'Daily Tracking'!$A$6:$A$735,"&gt;="&amp;B47,'Daily Tracking'!$A$6:$A$735,"&lt;="&amp;C47),"")</f>
        <v/>
      </c>
      <c r="K47" s="133" t="str">
        <f>IFERROR(AVERAGEIFS('Daily Tracking'!$G$6:$G$735,'Daily Tracking'!$A$6:$A$735,"&gt;="&amp;B47,'Daily Tracking'!$A$6:$A$735,"&lt;="&amp;C47),"")</f>
        <v/>
      </c>
      <c r="L47" s="135" t="str">
        <f>IF(N47=0,"",SUMIFS('Daily Tracking'!$I$6:$I$735,'Daily Tracking'!$A$6:$A$735,"&gt;="&amp;B47,'Daily Tracking'!$A$6:$A$735,"&lt;="&amp;C47))</f>
        <v/>
      </c>
      <c r="M47" s="135" t="str">
        <f>IF(N47=0,"",COUNTIFS('Daily Tracking'!$A$6:$A$735,"&gt;="&amp;B47,'Daily Tracking'!$A$6:$A$735,"&lt;="&amp;C47,'Daily Tracking'!$J$6:$J$735,"Yes"))</f>
        <v/>
      </c>
      <c r="N47" s="136">
        <f>COUNTIFS('Daily Tracking'!$A$6:$A$735,"&gt;="&amp;B47,'Daily Tracking'!$A$6:$A$735,"&lt;="&amp;C47,'Daily Tracking'!$B$6:$B$735,"&lt;&gt;")</f>
        <v>0</v>
      </c>
      <c r="S47" s="3" t="e">
        <f t="shared" si="0"/>
        <v>#N/A</v>
      </c>
      <c r="T47" s="3" t="e">
        <f t="shared" si="1"/>
        <v>#N/A</v>
      </c>
    </row>
    <row r="48" spans="1:20" ht="18" customHeight="1" x14ac:dyDescent="0.3">
      <c r="A48" s="130">
        <f>A47+1</f>
        <v>43</v>
      </c>
      <c r="B48" s="161">
        <f>Settings!$B$4+(A48-1)*7</f>
        <v>46572</v>
      </c>
      <c r="C48" s="161">
        <f>B48+6</f>
        <v>46578</v>
      </c>
      <c r="D48" s="125" t="str">
        <f>IF(N48=0,"",AVERAGEIFS('Daily Tracking'!$B$6:$B$735,'Daily Tracking'!$A$6:$A$735,"&gt;="&amp;B48,'Daily Tracking'!$A$6:$A$735,"&lt;="&amp;C48))</f>
        <v/>
      </c>
      <c r="E48" s="162" t="str">
        <f>IF(OR(D48="",D47=""),"",D47-D48)</f>
        <v/>
      </c>
      <c r="F48" s="163" t="str">
        <f>IF(E48="","",E48/D47)</f>
        <v/>
      </c>
      <c r="G48" s="128" t="str">
        <f>IFERROR(AVERAGEIFS('Daily Tracking'!$E$6:$E$735,'Daily Tracking'!$A$6:$A$735,"&gt;="&amp;B48,'Daily Tracking'!$A$6:$A$735,"&lt;="&amp;C48),"")</f>
        <v/>
      </c>
      <c r="H48" s="129" t="str">
        <f>IFERROR(AVERAGEIFS('Daily Tracking'!$F$6:$F$735,'Daily Tracking'!$A$6:$A$735,"&gt;="&amp;B48,'Daily Tracking'!$A$6:$A$735,"&lt;="&amp;C48),"")</f>
        <v/>
      </c>
      <c r="I48" s="128" t="str">
        <f>IFERROR(AVERAGEIFS('Daily Tracking'!$H$6:$H$735,'Daily Tracking'!$A$6:$A$735,"&gt;="&amp;B48,'Daily Tracking'!$A$6:$A$735,"&lt;="&amp;C48),"")</f>
        <v/>
      </c>
      <c r="J48" s="125" t="str">
        <f>IFERROR(AVERAGEIFS('Daily Tracking'!$K$6:$K$735,'Daily Tracking'!$A$6:$A$735,"&gt;="&amp;B48,'Daily Tracking'!$A$6:$A$735,"&lt;="&amp;C48),"")</f>
        <v/>
      </c>
      <c r="K48" s="125" t="str">
        <f>IFERROR(AVERAGEIFS('Daily Tracking'!$G$6:$G$735,'Daily Tracking'!$A$6:$A$735,"&gt;="&amp;B48,'Daily Tracking'!$A$6:$A$735,"&lt;="&amp;C48),"")</f>
        <v/>
      </c>
      <c r="L48" s="129" t="str">
        <f>IF(N48=0,"",SUMIFS('Daily Tracking'!$I$6:$I$735,'Daily Tracking'!$A$6:$A$735,"&gt;="&amp;B48,'Daily Tracking'!$A$6:$A$735,"&lt;="&amp;C48))</f>
        <v/>
      </c>
      <c r="M48" s="129" t="str">
        <f>IF(N48=0,"",COUNTIFS('Daily Tracking'!$A$6:$A$735,"&gt;="&amp;B48,'Daily Tracking'!$A$6:$A$735,"&lt;="&amp;C48,'Daily Tracking'!$J$6:$J$735,"Yes"))</f>
        <v/>
      </c>
      <c r="N48" s="130">
        <f>COUNTIFS('Daily Tracking'!$A$6:$A$735,"&gt;="&amp;B48,'Daily Tracking'!$A$6:$A$735,"&lt;="&amp;C48,'Daily Tracking'!$B$6:$B$735,"&lt;&gt;")</f>
        <v>0</v>
      </c>
      <c r="S48" s="3" t="e">
        <f t="shared" si="0"/>
        <v>#N/A</v>
      </c>
      <c r="T48" s="3" t="e">
        <f t="shared" si="1"/>
        <v>#N/A</v>
      </c>
    </row>
    <row r="49" spans="1:20" ht="18" customHeight="1" x14ac:dyDescent="0.3">
      <c r="A49" s="136">
        <f>A48+1</f>
        <v>44</v>
      </c>
      <c r="B49" s="166">
        <f>Settings!$B$4+(A49-1)*7</f>
        <v>46579</v>
      </c>
      <c r="C49" s="166">
        <f>B49+6</f>
        <v>46585</v>
      </c>
      <c r="D49" s="133" t="str">
        <f>IF(N49=0,"",AVERAGEIFS('Daily Tracking'!$B$6:$B$735,'Daily Tracking'!$A$6:$A$735,"&gt;="&amp;B49,'Daily Tracking'!$A$6:$A$735,"&lt;="&amp;C49))</f>
        <v/>
      </c>
      <c r="E49" s="167" t="str">
        <f>IF(OR(D49="",D48=""),"",D48-D49)</f>
        <v/>
      </c>
      <c r="F49" s="168" t="str">
        <f>IF(E49="","",E49/D48)</f>
        <v/>
      </c>
      <c r="G49" s="134" t="str">
        <f>IFERROR(AVERAGEIFS('Daily Tracking'!$E$6:$E$735,'Daily Tracking'!$A$6:$A$735,"&gt;="&amp;B49,'Daily Tracking'!$A$6:$A$735,"&lt;="&amp;C49),"")</f>
        <v/>
      </c>
      <c r="H49" s="135" t="str">
        <f>IFERROR(AVERAGEIFS('Daily Tracking'!$F$6:$F$735,'Daily Tracking'!$A$6:$A$735,"&gt;="&amp;B49,'Daily Tracking'!$A$6:$A$735,"&lt;="&amp;C49),"")</f>
        <v/>
      </c>
      <c r="I49" s="134" t="str">
        <f>IFERROR(AVERAGEIFS('Daily Tracking'!$H$6:$H$735,'Daily Tracking'!$A$6:$A$735,"&gt;="&amp;B49,'Daily Tracking'!$A$6:$A$735,"&lt;="&amp;C49),"")</f>
        <v/>
      </c>
      <c r="J49" s="133" t="str">
        <f>IFERROR(AVERAGEIFS('Daily Tracking'!$K$6:$K$735,'Daily Tracking'!$A$6:$A$735,"&gt;="&amp;B49,'Daily Tracking'!$A$6:$A$735,"&lt;="&amp;C49),"")</f>
        <v/>
      </c>
      <c r="K49" s="133" t="str">
        <f>IFERROR(AVERAGEIFS('Daily Tracking'!$G$6:$G$735,'Daily Tracking'!$A$6:$A$735,"&gt;="&amp;B49,'Daily Tracking'!$A$6:$A$735,"&lt;="&amp;C49),"")</f>
        <v/>
      </c>
      <c r="L49" s="135" t="str">
        <f>IF(N49=0,"",SUMIFS('Daily Tracking'!$I$6:$I$735,'Daily Tracking'!$A$6:$A$735,"&gt;="&amp;B49,'Daily Tracking'!$A$6:$A$735,"&lt;="&amp;C49))</f>
        <v/>
      </c>
      <c r="M49" s="135" t="str">
        <f>IF(N49=0,"",COUNTIFS('Daily Tracking'!$A$6:$A$735,"&gt;="&amp;B49,'Daily Tracking'!$A$6:$A$735,"&lt;="&amp;C49,'Daily Tracking'!$J$6:$J$735,"Yes"))</f>
        <v/>
      </c>
      <c r="N49" s="136">
        <f>COUNTIFS('Daily Tracking'!$A$6:$A$735,"&gt;="&amp;B49,'Daily Tracking'!$A$6:$A$735,"&lt;="&amp;C49,'Daily Tracking'!$B$6:$B$735,"&lt;&gt;")</f>
        <v>0</v>
      </c>
      <c r="S49" s="3" t="e">
        <f t="shared" si="0"/>
        <v>#N/A</v>
      </c>
      <c r="T49" s="3" t="e">
        <f t="shared" si="1"/>
        <v>#N/A</v>
      </c>
    </row>
    <row r="50" spans="1:20" ht="18" customHeight="1" x14ac:dyDescent="0.3">
      <c r="A50" s="130">
        <f>A49+1</f>
        <v>45</v>
      </c>
      <c r="B50" s="161">
        <f>Settings!$B$4+(A50-1)*7</f>
        <v>46586</v>
      </c>
      <c r="C50" s="161">
        <f>B50+6</f>
        <v>46592</v>
      </c>
      <c r="D50" s="125" t="str">
        <f>IF(N50=0,"",AVERAGEIFS('Daily Tracking'!$B$6:$B$735,'Daily Tracking'!$A$6:$A$735,"&gt;="&amp;B50,'Daily Tracking'!$A$6:$A$735,"&lt;="&amp;C50))</f>
        <v/>
      </c>
      <c r="E50" s="162" t="str">
        <f>IF(OR(D50="",D49=""),"",D49-D50)</f>
        <v/>
      </c>
      <c r="F50" s="163" t="str">
        <f>IF(E50="","",E50/D49)</f>
        <v/>
      </c>
      <c r="G50" s="128" t="str">
        <f>IFERROR(AVERAGEIFS('Daily Tracking'!$E$6:$E$735,'Daily Tracking'!$A$6:$A$735,"&gt;="&amp;B50,'Daily Tracking'!$A$6:$A$735,"&lt;="&amp;C50),"")</f>
        <v/>
      </c>
      <c r="H50" s="129" t="str">
        <f>IFERROR(AVERAGEIFS('Daily Tracking'!$F$6:$F$735,'Daily Tracking'!$A$6:$A$735,"&gt;="&amp;B50,'Daily Tracking'!$A$6:$A$735,"&lt;="&amp;C50),"")</f>
        <v/>
      </c>
      <c r="I50" s="128" t="str">
        <f>IFERROR(AVERAGEIFS('Daily Tracking'!$H$6:$H$735,'Daily Tracking'!$A$6:$A$735,"&gt;="&amp;B50,'Daily Tracking'!$A$6:$A$735,"&lt;="&amp;C50),"")</f>
        <v/>
      </c>
      <c r="J50" s="125" t="str">
        <f>IFERROR(AVERAGEIFS('Daily Tracking'!$K$6:$K$735,'Daily Tracking'!$A$6:$A$735,"&gt;="&amp;B50,'Daily Tracking'!$A$6:$A$735,"&lt;="&amp;C50),"")</f>
        <v/>
      </c>
      <c r="K50" s="125" t="str">
        <f>IFERROR(AVERAGEIFS('Daily Tracking'!$G$6:$G$735,'Daily Tracking'!$A$6:$A$735,"&gt;="&amp;B50,'Daily Tracking'!$A$6:$A$735,"&lt;="&amp;C50),"")</f>
        <v/>
      </c>
      <c r="L50" s="129" t="str">
        <f>IF(N50=0,"",SUMIFS('Daily Tracking'!$I$6:$I$735,'Daily Tracking'!$A$6:$A$735,"&gt;="&amp;B50,'Daily Tracking'!$A$6:$A$735,"&lt;="&amp;C50))</f>
        <v/>
      </c>
      <c r="M50" s="129" t="str">
        <f>IF(N50=0,"",COUNTIFS('Daily Tracking'!$A$6:$A$735,"&gt;="&amp;B50,'Daily Tracking'!$A$6:$A$735,"&lt;="&amp;C50,'Daily Tracking'!$J$6:$J$735,"Yes"))</f>
        <v/>
      </c>
      <c r="N50" s="130">
        <f>COUNTIFS('Daily Tracking'!$A$6:$A$735,"&gt;="&amp;B50,'Daily Tracking'!$A$6:$A$735,"&lt;="&amp;C50,'Daily Tracking'!$B$6:$B$735,"&lt;&gt;")</f>
        <v>0</v>
      </c>
      <c r="S50" s="3" t="e">
        <f t="shared" si="0"/>
        <v>#N/A</v>
      </c>
      <c r="T50" s="3" t="e">
        <f t="shared" si="1"/>
        <v>#N/A</v>
      </c>
    </row>
    <row r="51" spans="1:20" ht="18" customHeight="1" x14ac:dyDescent="0.3">
      <c r="A51" s="136">
        <f>A50+1</f>
        <v>46</v>
      </c>
      <c r="B51" s="166">
        <f>Settings!$B$4+(A51-1)*7</f>
        <v>46593</v>
      </c>
      <c r="C51" s="166">
        <f>B51+6</f>
        <v>46599</v>
      </c>
      <c r="D51" s="133" t="str">
        <f>IF(N51=0,"",AVERAGEIFS('Daily Tracking'!$B$6:$B$735,'Daily Tracking'!$A$6:$A$735,"&gt;="&amp;B51,'Daily Tracking'!$A$6:$A$735,"&lt;="&amp;C51))</f>
        <v/>
      </c>
      <c r="E51" s="167" t="str">
        <f>IF(OR(D51="",D50=""),"",D50-D51)</f>
        <v/>
      </c>
      <c r="F51" s="168" t="str">
        <f>IF(E51="","",E51/D50)</f>
        <v/>
      </c>
      <c r="G51" s="134" t="str">
        <f>IFERROR(AVERAGEIFS('Daily Tracking'!$E$6:$E$735,'Daily Tracking'!$A$6:$A$735,"&gt;="&amp;B51,'Daily Tracking'!$A$6:$A$735,"&lt;="&amp;C51),"")</f>
        <v/>
      </c>
      <c r="H51" s="135" t="str">
        <f>IFERROR(AVERAGEIFS('Daily Tracking'!$F$6:$F$735,'Daily Tracking'!$A$6:$A$735,"&gt;="&amp;B51,'Daily Tracking'!$A$6:$A$735,"&lt;="&amp;C51),"")</f>
        <v/>
      </c>
      <c r="I51" s="134" t="str">
        <f>IFERROR(AVERAGEIFS('Daily Tracking'!$H$6:$H$735,'Daily Tracking'!$A$6:$A$735,"&gt;="&amp;B51,'Daily Tracking'!$A$6:$A$735,"&lt;="&amp;C51),"")</f>
        <v/>
      </c>
      <c r="J51" s="133" t="str">
        <f>IFERROR(AVERAGEIFS('Daily Tracking'!$K$6:$K$735,'Daily Tracking'!$A$6:$A$735,"&gt;="&amp;B51,'Daily Tracking'!$A$6:$A$735,"&lt;="&amp;C51),"")</f>
        <v/>
      </c>
      <c r="K51" s="133" t="str">
        <f>IFERROR(AVERAGEIFS('Daily Tracking'!$G$6:$G$735,'Daily Tracking'!$A$6:$A$735,"&gt;="&amp;B51,'Daily Tracking'!$A$6:$A$735,"&lt;="&amp;C51),"")</f>
        <v/>
      </c>
      <c r="L51" s="135" t="str">
        <f>IF(N51=0,"",SUMIFS('Daily Tracking'!$I$6:$I$735,'Daily Tracking'!$A$6:$A$735,"&gt;="&amp;B51,'Daily Tracking'!$A$6:$A$735,"&lt;="&amp;C51))</f>
        <v/>
      </c>
      <c r="M51" s="135" t="str">
        <f>IF(N51=0,"",COUNTIFS('Daily Tracking'!$A$6:$A$735,"&gt;="&amp;B51,'Daily Tracking'!$A$6:$A$735,"&lt;="&amp;C51,'Daily Tracking'!$J$6:$J$735,"Yes"))</f>
        <v/>
      </c>
      <c r="N51" s="136">
        <f>COUNTIFS('Daily Tracking'!$A$6:$A$735,"&gt;="&amp;B51,'Daily Tracking'!$A$6:$A$735,"&lt;="&amp;C51,'Daily Tracking'!$B$6:$B$735,"&lt;&gt;")</f>
        <v>0</v>
      </c>
      <c r="S51" s="3" t="e">
        <f t="shared" si="0"/>
        <v>#N/A</v>
      </c>
      <c r="T51" s="3" t="e">
        <f t="shared" si="1"/>
        <v>#N/A</v>
      </c>
    </row>
    <row r="52" spans="1:20" ht="18" customHeight="1" x14ac:dyDescent="0.3">
      <c r="A52" s="130">
        <f>A51+1</f>
        <v>47</v>
      </c>
      <c r="B52" s="161">
        <f>Settings!$B$4+(A52-1)*7</f>
        <v>46600</v>
      </c>
      <c r="C52" s="161">
        <f>B52+6</f>
        <v>46606</v>
      </c>
      <c r="D52" s="125" t="str">
        <f>IF(N52=0,"",AVERAGEIFS('Daily Tracking'!$B$6:$B$735,'Daily Tracking'!$A$6:$A$735,"&gt;="&amp;B52,'Daily Tracking'!$A$6:$A$735,"&lt;="&amp;C52))</f>
        <v/>
      </c>
      <c r="E52" s="162" t="str">
        <f>IF(OR(D52="",D51=""),"",D51-D52)</f>
        <v/>
      </c>
      <c r="F52" s="163" t="str">
        <f>IF(E52="","",E52/D51)</f>
        <v/>
      </c>
      <c r="G52" s="128" t="str">
        <f>IFERROR(AVERAGEIFS('Daily Tracking'!$E$6:$E$735,'Daily Tracking'!$A$6:$A$735,"&gt;="&amp;B52,'Daily Tracking'!$A$6:$A$735,"&lt;="&amp;C52),"")</f>
        <v/>
      </c>
      <c r="H52" s="129" t="str">
        <f>IFERROR(AVERAGEIFS('Daily Tracking'!$F$6:$F$735,'Daily Tracking'!$A$6:$A$735,"&gt;="&amp;B52,'Daily Tracking'!$A$6:$A$735,"&lt;="&amp;C52),"")</f>
        <v/>
      </c>
      <c r="I52" s="128" t="str">
        <f>IFERROR(AVERAGEIFS('Daily Tracking'!$H$6:$H$735,'Daily Tracking'!$A$6:$A$735,"&gt;="&amp;B52,'Daily Tracking'!$A$6:$A$735,"&lt;="&amp;C52),"")</f>
        <v/>
      </c>
      <c r="J52" s="125" t="str">
        <f>IFERROR(AVERAGEIFS('Daily Tracking'!$K$6:$K$735,'Daily Tracking'!$A$6:$A$735,"&gt;="&amp;B52,'Daily Tracking'!$A$6:$A$735,"&lt;="&amp;C52),"")</f>
        <v/>
      </c>
      <c r="K52" s="125" t="str">
        <f>IFERROR(AVERAGEIFS('Daily Tracking'!$G$6:$G$735,'Daily Tracking'!$A$6:$A$735,"&gt;="&amp;B52,'Daily Tracking'!$A$6:$A$735,"&lt;="&amp;C52),"")</f>
        <v/>
      </c>
      <c r="L52" s="129" t="str">
        <f>IF(N52=0,"",SUMIFS('Daily Tracking'!$I$6:$I$735,'Daily Tracking'!$A$6:$A$735,"&gt;="&amp;B52,'Daily Tracking'!$A$6:$A$735,"&lt;="&amp;C52))</f>
        <v/>
      </c>
      <c r="M52" s="129" t="str">
        <f>IF(N52=0,"",COUNTIFS('Daily Tracking'!$A$6:$A$735,"&gt;="&amp;B52,'Daily Tracking'!$A$6:$A$735,"&lt;="&amp;C52,'Daily Tracking'!$J$6:$J$735,"Yes"))</f>
        <v/>
      </c>
      <c r="N52" s="130">
        <f>COUNTIFS('Daily Tracking'!$A$6:$A$735,"&gt;="&amp;B52,'Daily Tracking'!$A$6:$A$735,"&lt;="&amp;C52,'Daily Tracking'!$B$6:$B$735,"&lt;&gt;")</f>
        <v>0</v>
      </c>
      <c r="S52" s="3" t="e">
        <f t="shared" si="0"/>
        <v>#N/A</v>
      </c>
      <c r="T52" s="3" t="e">
        <f t="shared" si="1"/>
        <v>#N/A</v>
      </c>
    </row>
    <row r="53" spans="1:20" ht="18" customHeight="1" x14ac:dyDescent="0.3">
      <c r="A53" s="136">
        <f>A52+1</f>
        <v>48</v>
      </c>
      <c r="B53" s="166">
        <f>Settings!$B$4+(A53-1)*7</f>
        <v>46607</v>
      </c>
      <c r="C53" s="166">
        <f>B53+6</f>
        <v>46613</v>
      </c>
      <c r="D53" s="133" t="str">
        <f>IF(N53=0,"",AVERAGEIFS('Daily Tracking'!$B$6:$B$735,'Daily Tracking'!$A$6:$A$735,"&gt;="&amp;B53,'Daily Tracking'!$A$6:$A$735,"&lt;="&amp;C53))</f>
        <v/>
      </c>
      <c r="E53" s="167" t="str">
        <f>IF(OR(D53="",D52=""),"",D52-D53)</f>
        <v/>
      </c>
      <c r="F53" s="168" t="str">
        <f>IF(E53="","",E53/D52)</f>
        <v/>
      </c>
      <c r="G53" s="134" t="str">
        <f>IFERROR(AVERAGEIFS('Daily Tracking'!$E$6:$E$735,'Daily Tracking'!$A$6:$A$735,"&gt;="&amp;B53,'Daily Tracking'!$A$6:$A$735,"&lt;="&amp;C53),"")</f>
        <v/>
      </c>
      <c r="H53" s="135" t="str">
        <f>IFERROR(AVERAGEIFS('Daily Tracking'!$F$6:$F$735,'Daily Tracking'!$A$6:$A$735,"&gt;="&amp;B53,'Daily Tracking'!$A$6:$A$735,"&lt;="&amp;C53),"")</f>
        <v/>
      </c>
      <c r="I53" s="134" t="str">
        <f>IFERROR(AVERAGEIFS('Daily Tracking'!$H$6:$H$735,'Daily Tracking'!$A$6:$A$735,"&gt;="&amp;B53,'Daily Tracking'!$A$6:$A$735,"&lt;="&amp;C53),"")</f>
        <v/>
      </c>
      <c r="J53" s="133" t="str">
        <f>IFERROR(AVERAGEIFS('Daily Tracking'!$K$6:$K$735,'Daily Tracking'!$A$6:$A$735,"&gt;="&amp;B53,'Daily Tracking'!$A$6:$A$735,"&lt;="&amp;C53),"")</f>
        <v/>
      </c>
      <c r="K53" s="133" t="str">
        <f>IFERROR(AVERAGEIFS('Daily Tracking'!$G$6:$G$735,'Daily Tracking'!$A$6:$A$735,"&gt;="&amp;B53,'Daily Tracking'!$A$6:$A$735,"&lt;="&amp;C53),"")</f>
        <v/>
      </c>
      <c r="L53" s="135" t="str">
        <f>IF(N53=0,"",SUMIFS('Daily Tracking'!$I$6:$I$735,'Daily Tracking'!$A$6:$A$735,"&gt;="&amp;B53,'Daily Tracking'!$A$6:$A$735,"&lt;="&amp;C53))</f>
        <v/>
      </c>
      <c r="M53" s="135" t="str">
        <f>IF(N53=0,"",COUNTIFS('Daily Tracking'!$A$6:$A$735,"&gt;="&amp;B53,'Daily Tracking'!$A$6:$A$735,"&lt;="&amp;C53,'Daily Tracking'!$J$6:$J$735,"Yes"))</f>
        <v/>
      </c>
      <c r="N53" s="136">
        <f>COUNTIFS('Daily Tracking'!$A$6:$A$735,"&gt;="&amp;B53,'Daily Tracking'!$A$6:$A$735,"&lt;="&amp;C53,'Daily Tracking'!$B$6:$B$735,"&lt;&gt;")</f>
        <v>0</v>
      </c>
      <c r="S53" s="3" t="e">
        <f t="shared" si="0"/>
        <v>#N/A</v>
      </c>
      <c r="T53" s="3" t="e">
        <f t="shared" si="1"/>
        <v>#N/A</v>
      </c>
    </row>
    <row r="54" spans="1:20" ht="18" customHeight="1" x14ac:dyDescent="0.3">
      <c r="A54" s="130">
        <f>A53+1</f>
        <v>49</v>
      </c>
      <c r="B54" s="161">
        <f>Settings!$B$4+(A54-1)*7</f>
        <v>46614</v>
      </c>
      <c r="C54" s="161">
        <f>B54+6</f>
        <v>46620</v>
      </c>
      <c r="D54" s="125" t="str">
        <f>IF(N54=0,"",AVERAGEIFS('Daily Tracking'!$B$6:$B$735,'Daily Tracking'!$A$6:$A$735,"&gt;="&amp;B54,'Daily Tracking'!$A$6:$A$735,"&lt;="&amp;C54))</f>
        <v/>
      </c>
      <c r="E54" s="162" t="str">
        <f>IF(OR(D54="",D53=""),"",D53-D54)</f>
        <v/>
      </c>
      <c r="F54" s="163" t="str">
        <f>IF(E54="","",E54/D53)</f>
        <v/>
      </c>
      <c r="G54" s="128" t="str">
        <f>IFERROR(AVERAGEIFS('Daily Tracking'!$E$6:$E$735,'Daily Tracking'!$A$6:$A$735,"&gt;="&amp;B54,'Daily Tracking'!$A$6:$A$735,"&lt;="&amp;C54),"")</f>
        <v/>
      </c>
      <c r="H54" s="129" t="str">
        <f>IFERROR(AVERAGEIFS('Daily Tracking'!$F$6:$F$735,'Daily Tracking'!$A$6:$A$735,"&gt;="&amp;B54,'Daily Tracking'!$A$6:$A$735,"&lt;="&amp;C54),"")</f>
        <v/>
      </c>
      <c r="I54" s="128" t="str">
        <f>IFERROR(AVERAGEIFS('Daily Tracking'!$H$6:$H$735,'Daily Tracking'!$A$6:$A$735,"&gt;="&amp;B54,'Daily Tracking'!$A$6:$A$735,"&lt;="&amp;C54),"")</f>
        <v/>
      </c>
      <c r="J54" s="125" t="str">
        <f>IFERROR(AVERAGEIFS('Daily Tracking'!$K$6:$K$735,'Daily Tracking'!$A$6:$A$735,"&gt;="&amp;B54,'Daily Tracking'!$A$6:$A$735,"&lt;="&amp;C54),"")</f>
        <v/>
      </c>
      <c r="K54" s="125" t="str">
        <f>IFERROR(AVERAGEIFS('Daily Tracking'!$G$6:$G$735,'Daily Tracking'!$A$6:$A$735,"&gt;="&amp;B54,'Daily Tracking'!$A$6:$A$735,"&lt;="&amp;C54),"")</f>
        <v/>
      </c>
      <c r="L54" s="129" t="str">
        <f>IF(N54=0,"",SUMIFS('Daily Tracking'!$I$6:$I$735,'Daily Tracking'!$A$6:$A$735,"&gt;="&amp;B54,'Daily Tracking'!$A$6:$A$735,"&lt;="&amp;C54))</f>
        <v/>
      </c>
      <c r="M54" s="129" t="str">
        <f>IF(N54=0,"",COUNTIFS('Daily Tracking'!$A$6:$A$735,"&gt;="&amp;B54,'Daily Tracking'!$A$6:$A$735,"&lt;="&amp;C54,'Daily Tracking'!$J$6:$J$735,"Yes"))</f>
        <v/>
      </c>
      <c r="N54" s="130">
        <f>COUNTIFS('Daily Tracking'!$A$6:$A$735,"&gt;="&amp;B54,'Daily Tracking'!$A$6:$A$735,"&lt;="&amp;C54,'Daily Tracking'!$B$6:$B$735,"&lt;&gt;")</f>
        <v>0</v>
      </c>
      <c r="S54" s="3" t="e">
        <f t="shared" si="0"/>
        <v>#N/A</v>
      </c>
      <c r="T54" s="3" t="e">
        <f t="shared" si="1"/>
        <v>#N/A</v>
      </c>
    </row>
    <row r="55" spans="1:20" ht="18" customHeight="1" x14ac:dyDescent="0.3">
      <c r="A55" s="136">
        <f>A54+1</f>
        <v>50</v>
      </c>
      <c r="B55" s="166">
        <f>Settings!$B$4+(A55-1)*7</f>
        <v>46621</v>
      </c>
      <c r="C55" s="166">
        <f>B55+6</f>
        <v>46627</v>
      </c>
      <c r="D55" s="133" t="str">
        <f>IF(N55=0,"",AVERAGEIFS('Daily Tracking'!$B$6:$B$735,'Daily Tracking'!$A$6:$A$735,"&gt;="&amp;B55,'Daily Tracking'!$A$6:$A$735,"&lt;="&amp;C55))</f>
        <v/>
      </c>
      <c r="E55" s="167" t="str">
        <f>IF(OR(D55="",D54=""),"",D54-D55)</f>
        <v/>
      </c>
      <c r="F55" s="168" t="str">
        <f>IF(E55="","",E55/D54)</f>
        <v/>
      </c>
      <c r="G55" s="134" t="str">
        <f>IFERROR(AVERAGEIFS('Daily Tracking'!$E$6:$E$735,'Daily Tracking'!$A$6:$A$735,"&gt;="&amp;B55,'Daily Tracking'!$A$6:$A$735,"&lt;="&amp;C55),"")</f>
        <v/>
      </c>
      <c r="H55" s="135" t="str">
        <f>IFERROR(AVERAGEIFS('Daily Tracking'!$F$6:$F$735,'Daily Tracking'!$A$6:$A$735,"&gt;="&amp;B55,'Daily Tracking'!$A$6:$A$735,"&lt;="&amp;C55),"")</f>
        <v/>
      </c>
      <c r="I55" s="134" t="str">
        <f>IFERROR(AVERAGEIFS('Daily Tracking'!$H$6:$H$735,'Daily Tracking'!$A$6:$A$735,"&gt;="&amp;B55,'Daily Tracking'!$A$6:$A$735,"&lt;="&amp;C55),"")</f>
        <v/>
      </c>
      <c r="J55" s="133" t="str">
        <f>IFERROR(AVERAGEIFS('Daily Tracking'!$K$6:$K$735,'Daily Tracking'!$A$6:$A$735,"&gt;="&amp;B55,'Daily Tracking'!$A$6:$A$735,"&lt;="&amp;C55),"")</f>
        <v/>
      </c>
      <c r="K55" s="133" t="str">
        <f>IFERROR(AVERAGEIFS('Daily Tracking'!$G$6:$G$735,'Daily Tracking'!$A$6:$A$735,"&gt;="&amp;B55,'Daily Tracking'!$A$6:$A$735,"&lt;="&amp;C55),"")</f>
        <v/>
      </c>
      <c r="L55" s="135" t="str">
        <f>IF(N55=0,"",SUMIFS('Daily Tracking'!$I$6:$I$735,'Daily Tracking'!$A$6:$A$735,"&gt;="&amp;B55,'Daily Tracking'!$A$6:$A$735,"&lt;="&amp;C55))</f>
        <v/>
      </c>
      <c r="M55" s="135" t="str">
        <f>IF(N55=0,"",COUNTIFS('Daily Tracking'!$A$6:$A$735,"&gt;="&amp;B55,'Daily Tracking'!$A$6:$A$735,"&lt;="&amp;C55,'Daily Tracking'!$J$6:$J$735,"Yes"))</f>
        <v/>
      </c>
      <c r="N55" s="136">
        <f>COUNTIFS('Daily Tracking'!$A$6:$A$735,"&gt;="&amp;B55,'Daily Tracking'!$A$6:$A$735,"&lt;="&amp;C55,'Daily Tracking'!$B$6:$B$735,"&lt;&gt;")</f>
        <v>0</v>
      </c>
      <c r="S55" s="3" t="e">
        <f t="shared" si="0"/>
        <v>#N/A</v>
      </c>
      <c r="T55" s="3" t="e">
        <f t="shared" si="1"/>
        <v>#N/A</v>
      </c>
    </row>
    <row r="56" spans="1:20" ht="18" customHeight="1" x14ac:dyDescent="0.3">
      <c r="A56" s="130">
        <f>A55+1</f>
        <v>51</v>
      </c>
      <c r="B56" s="161">
        <f>Settings!$B$4+(A56-1)*7</f>
        <v>46628</v>
      </c>
      <c r="C56" s="161">
        <f>B56+6</f>
        <v>46634</v>
      </c>
      <c r="D56" s="125" t="str">
        <f>IF(N56=0,"",AVERAGEIFS('Daily Tracking'!$B$6:$B$735,'Daily Tracking'!$A$6:$A$735,"&gt;="&amp;B56,'Daily Tracking'!$A$6:$A$735,"&lt;="&amp;C56))</f>
        <v/>
      </c>
      <c r="E56" s="162" t="str">
        <f>IF(OR(D56="",D55=""),"",D55-D56)</f>
        <v/>
      </c>
      <c r="F56" s="163" t="str">
        <f>IF(E56="","",E56/D55)</f>
        <v/>
      </c>
      <c r="G56" s="128" t="str">
        <f>IFERROR(AVERAGEIFS('Daily Tracking'!$E$6:$E$735,'Daily Tracking'!$A$6:$A$735,"&gt;="&amp;B56,'Daily Tracking'!$A$6:$A$735,"&lt;="&amp;C56),"")</f>
        <v/>
      </c>
      <c r="H56" s="129" t="str">
        <f>IFERROR(AVERAGEIFS('Daily Tracking'!$F$6:$F$735,'Daily Tracking'!$A$6:$A$735,"&gt;="&amp;B56,'Daily Tracking'!$A$6:$A$735,"&lt;="&amp;C56),"")</f>
        <v/>
      </c>
      <c r="I56" s="128" t="str">
        <f>IFERROR(AVERAGEIFS('Daily Tracking'!$H$6:$H$735,'Daily Tracking'!$A$6:$A$735,"&gt;="&amp;B56,'Daily Tracking'!$A$6:$A$735,"&lt;="&amp;C56),"")</f>
        <v/>
      </c>
      <c r="J56" s="125" t="str">
        <f>IFERROR(AVERAGEIFS('Daily Tracking'!$K$6:$K$735,'Daily Tracking'!$A$6:$A$735,"&gt;="&amp;B56,'Daily Tracking'!$A$6:$A$735,"&lt;="&amp;C56),"")</f>
        <v/>
      </c>
      <c r="K56" s="125" t="str">
        <f>IFERROR(AVERAGEIFS('Daily Tracking'!$G$6:$G$735,'Daily Tracking'!$A$6:$A$735,"&gt;="&amp;B56,'Daily Tracking'!$A$6:$A$735,"&lt;="&amp;C56),"")</f>
        <v/>
      </c>
      <c r="L56" s="129" t="str">
        <f>IF(N56=0,"",SUMIFS('Daily Tracking'!$I$6:$I$735,'Daily Tracking'!$A$6:$A$735,"&gt;="&amp;B56,'Daily Tracking'!$A$6:$A$735,"&lt;="&amp;C56))</f>
        <v/>
      </c>
      <c r="M56" s="129" t="str">
        <f>IF(N56=0,"",COUNTIFS('Daily Tracking'!$A$6:$A$735,"&gt;="&amp;B56,'Daily Tracking'!$A$6:$A$735,"&lt;="&amp;C56,'Daily Tracking'!$J$6:$J$735,"Yes"))</f>
        <v/>
      </c>
      <c r="N56" s="130">
        <f>COUNTIFS('Daily Tracking'!$A$6:$A$735,"&gt;="&amp;B56,'Daily Tracking'!$A$6:$A$735,"&lt;="&amp;C56,'Daily Tracking'!$B$6:$B$735,"&lt;&gt;")</f>
        <v>0</v>
      </c>
      <c r="S56" s="3" t="e">
        <f t="shared" si="0"/>
        <v>#N/A</v>
      </c>
      <c r="T56" s="3" t="e">
        <f t="shared" si="1"/>
        <v>#N/A</v>
      </c>
    </row>
    <row r="57" spans="1:20" ht="18" customHeight="1" x14ac:dyDescent="0.3">
      <c r="A57" s="136">
        <f>A56+1</f>
        <v>52</v>
      </c>
      <c r="B57" s="166">
        <f>Settings!$B$4+(A57-1)*7</f>
        <v>46635</v>
      </c>
      <c r="C57" s="166">
        <f>B57+6</f>
        <v>46641</v>
      </c>
      <c r="D57" s="133" t="str">
        <f>IF(N57=0,"",AVERAGEIFS('Daily Tracking'!$B$6:$B$735,'Daily Tracking'!$A$6:$A$735,"&gt;="&amp;B57,'Daily Tracking'!$A$6:$A$735,"&lt;="&amp;C57))</f>
        <v/>
      </c>
      <c r="E57" s="167" t="str">
        <f>IF(OR(D57="",D56=""),"",D56-D57)</f>
        <v/>
      </c>
      <c r="F57" s="168" t="str">
        <f>IF(E57="","",E57/D56)</f>
        <v/>
      </c>
      <c r="G57" s="134" t="str">
        <f>IFERROR(AVERAGEIFS('Daily Tracking'!$E$6:$E$735,'Daily Tracking'!$A$6:$A$735,"&gt;="&amp;B57,'Daily Tracking'!$A$6:$A$735,"&lt;="&amp;C57),"")</f>
        <v/>
      </c>
      <c r="H57" s="135" t="str">
        <f>IFERROR(AVERAGEIFS('Daily Tracking'!$F$6:$F$735,'Daily Tracking'!$A$6:$A$735,"&gt;="&amp;B57,'Daily Tracking'!$A$6:$A$735,"&lt;="&amp;C57),"")</f>
        <v/>
      </c>
      <c r="I57" s="134" t="str">
        <f>IFERROR(AVERAGEIFS('Daily Tracking'!$H$6:$H$735,'Daily Tracking'!$A$6:$A$735,"&gt;="&amp;B57,'Daily Tracking'!$A$6:$A$735,"&lt;="&amp;C57),"")</f>
        <v/>
      </c>
      <c r="J57" s="133" t="str">
        <f>IFERROR(AVERAGEIFS('Daily Tracking'!$K$6:$K$735,'Daily Tracking'!$A$6:$A$735,"&gt;="&amp;B57,'Daily Tracking'!$A$6:$A$735,"&lt;="&amp;C57),"")</f>
        <v/>
      </c>
      <c r="K57" s="133" t="str">
        <f>IFERROR(AVERAGEIFS('Daily Tracking'!$G$6:$G$735,'Daily Tracking'!$A$6:$A$735,"&gt;="&amp;B57,'Daily Tracking'!$A$6:$A$735,"&lt;="&amp;C57),"")</f>
        <v/>
      </c>
      <c r="L57" s="135" t="str">
        <f>IF(N57=0,"",SUMIFS('Daily Tracking'!$I$6:$I$735,'Daily Tracking'!$A$6:$A$735,"&gt;="&amp;B57,'Daily Tracking'!$A$6:$A$735,"&lt;="&amp;C57))</f>
        <v/>
      </c>
      <c r="M57" s="135" t="str">
        <f>IF(N57=0,"",COUNTIFS('Daily Tracking'!$A$6:$A$735,"&gt;="&amp;B57,'Daily Tracking'!$A$6:$A$735,"&lt;="&amp;C57,'Daily Tracking'!$J$6:$J$735,"Yes"))</f>
        <v/>
      </c>
      <c r="N57" s="136">
        <f>COUNTIFS('Daily Tracking'!$A$6:$A$735,"&gt;="&amp;B57,'Daily Tracking'!$A$6:$A$735,"&lt;="&amp;C57,'Daily Tracking'!$B$6:$B$735,"&lt;&gt;")</f>
        <v>0</v>
      </c>
      <c r="S57" s="3" t="e">
        <f t="shared" si="0"/>
        <v>#N/A</v>
      </c>
      <c r="T57" s="3" t="e">
        <f t="shared" si="1"/>
        <v>#N/A</v>
      </c>
    </row>
    <row r="58" spans="1:20" ht="18" customHeight="1" x14ac:dyDescent="0.3">
      <c r="A58" s="130">
        <f>A57+1</f>
        <v>53</v>
      </c>
      <c r="B58" s="161">
        <f>Settings!$B$4+(A58-1)*7</f>
        <v>46642</v>
      </c>
      <c r="C58" s="161">
        <f>B58+6</f>
        <v>46648</v>
      </c>
      <c r="D58" s="125" t="str">
        <f>IF(N58=0,"",AVERAGEIFS('Daily Tracking'!$B$6:$B$735,'Daily Tracking'!$A$6:$A$735,"&gt;="&amp;B58,'Daily Tracking'!$A$6:$A$735,"&lt;="&amp;C58))</f>
        <v/>
      </c>
      <c r="E58" s="162" t="str">
        <f>IF(OR(D58="",D57=""),"",D57-D58)</f>
        <v/>
      </c>
      <c r="F58" s="163" t="str">
        <f>IF(E58="","",E58/D57)</f>
        <v/>
      </c>
      <c r="G58" s="128" t="str">
        <f>IFERROR(AVERAGEIFS('Daily Tracking'!$E$6:$E$735,'Daily Tracking'!$A$6:$A$735,"&gt;="&amp;B58,'Daily Tracking'!$A$6:$A$735,"&lt;="&amp;C58),"")</f>
        <v/>
      </c>
      <c r="H58" s="129" t="str">
        <f>IFERROR(AVERAGEIFS('Daily Tracking'!$F$6:$F$735,'Daily Tracking'!$A$6:$A$735,"&gt;="&amp;B58,'Daily Tracking'!$A$6:$A$735,"&lt;="&amp;C58),"")</f>
        <v/>
      </c>
      <c r="I58" s="128" t="str">
        <f>IFERROR(AVERAGEIFS('Daily Tracking'!$H$6:$H$735,'Daily Tracking'!$A$6:$A$735,"&gt;="&amp;B58,'Daily Tracking'!$A$6:$A$735,"&lt;="&amp;C58),"")</f>
        <v/>
      </c>
      <c r="J58" s="125" t="str">
        <f>IFERROR(AVERAGEIFS('Daily Tracking'!$K$6:$K$735,'Daily Tracking'!$A$6:$A$735,"&gt;="&amp;B58,'Daily Tracking'!$A$6:$A$735,"&lt;="&amp;C58),"")</f>
        <v/>
      </c>
      <c r="K58" s="125" t="str">
        <f>IFERROR(AVERAGEIFS('Daily Tracking'!$G$6:$G$735,'Daily Tracking'!$A$6:$A$735,"&gt;="&amp;B58,'Daily Tracking'!$A$6:$A$735,"&lt;="&amp;C58),"")</f>
        <v/>
      </c>
      <c r="L58" s="129" t="str">
        <f>IF(N58=0,"",SUMIFS('Daily Tracking'!$I$6:$I$735,'Daily Tracking'!$A$6:$A$735,"&gt;="&amp;B58,'Daily Tracking'!$A$6:$A$735,"&lt;="&amp;C58))</f>
        <v/>
      </c>
      <c r="M58" s="129" t="str">
        <f>IF(N58=0,"",COUNTIFS('Daily Tracking'!$A$6:$A$735,"&gt;="&amp;B58,'Daily Tracking'!$A$6:$A$735,"&lt;="&amp;C58,'Daily Tracking'!$J$6:$J$735,"Yes"))</f>
        <v/>
      </c>
      <c r="N58" s="130">
        <f>COUNTIFS('Daily Tracking'!$A$6:$A$735,"&gt;="&amp;B58,'Daily Tracking'!$A$6:$A$735,"&lt;="&amp;C58,'Daily Tracking'!$B$6:$B$735,"&lt;&gt;")</f>
        <v>0</v>
      </c>
      <c r="S58" s="3" t="e">
        <f t="shared" si="0"/>
        <v>#N/A</v>
      </c>
      <c r="T58" s="3" t="e">
        <f t="shared" si="1"/>
        <v>#N/A</v>
      </c>
    </row>
    <row r="59" spans="1:20" ht="18" customHeight="1" x14ac:dyDescent="0.3">
      <c r="A59" s="136">
        <f>A58+1</f>
        <v>54</v>
      </c>
      <c r="B59" s="166">
        <f>Settings!$B$4+(A59-1)*7</f>
        <v>46649</v>
      </c>
      <c r="C59" s="166">
        <f>B59+6</f>
        <v>46655</v>
      </c>
      <c r="D59" s="133" t="str">
        <f>IF(N59=0,"",AVERAGEIFS('Daily Tracking'!$B$6:$B$735,'Daily Tracking'!$A$6:$A$735,"&gt;="&amp;B59,'Daily Tracking'!$A$6:$A$735,"&lt;="&amp;C59))</f>
        <v/>
      </c>
      <c r="E59" s="167" t="str">
        <f>IF(OR(D59="",D58=""),"",D58-D59)</f>
        <v/>
      </c>
      <c r="F59" s="168" t="str">
        <f>IF(E59="","",E59/D58)</f>
        <v/>
      </c>
      <c r="G59" s="134" t="str">
        <f>IFERROR(AVERAGEIFS('Daily Tracking'!$E$6:$E$735,'Daily Tracking'!$A$6:$A$735,"&gt;="&amp;B59,'Daily Tracking'!$A$6:$A$735,"&lt;="&amp;C59),"")</f>
        <v/>
      </c>
      <c r="H59" s="135" t="str">
        <f>IFERROR(AVERAGEIFS('Daily Tracking'!$F$6:$F$735,'Daily Tracking'!$A$6:$A$735,"&gt;="&amp;B59,'Daily Tracking'!$A$6:$A$735,"&lt;="&amp;C59),"")</f>
        <v/>
      </c>
      <c r="I59" s="134" t="str">
        <f>IFERROR(AVERAGEIFS('Daily Tracking'!$H$6:$H$735,'Daily Tracking'!$A$6:$A$735,"&gt;="&amp;B59,'Daily Tracking'!$A$6:$A$735,"&lt;="&amp;C59),"")</f>
        <v/>
      </c>
      <c r="J59" s="133" t="str">
        <f>IFERROR(AVERAGEIFS('Daily Tracking'!$K$6:$K$735,'Daily Tracking'!$A$6:$A$735,"&gt;="&amp;B59,'Daily Tracking'!$A$6:$A$735,"&lt;="&amp;C59),"")</f>
        <v/>
      </c>
      <c r="K59" s="133" t="str">
        <f>IFERROR(AVERAGEIFS('Daily Tracking'!$G$6:$G$735,'Daily Tracking'!$A$6:$A$735,"&gt;="&amp;B59,'Daily Tracking'!$A$6:$A$735,"&lt;="&amp;C59),"")</f>
        <v/>
      </c>
      <c r="L59" s="135" t="str">
        <f>IF(N59=0,"",SUMIFS('Daily Tracking'!$I$6:$I$735,'Daily Tracking'!$A$6:$A$735,"&gt;="&amp;B59,'Daily Tracking'!$A$6:$A$735,"&lt;="&amp;C59))</f>
        <v/>
      </c>
      <c r="M59" s="135" t="str">
        <f>IF(N59=0,"",COUNTIFS('Daily Tracking'!$A$6:$A$735,"&gt;="&amp;B59,'Daily Tracking'!$A$6:$A$735,"&lt;="&amp;C59,'Daily Tracking'!$J$6:$J$735,"Yes"))</f>
        <v/>
      </c>
      <c r="N59" s="136">
        <f>COUNTIFS('Daily Tracking'!$A$6:$A$735,"&gt;="&amp;B59,'Daily Tracking'!$A$6:$A$735,"&lt;="&amp;C59,'Daily Tracking'!$B$6:$B$735,"&lt;&gt;")</f>
        <v>0</v>
      </c>
      <c r="S59" s="3" t="e">
        <f t="shared" si="0"/>
        <v>#N/A</v>
      </c>
      <c r="T59" s="3" t="e">
        <f t="shared" si="1"/>
        <v>#N/A</v>
      </c>
    </row>
    <row r="60" spans="1:20" ht="18" customHeight="1" x14ac:dyDescent="0.3">
      <c r="A60" s="130">
        <f>A59+1</f>
        <v>55</v>
      </c>
      <c r="B60" s="161">
        <f>Settings!$B$4+(A60-1)*7</f>
        <v>46656</v>
      </c>
      <c r="C60" s="161">
        <f>B60+6</f>
        <v>46662</v>
      </c>
      <c r="D60" s="125" t="str">
        <f>IF(N60=0,"",AVERAGEIFS('Daily Tracking'!$B$6:$B$735,'Daily Tracking'!$A$6:$A$735,"&gt;="&amp;B60,'Daily Tracking'!$A$6:$A$735,"&lt;="&amp;C60))</f>
        <v/>
      </c>
      <c r="E60" s="162" t="str">
        <f>IF(OR(D60="",D59=""),"",D59-D60)</f>
        <v/>
      </c>
      <c r="F60" s="163" t="str">
        <f>IF(E60="","",E60/D59)</f>
        <v/>
      </c>
      <c r="G60" s="128" t="str">
        <f>IFERROR(AVERAGEIFS('Daily Tracking'!$E$6:$E$735,'Daily Tracking'!$A$6:$A$735,"&gt;="&amp;B60,'Daily Tracking'!$A$6:$A$735,"&lt;="&amp;C60),"")</f>
        <v/>
      </c>
      <c r="H60" s="129" t="str">
        <f>IFERROR(AVERAGEIFS('Daily Tracking'!$F$6:$F$735,'Daily Tracking'!$A$6:$A$735,"&gt;="&amp;B60,'Daily Tracking'!$A$6:$A$735,"&lt;="&amp;C60),"")</f>
        <v/>
      </c>
      <c r="I60" s="128" t="str">
        <f>IFERROR(AVERAGEIFS('Daily Tracking'!$H$6:$H$735,'Daily Tracking'!$A$6:$A$735,"&gt;="&amp;B60,'Daily Tracking'!$A$6:$A$735,"&lt;="&amp;C60),"")</f>
        <v/>
      </c>
      <c r="J60" s="125" t="str">
        <f>IFERROR(AVERAGEIFS('Daily Tracking'!$K$6:$K$735,'Daily Tracking'!$A$6:$A$735,"&gt;="&amp;B60,'Daily Tracking'!$A$6:$A$735,"&lt;="&amp;C60),"")</f>
        <v/>
      </c>
      <c r="K60" s="125" t="str">
        <f>IFERROR(AVERAGEIFS('Daily Tracking'!$G$6:$G$735,'Daily Tracking'!$A$6:$A$735,"&gt;="&amp;B60,'Daily Tracking'!$A$6:$A$735,"&lt;="&amp;C60),"")</f>
        <v/>
      </c>
      <c r="L60" s="129" t="str">
        <f>IF(N60=0,"",SUMIFS('Daily Tracking'!$I$6:$I$735,'Daily Tracking'!$A$6:$A$735,"&gt;="&amp;B60,'Daily Tracking'!$A$6:$A$735,"&lt;="&amp;C60))</f>
        <v/>
      </c>
      <c r="M60" s="129" t="str">
        <f>IF(N60=0,"",COUNTIFS('Daily Tracking'!$A$6:$A$735,"&gt;="&amp;B60,'Daily Tracking'!$A$6:$A$735,"&lt;="&amp;C60,'Daily Tracking'!$J$6:$J$735,"Yes"))</f>
        <v/>
      </c>
      <c r="N60" s="130">
        <f>COUNTIFS('Daily Tracking'!$A$6:$A$735,"&gt;="&amp;B60,'Daily Tracking'!$A$6:$A$735,"&lt;="&amp;C60,'Daily Tracking'!$B$6:$B$735,"&lt;&gt;")</f>
        <v>0</v>
      </c>
      <c r="S60" s="3" t="e">
        <f t="shared" si="0"/>
        <v>#N/A</v>
      </c>
      <c r="T60" s="3" t="e">
        <f t="shared" si="1"/>
        <v>#N/A</v>
      </c>
    </row>
    <row r="61" spans="1:20" ht="18" customHeight="1" x14ac:dyDescent="0.3">
      <c r="A61" s="136">
        <f>A60+1</f>
        <v>56</v>
      </c>
      <c r="B61" s="166">
        <f>Settings!$B$4+(A61-1)*7</f>
        <v>46663</v>
      </c>
      <c r="C61" s="166">
        <f>B61+6</f>
        <v>46669</v>
      </c>
      <c r="D61" s="133" t="str">
        <f>IF(N61=0,"",AVERAGEIFS('Daily Tracking'!$B$6:$B$735,'Daily Tracking'!$A$6:$A$735,"&gt;="&amp;B61,'Daily Tracking'!$A$6:$A$735,"&lt;="&amp;C61))</f>
        <v/>
      </c>
      <c r="E61" s="167" t="str">
        <f>IF(OR(D61="",D60=""),"",D60-D61)</f>
        <v/>
      </c>
      <c r="F61" s="168" t="str">
        <f>IF(E61="","",E61/D60)</f>
        <v/>
      </c>
      <c r="G61" s="134" t="str">
        <f>IFERROR(AVERAGEIFS('Daily Tracking'!$E$6:$E$735,'Daily Tracking'!$A$6:$A$735,"&gt;="&amp;B61,'Daily Tracking'!$A$6:$A$735,"&lt;="&amp;C61),"")</f>
        <v/>
      </c>
      <c r="H61" s="135" t="str">
        <f>IFERROR(AVERAGEIFS('Daily Tracking'!$F$6:$F$735,'Daily Tracking'!$A$6:$A$735,"&gt;="&amp;B61,'Daily Tracking'!$A$6:$A$735,"&lt;="&amp;C61),"")</f>
        <v/>
      </c>
      <c r="I61" s="134" t="str">
        <f>IFERROR(AVERAGEIFS('Daily Tracking'!$H$6:$H$735,'Daily Tracking'!$A$6:$A$735,"&gt;="&amp;B61,'Daily Tracking'!$A$6:$A$735,"&lt;="&amp;C61),"")</f>
        <v/>
      </c>
      <c r="J61" s="133" t="str">
        <f>IFERROR(AVERAGEIFS('Daily Tracking'!$K$6:$K$735,'Daily Tracking'!$A$6:$A$735,"&gt;="&amp;B61,'Daily Tracking'!$A$6:$A$735,"&lt;="&amp;C61),"")</f>
        <v/>
      </c>
      <c r="K61" s="133" t="str">
        <f>IFERROR(AVERAGEIFS('Daily Tracking'!$G$6:$G$735,'Daily Tracking'!$A$6:$A$735,"&gt;="&amp;B61,'Daily Tracking'!$A$6:$A$735,"&lt;="&amp;C61),"")</f>
        <v/>
      </c>
      <c r="L61" s="135" t="str">
        <f>IF(N61=0,"",SUMIFS('Daily Tracking'!$I$6:$I$735,'Daily Tracking'!$A$6:$A$735,"&gt;="&amp;B61,'Daily Tracking'!$A$6:$A$735,"&lt;="&amp;C61))</f>
        <v/>
      </c>
      <c r="M61" s="135" t="str">
        <f>IF(N61=0,"",COUNTIFS('Daily Tracking'!$A$6:$A$735,"&gt;="&amp;B61,'Daily Tracking'!$A$6:$A$735,"&lt;="&amp;C61,'Daily Tracking'!$J$6:$J$735,"Yes"))</f>
        <v/>
      </c>
      <c r="N61" s="136">
        <f>COUNTIFS('Daily Tracking'!$A$6:$A$735,"&gt;="&amp;B61,'Daily Tracking'!$A$6:$A$735,"&lt;="&amp;C61,'Daily Tracking'!$B$6:$B$735,"&lt;&gt;")</f>
        <v>0</v>
      </c>
      <c r="S61" s="3" t="e">
        <f t="shared" si="0"/>
        <v>#N/A</v>
      </c>
      <c r="T61" s="3" t="e">
        <f t="shared" si="1"/>
        <v>#N/A</v>
      </c>
    </row>
    <row r="62" spans="1:20" ht="18" customHeight="1" x14ac:dyDescent="0.3">
      <c r="A62" s="130">
        <f>A61+1</f>
        <v>57</v>
      </c>
      <c r="B62" s="161">
        <f>Settings!$B$4+(A62-1)*7</f>
        <v>46670</v>
      </c>
      <c r="C62" s="161">
        <f>B62+6</f>
        <v>46676</v>
      </c>
      <c r="D62" s="125" t="str">
        <f>IF(N62=0,"",AVERAGEIFS('Daily Tracking'!$B$6:$B$735,'Daily Tracking'!$A$6:$A$735,"&gt;="&amp;B62,'Daily Tracking'!$A$6:$A$735,"&lt;="&amp;C62))</f>
        <v/>
      </c>
      <c r="E62" s="162" t="str">
        <f>IF(OR(D62="",D61=""),"",D61-D62)</f>
        <v/>
      </c>
      <c r="F62" s="163" t="str">
        <f>IF(E62="","",E62/D61)</f>
        <v/>
      </c>
      <c r="G62" s="128" t="str">
        <f>IFERROR(AVERAGEIFS('Daily Tracking'!$E$6:$E$735,'Daily Tracking'!$A$6:$A$735,"&gt;="&amp;B62,'Daily Tracking'!$A$6:$A$735,"&lt;="&amp;C62),"")</f>
        <v/>
      </c>
      <c r="H62" s="129" t="str">
        <f>IFERROR(AVERAGEIFS('Daily Tracking'!$F$6:$F$735,'Daily Tracking'!$A$6:$A$735,"&gt;="&amp;B62,'Daily Tracking'!$A$6:$A$735,"&lt;="&amp;C62),"")</f>
        <v/>
      </c>
      <c r="I62" s="128" t="str">
        <f>IFERROR(AVERAGEIFS('Daily Tracking'!$H$6:$H$735,'Daily Tracking'!$A$6:$A$735,"&gt;="&amp;B62,'Daily Tracking'!$A$6:$A$735,"&lt;="&amp;C62),"")</f>
        <v/>
      </c>
      <c r="J62" s="125" t="str">
        <f>IFERROR(AVERAGEIFS('Daily Tracking'!$K$6:$K$735,'Daily Tracking'!$A$6:$A$735,"&gt;="&amp;B62,'Daily Tracking'!$A$6:$A$735,"&lt;="&amp;C62),"")</f>
        <v/>
      </c>
      <c r="K62" s="125" t="str">
        <f>IFERROR(AVERAGEIFS('Daily Tracking'!$G$6:$G$735,'Daily Tracking'!$A$6:$A$735,"&gt;="&amp;B62,'Daily Tracking'!$A$6:$A$735,"&lt;="&amp;C62),"")</f>
        <v/>
      </c>
      <c r="L62" s="129" t="str">
        <f>IF(N62=0,"",SUMIFS('Daily Tracking'!$I$6:$I$735,'Daily Tracking'!$A$6:$A$735,"&gt;="&amp;B62,'Daily Tracking'!$A$6:$A$735,"&lt;="&amp;C62))</f>
        <v/>
      </c>
      <c r="M62" s="129" t="str">
        <f>IF(N62=0,"",COUNTIFS('Daily Tracking'!$A$6:$A$735,"&gt;="&amp;B62,'Daily Tracking'!$A$6:$A$735,"&lt;="&amp;C62,'Daily Tracking'!$J$6:$J$735,"Yes"))</f>
        <v/>
      </c>
      <c r="N62" s="130">
        <f>COUNTIFS('Daily Tracking'!$A$6:$A$735,"&gt;="&amp;B62,'Daily Tracking'!$A$6:$A$735,"&lt;="&amp;C62,'Daily Tracking'!$B$6:$B$735,"&lt;&gt;")</f>
        <v>0</v>
      </c>
      <c r="S62" s="3" t="e">
        <f t="shared" si="0"/>
        <v>#N/A</v>
      </c>
      <c r="T62" s="3" t="e">
        <f t="shared" si="1"/>
        <v>#N/A</v>
      </c>
    </row>
    <row r="63" spans="1:20" ht="18" customHeight="1" x14ac:dyDescent="0.3">
      <c r="A63" s="136">
        <f>A62+1</f>
        <v>58</v>
      </c>
      <c r="B63" s="166">
        <f>Settings!$B$4+(A63-1)*7</f>
        <v>46677</v>
      </c>
      <c r="C63" s="166">
        <f>B63+6</f>
        <v>46683</v>
      </c>
      <c r="D63" s="133" t="str">
        <f>IF(N63=0,"",AVERAGEIFS('Daily Tracking'!$B$6:$B$735,'Daily Tracking'!$A$6:$A$735,"&gt;="&amp;B63,'Daily Tracking'!$A$6:$A$735,"&lt;="&amp;C63))</f>
        <v/>
      </c>
      <c r="E63" s="167" t="str">
        <f>IF(OR(D63="",D62=""),"",D62-D63)</f>
        <v/>
      </c>
      <c r="F63" s="168" t="str">
        <f>IF(E63="","",E63/D62)</f>
        <v/>
      </c>
      <c r="G63" s="134" t="str">
        <f>IFERROR(AVERAGEIFS('Daily Tracking'!$E$6:$E$735,'Daily Tracking'!$A$6:$A$735,"&gt;="&amp;B63,'Daily Tracking'!$A$6:$A$735,"&lt;="&amp;C63),"")</f>
        <v/>
      </c>
      <c r="H63" s="135" t="str">
        <f>IFERROR(AVERAGEIFS('Daily Tracking'!$F$6:$F$735,'Daily Tracking'!$A$6:$A$735,"&gt;="&amp;B63,'Daily Tracking'!$A$6:$A$735,"&lt;="&amp;C63),"")</f>
        <v/>
      </c>
      <c r="I63" s="134" t="str">
        <f>IFERROR(AVERAGEIFS('Daily Tracking'!$H$6:$H$735,'Daily Tracking'!$A$6:$A$735,"&gt;="&amp;B63,'Daily Tracking'!$A$6:$A$735,"&lt;="&amp;C63),"")</f>
        <v/>
      </c>
      <c r="J63" s="133" t="str">
        <f>IFERROR(AVERAGEIFS('Daily Tracking'!$K$6:$K$735,'Daily Tracking'!$A$6:$A$735,"&gt;="&amp;B63,'Daily Tracking'!$A$6:$A$735,"&lt;="&amp;C63),"")</f>
        <v/>
      </c>
      <c r="K63" s="133" t="str">
        <f>IFERROR(AVERAGEIFS('Daily Tracking'!$G$6:$G$735,'Daily Tracking'!$A$6:$A$735,"&gt;="&amp;B63,'Daily Tracking'!$A$6:$A$735,"&lt;="&amp;C63),"")</f>
        <v/>
      </c>
      <c r="L63" s="135" t="str">
        <f>IF(N63=0,"",SUMIFS('Daily Tracking'!$I$6:$I$735,'Daily Tracking'!$A$6:$A$735,"&gt;="&amp;B63,'Daily Tracking'!$A$6:$A$735,"&lt;="&amp;C63))</f>
        <v/>
      </c>
      <c r="M63" s="135" t="str">
        <f>IF(N63=0,"",COUNTIFS('Daily Tracking'!$A$6:$A$735,"&gt;="&amp;B63,'Daily Tracking'!$A$6:$A$735,"&lt;="&amp;C63,'Daily Tracking'!$J$6:$J$735,"Yes"))</f>
        <v/>
      </c>
      <c r="N63" s="136">
        <f>COUNTIFS('Daily Tracking'!$A$6:$A$735,"&gt;="&amp;B63,'Daily Tracking'!$A$6:$A$735,"&lt;="&amp;C63,'Daily Tracking'!$B$6:$B$735,"&lt;&gt;")</f>
        <v>0</v>
      </c>
      <c r="S63" s="3" t="e">
        <f t="shared" si="0"/>
        <v>#N/A</v>
      </c>
      <c r="T63" s="3" t="e">
        <f t="shared" si="1"/>
        <v>#N/A</v>
      </c>
    </row>
    <row r="64" spans="1:20" ht="18" customHeight="1" x14ac:dyDescent="0.3">
      <c r="A64" s="130">
        <f>A63+1</f>
        <v>59</v>
      </c>
      <c r="B64" s="161">
        <f>Settings!$B$4+(A64-1)*7</f>
        <v>46684</v>
      </c>
      <c r="C64" s="161">
        <f>B64+6</f>
        <v>46690</v>
      </c>
      <c r="D64" s="125" t="str">
        <f>IF(N64=0,"",AVERAGEIFS('Daily Tracking'!$B$6:$B$735,'Daily Tracking'!$A$6:$A$735,"&gt;="&amp;B64,'Daily Tracking'!$A$6:$A$735,"&lt;="&amp;C64))</f>
        <v/>
      </c>
      <c r="E64" s="162" t="str">
        <f>IF(OR(D64="",D63=""),"",D63-D64)</f>
        <v/>
      </c>
      <c r="F64" s="163" t="str">
        <f>IF(E64="","",E64/D63)</f>
        <v/>
      </c>
      <c r="G64" s="128" t="str">
        <f>IFERROR(AVERAGEIFS('Daily Tracking'!$E$6:$E$735,'Daily Tracking'!$A$6:$A$735,"&gt;="&amp;B64,'Daily Tracking'!$A$6:$A$735,"&lt;="&amp;C64),"")</f>
        <v/>
      </c>
      <c r="H64" s="129" t="str">
        <f>IFERROR(AVERAGEIFS('Daily Tracking'!$F$6:$F$735,'Daily Tracking'!$A$6:$A$735,"&gt;="&amp;B64,'Daily Tracking'!$A$6:$A$735,"&lt;="&amp;C64),"")</f>
        <v/>
      </c>
      <c r="I64" s="128" t="str">
        <f>IFERROR(AVERAGEIFS('Daily Tracking'!$H$6:$H$735,'Daily Tracking'!$A$6:$A$735,"&gt;="&amp;B64,'Daily Tracking'!$A$6:$A$735,"&lt;="&amp;C64),"")</f>
        <v/>
      </c>
      <c r="J64" s="125" t="str">
        <f>IFERROR(AVERAGEIFS('Daily Tracking'!$K$6:$K$735,'Daily Tracking'!$A$6:$A$735,"&gt;="&amp;B64,'Daily Tracking'!$A$6:$A$735,"&lt;="&amp;C64),"")</f>
        <v/>
      </c>
      <c r="K64" s="125" t="str">
        <f>IFERROR(AVERAGEIFS('Daily Tracking'!$G$6:$G$735,'Daily Tracking'!$A$6:$A$735,"&gt;="&amp;B64,'Daily Tracking'!$A$6:$A$735,"&lt;="&amp;C64),"")</f>
        <v/>
      </c>
      <c r="L64" s="129" t="str">
        <f>IF(N64=0,"",SUMIFS('Daily Tracking'!$I$6:$I$735,'Daily Tracking'!$A$6:$A$735,"&gt;="&amp;B64,'Daily Tracking'!$A$6:$A$735,"&lt;="&amp;C64))</f>
        <v/>
      </c>
      <c r="M64" s="129" t="str">
        <f>IF(N64=0,"",COUNTIFS('Daily Tracking'!$A$6:$A$735,"&gt;="&amp;B64,'Daily Tracking'!$A$6:$A$735,"&lt;="&amp;C64,'Daily Tracking'!$J$6:$J$735,"Yes"))</f>
        <v/>
      </c>
      <c r="N64" s="130">
        <f>COUNTIFS('Daily Tracking'!$A$6:$A$735,"&gt;="&amp;B64,'Daily Tracking'!$A$6:$A$735,"&lt;="&amp;C64,'Daily Tracking'!$B$6:$B$735,"&lt;&gt;")</f>
        <v>0</v>
      </c>
      <c r="S64" s="3" t="e">
        <f t="shared" si="0"/>
        <v>#N/A</v>
      </c>
      <c r="T64" s="3" t="e">
        <f t="shared" si="1"/>
        <v>#N/A</v>
      </c>
    </row>
    <row r="65" spans="1:20" ht="18" customHeight="1" x14ac:dyDescent="0.3">
      <c r="A65" s="136">
        <f>A64+1</f>
        <v>60</v>
      </c>
      <c r="B65" s="166">
        <f>Settings!$B$4+(A65-1)*7</f>
        <v>46691</v>
      </c>
      <c r="C65" s="166">
        <f>B65+6</f>
        <v>46697</v>
      </c>
      <c r="D65" s="133" t="str">
        <f>IF(N65=0,"",AVERAGEIFS('Daily Tracking'!$B$6:$B$735,'Daily Tracking'!$A$6:$A$735,"&gt;="&amp;B65,'Daily Tracking'!$A$6:$A$735,"&lt;="&amp;C65))</f>
        <v/>
      </c>
      <c r="E65" s="167" t="str">
        <f>IF(OR(D65="",D64=""),"",D64-D65)</f>
        <v/>
      </c>
      <c r="F65" s="168" t="str">
        <f>IF(E65="","",E65/D64)</f>
        <v/>
      </c>
      <c r="G65" s="134" t="str">
        <f>IFERROR(AVERAGEIFS('Daily Tracking'!$E$6:$E$735,'Daily Tracking'!$A$6:$A$735,"&gt;="&amp;B65,'Daily Tracking'!$A$6:$A$735,"&lt;="&amp;C65),"")</f>
        <v/>
      </c>
      <c r="H65" s="135" t="str">
        <f>IFERROR(AVERAGEIFS('Daily Tracking'!$F$6:$F$735,'Daily Tracking'!$A$6:$A$735,"&gt;="&amp;B65,'Daily Tracking'!$A$6:$A$735,"&lt;="&amp;C65),"")</f>
        <v/>
      </c>
      <c r="I65" s="134" t="str">
        <f>IFERROR(AVERAGEIFS('Daily Tracking'!$H$6:$H$735,'Daily Tracking'!$A$6:$A$735,"&gt;="&amp;B65,'Daily Tracking'!$A$6:$A$735,"&lt;="&amp;C65),"")</f>
        <v/>
      </c>
      <c r="J65" s="133" t="str">
        <f>IFERROR(AVERAGEIFS('Daily Tracking'!$K$6:$K$735,'Daily Tracking'!$A$6:$A$735,"&gt;="&amp;B65,'Daily Tracking'!$A$6:$A$735,"&lt;="&amp;C65),"")</f>
        <v/>
      </c>
      <c r="K65" s="133" t="str">
        <f>IFERROR(AVERAGEIFS('Daily Tracking'!$G$6:$G$735,'Daily Tracking'!$A$6:$A$735,"&gt;="&amp;B65,'Daily Tracking'!$A$6:$A$735,"&lt;="&amp;C65),"")</f>
        <v/>
      </c>
      <c r="L65" s="135" t="str">
        <f>IF(N65=0,"",SUMIFS('Daily Tracking'!$I$6:$I$735,'Daily Tracking'!$A$6:$A$735,"&gt;="&amp;B65,'Daily Tracking'!$A$6:$A$735,"&lt;="&amp;C65))</f>
        <v/>
      </c>
      <c r="M65" s="135" t="str">
        <f>IF(N65=0,"",COUNTIFS('Daily Tracking'!$A$6:$A$735,"&gt;="&amp;B65,'Daily Tracking'!$A$6:$A$735,"&lt;="&amp;C65,'Daily Tracking'!$J$6:$J$735,"Yes"))</f>
        <v/>
      </c>
      <c r="N65" s="136">
        <f>COUNTIFS('Daily Tracking'!$A$6:$A$735,"&gt;="&amp;B65,'Daily Tracking'!$A$6:$A$735,"&lt;="&amp;C65,'Daily Tracking'!$B$6:$B$735,"&lt;&gt;")</f>
        <v>0</v>
      </c>
      <c r="S65" s="3" t="e">
        <f t="shared" si="0"/>
        <v>#N/A</v>
      </c>
      <c r="T65" s="3" t="e">
        <f t="shared" si="1"/>
        <v>#N/A</v>
      </c>
    </row>
    <row r="66" spans="1:20" ht="18" customHeight="1" x14ac:dyDescent="0.3">
      <c r="A66" s="130">
        <f>A65+1</f>
        <v>61</v>
      </c>
      <c r="B66" s="161">
        <f>Settings!$B$4+(A66-1)*7</f>
        <v>46698</v>
      </c>
      <c r="C66" s="161">
        <f>B66+6</f>
        <v>46704</v>
      </c>
      <c r="D66" s="125" t="str">
        <f>IF(N66=0,"",AVERAGEIFS('Daily Tracking'!$B$6:$B$735,'Daily Tracking'!$A$6:$A$735,"&gt;="&amp;B66,'Daily Tracking'!$A$6:$A$735,"&lt;="&amp;C66))</f>
        <v/>
      </c>
      <c r="E66" s="162" t="str">
        <f>IF(OR(D66="",D65=""),"",D65-D66)</f>
        <v/>
      </c>
      <c r="F66" s="163" t="str">
        <f>IF(E66="","",E66/D65)</f>
        <v/>
      </c>
      <c r="G66" s="128" t="str">
        <f>IFERROR(AVERAGEIFS('Daily Tracking'!$E$6:$E$735,'Daily Tracking'!$A$6:$A$735,"&gt;="&amp;B66,'Daily Tracking'!$A$6:$A$735,"&lt;="&amp;C66),"")</f>
        <v/>
      </c>
      <c r="H66" s="129" t="str">
        <f>IFERROR(AVERAGEIFS('Daily Tracking'!$F$6:$F$735,'Daily Tracking'!$A$6:$A$735,"&gt;="&amp;B66,'Daily Tracking'!$A$6:$A$735,"&lt;="&amp;C66),"")</f>
        <v/>
      </c>
      <c r="I66" s="128" t="str">
        <f>IFERROR(AVERAGEIFS('Daily Tracking'!$H$6:$H$735,'Daily Tracking'!$A$6:$A$735,"&gt;="&amp;B66,'Daily Tracking'!$A$6:$A$735,"&lt;="&amp;C66),"")</f>
        <v/>
      </c>
      <c r="J66" s="125" t="str">
        <f>IFERROR(AVERAGEIFS('Daily Tracking'!$K$6:$K$735,'Daily Tracking'!$A$6:$A$735,"&gt;="&amp;B66,'Daily Tracking'!$A$6:$A$735,"&lt;="&amp;C66),"")</f>
        <v/>
      </c>
      <c r="K66" s="125" t="str">
        <f>IFERROR(AVERAGEIFS('Daily Tracking'!$G$6:$G$735,'Daily Tracking'!$A$6:$A$735,"&gt;="&amp;B66,'Daily Tracking'!$A$6:$A$735,"&lt;="&amp;C66),"")</f>
        <v/>
      </c>
      <c r="L66" s="129" t="str">
        <f>IF(N66=0,"",SUMIFS('Daily Tracking'!$I$6:$I$735,'Daily Tracking'!$A$6:$A$735,"&gt;="&amp;B66,'Daily Tracking'!$A$6:$A$735,"&lt;="&amp;C66))</f>
        <v/>
      </c>
      <c r="M66" s="129" t="str">
        <f>IF(N66=0,"",COUNTIFS('Daily Tracking'!$A$6:$A$735,"&gt;="&amp;B66,'Daily Tracking'!$A$6:$A$735,"&lt;="&amp;C66,'Daily Tracking'!$J$6:$J$735,"Yes"))</f>
        <v/>
      </c>
      <c r="N66" s="130">
        <f>COUNTIFS('Daily Tracking'!$A$6:$A$735,"&gt;="&amp;B66,'Daily Tracking'!$A$6:$A$735,"&lt;="&amp;C66,'Daily Tracking'!$B$6:$B$735,"&lt;&gt;")</f>
        <v>0</v>
      </c>
      <c r="S66" s="3" t="e">
        <f t="shared" si="0"/>
        <v>#N/A</v>
      </c>
      <c r="T66" s="3" t="e">
        <f t="shared" si="1"/>
        <v>#N/A</v>
      </c>
    </row>
    <row r="67" spans="1:20" ht="18" customHeight="1" x14ac:dyDescent="0.3">
      <c r="A67" s="136">
        <f>A66+1</f>
        <v>62</v>
      </c>
      <c r="B67" s="166">
        <f>Settings!$B$4+(A67-1)*7</f>
        <v>46705</v>
      </c>
      <c r="C67" s="166">
        <f>B67+6</f>
        <v>46711</v>
      </c>
      <c r="D67" s="133" t="str">
        <f>IF(N67=0,"",AVERAGEIFS('Daily Tracking'!$B$6:$B$735,'Daily Tracking'!$A$6:$A$735,"&gt;="&amp;B67,'Daily Tracking'!$A$6:$A$735,"&lt;="&amp;C67))</f>
        <v/>
      </c>
      <c r="E67" s="167" t="str">
        <f>IF(OR(D67="",D66=""),"",D66-D67)</f>
        <v/>
      </c>
      <c r="F67" s="168" t="str">
        <f>IF(E67="","",E67/D66)</f>
        <v/>
      </c>
      <c r="G67" s="134" t="str">
        <f>IFERROR(AVERAGEIFS('Daily Tracking'!$E$6:$E$735,'Daily Tracking'!$A$6:$A$735,"&gt;="&amp;B67,'Daily Tracking'!$A$6:$A$735,"&lt;="&amp;C67),"")</f>
        <v/>
      </c>
      <c r="H67" s="135" t="str">
        <f>IFERROR(AVERAGEIFS('Daily Tracking'!$F$6:$F$735,'Daily Tracking'!$A$6:$A$735,"&gt;="&amp;B67,'Daily Tracking'!$A$6:$A$735,"&lt;="&amp;C67),"")</f>
        <v/>
      </c>
      <c r="I67" s="134" t="str">
        <f>IFERROR(AVERAGEIFS('Daily Tracking'!$H$6:$H$735,'Daily Tracking'!$A$6:$A$735,"&gt;="&amp;B67,'Daily Tracking'!$A$6:$A$735,"&lt;="&amp;C67),"")</f>
        <v/>
      </c>
      <c r="J67" s="133" t="str">
        <f>IFERROR(AVERAGEIFS('Daily Tracking'!$K$6:$K$735,'Daily Tracking'!$A$6:$A$735,"&gt;="&amp;B67,'Daily Tracking'!$A$6:$A$735,"&lt;="&amp;C67),"")</f>
        <v/>
      </c>
      <c r="K67" s="133" t="str">
        <f>IFERROR(AVERAGEIFS('Daily Tracking'!$G$6:$G$735,'Daily Tracking'!$A$6:$A$735,"&gt;="&amp;B67,'Daily Tracking'!$A$6:$A$735,"&lt;="&amp;C67),"")</f>
        <v/>
      </c>
      <c r="L67" s="135" t="str">
        <f>IF(N67=0,"",SUMIFS('Daily Tracking'!$I$6:$I$735,'Daily Tracking'!$A$6:$A$735,"&gt;="&amp;B67,'Daily Tracking'!$A$6:$A$735,"&lt;="&amp;C67))</f>
        <v/>
      </c>
      <c r="M67" s="135" t="str">
        <f>IF(N67=0,"",COUNTIFS('Daily Tracking'!$A$6:$A$735,"&gt;="&amp;B67,'Daily Tracking'!$A$6:$A$735,"&lt;="&amp;C67,'Daily Tracking'!$J$6:$J$735,"Yes"))</f>
        <v/>
      </c>
      <c r="N67" s="136">
        <f>COUNTIFS('Daily Tracking'!$A$6:$A$735,"&gt;="&amp;B67,'Daily Tracking'!$A$6:$A$735,"&lt;="&amp;C67,'Daily Tracking'!$B$6:$B$735,"&lt;&gt;")</f>
        <v>0</v>
      </c>
      <c r="S67" s="3" t="e">
        <f t="shared" si="0"/>
        <v>#N/A</v>
      </c>
      <c r="T67" s="3" t="e">
        <f t="shared" si="1"/>
        <v>#N/A</v>
      </c>
    </row>
    <row r="68" spans="1:20" ht="18" customHeight="1" x14ac:dyDescent="0.3">
      <c r="A68" s="130">
        <f>A67+1</f>
        <v>63</v>
      </c>
      <c r="B68" s="161">
        <f>Settings!$B$4+(A68-1)*7</f>
        <v>46712</v>
      </c>
      <c r="C68" s="161">
        <f>B68+6</f>
        <v>46718</v>
      </c>
      <c r="D68" s="125" t="str">
        <f>IF(N68=0,"",AVERAGEIFS('Daily Tracking'!$B$6:$B$735,'Daily Tracking'!$A$6:$A$735,"&gt;="&amp;B68,'Daily Tracking'!$A$6:$A$735,"&lt;="&amp;C68))</f>
        <v/>
      </c>
      <c r="E68" s="162" t="str">
        <f>IF(OR(D68="",D67=""),"",D67-D68)</f>
        <v/>
      </c>
      <c r="F68" s="163" t="str">
        <f>IF(E68="","",E68/D67)</f>
        <v/>
      </c>
      <c r="G68" s="128" t="str">
        <f>IFERROR(AVERAGEIFS('Daily Tracking'!$E$6:$E$735,'Daily Tracking'!$A$6:$A$735,"&gt;="&amp;B68,'Daily Tracking'!$A$6:$A$735,"&lt;="&amp;C68),"")</f>
        <v/>
      </c>
      <c r="H68" s="129" t="str">
        <f>IFERROR(AVERAGEIFS('Daily Tracking'!$F$6:$F$735,'Daily Tracking'!$A$6:$A$735,"&gt;="&amp;B68,'Daily Tracking'!$A$6:$A$735,"&lt;="&amp;C68),"")</f>
        <v/>
      </c>
      <c r="I68" s="128" t="str">
        <f>IFERROR(AVERAGEIFS('Daily Tracking'!$H$6:$H$735,'Daily Tracking'!$A$6:$A$735,"&gt;="&amp;B68,'Daily Tracking'!$A$6:$A$735,"&lt;="&amp;C68),"")</f>
        <v/>
      </c>
      <c r="J68" s="125" t="str">
        <f>IFERROR(AVERAGEIFS('Daily Tracking'!$K$6:$K$735,'Daily Tracking'!$A$6:$A$735,"&gt;="&amp;B68,'Daily Tracking'!$A$6:$A$735,"&lt;="&amp;C68),"")</f>
        <v/>
      </c>
      <c r="K68" s="125" t="str">
        <f>IFERROR(AVERAGEIFS('Daily Tracking'!$G$6:$G$735,'Daily Tracking'!$A$6:$A$735,"&gt;="&amp;B68,'Daily Tracking'!$A$6:$A$735,"&lt;="&amp;C68),"")</f>
        <v/>
      </c>
      <c r="L68" s="129" t="str">
        <f>IF(N68=0,"",SUMIFS('Daily Tracking'!$I$6:$I$735,'Daily Tracking'!$A$6:$A$735,"&gt;="&amp;B68,'Daily Tracking'!$A$6:$A$735,"&lt;="&amp;C68))</f>
        <v/>
      </c>
      <c r="M68" s="129" t="str">
        <f>IF(N68=0,"",COUNTIFS('Daily Tracking'!$A$6:$A$735,"&gt;="&amp;B68,'Daily Tracking'!$A$6:$A$735,"&lt;="&amp;C68,'Daily Tracking'!$J$6:$J$735,"Yes"))</f>
        <v/>
      </c>
      <c r="N68" s="130">
        <f>COUNTIFS('Daily Tracking'!$A$6:$A$735,"&gt;="&amp;B68,'Daily Tracking'!$A$6:$A$735,"&lt;="&amp;C68,'Daily Tracking'!$B$6:$B$735,"&lt;&gt;")</f>
        <v>0</v>
      </c>
      <c r="S68" s="3" t="e">
        <f t="shared" si="0"/>
        <v>#N/A</v>
      </c>
      <c r="T68" s="3" t="e">
        <f t="shared" si="1"/>
        <v>#N/A</v>
      </c>
    </row>
    <row r="69" spans="1:20" ht="18" customHeight="1" x14ac:dyDescent="0.3">
      <c r="A69" s="136">
        <f>A68+1</f>
        <v>64</v>
      </c>
      <c r="B69" s="166">
        <f>Settings!$B$4+(A69-1)*7</f>
        <v>46719</v>
      </c>
      <c r="C69" s="166">
        <f>B69+6</f>
        <v>46725</v>
      </c>
      <c r="D69" s="133" t="str">
        <f>IF(N69=0,"",AVERAGEIFS('Daily Tracking'!$B$6:$B$735,'Daily Tracking'!$A$6:$A$735,"&gt;="&amp;B69,'Daily Tracking'!$A$6:$A$735,"&lt;="&amp;C69))</f>
        <v/>
      </c>
      <c r="E69" s="167" t="str">
        <f>IF(OR(D69="",D68=""),"",D68-D69)</f>
        <v/>
      </c>
      <c r="F69" s="168" t="str">
        <f>IF(E69="","",E69/D68)</f>
        <v/>
      </c>
      <c r="G69" s="134" t="str">
        <f>IFERROR(AVERAGEIFS('Daily Tracking'!$E$6:$E$735,'Daily Tracking'!$A$6:$A$735,"&gt;="&amp;B69,'Daily Tracking'!$A$6:$A$735,"&lt;="&amp;C69),"")</f>
        <v/>
      </c>
      <c r="H69" s="135" t="str">
        <f>IFERROR(AVERAGEIFS('Daily Tracking'!$F$6:$F$735,'Daily Tracking'!$A$6:$A$735,"&gt;="&amp;B69,'Daily Tracking'!$A$6:$A$735,"&lt;="&amp;C69),"")</f>
        <v/>
      </c>
      <c r="I69" s="134" t="str">
        <f>IFERROR(AVERAGEIFS('Daily Tracking'!$H$6:$H$735,'Daily Tracking'!$A$6:$A$735,"&gt;="&amp;B69,'Daily Tracking'!$A$6:$A$735,"&lt;="&amp;C69),"")</f>
        <v/>
      </c>
      <c r="J69" s="133" t="str">
        <f>IFERROR(AVERAGEIFS('Daily Tracking'!$K$6:$K$735,'Daily Tracking'!$A$6:$A$735,"&gt;="&amp;B69,'Daily Tracking'!$A$6:$A$735,"&lt;="&amp;C69),"")</f>
        <v/>
      </c>
      <c r="K69" s="133" t="str">
        <f>IFERROR(AVERAGEIFS('Daily Tracking'!$G$6:$G$735,'Daily Tracking'!$A$6:$A$735,"&gt;="&amp;B69,'Daily Tracking'!$A$6:$A$735,"&lt;="&amp;C69),"")</f>
        <v/>
      </c>
      <c r="L69" s="135" t="str">
        <f>IF(N69=0,"",SUMIFS('Daily Tracking'!$I$6:$I$735,'Daily Tracking'!$A$6:$A$735,"&gt;="&amp;B69,'Daily Tracking'!$A$6:$A$735,"&lt;="&amp;C69))</f>
        <v/>
      </c>
      <c r="M69" s="135" t="str">
        <f>IF(N69=0,"",COUNTIFS('Daily Tracking'!$A$6:$A$735,"&gt;="&amp;B69,'Daily Tracking'!$A$6:$A$735,"&lt;="&amp;C69,'Daily Tracking'!$J$6:$J$735,"Yes"))</f>
        <v/>
      </c>
      <c r="N69" s="136">
        <f>COUNTIFS('Daily Tracking'!$A$6:$A$735,"&gt;="&amp;B69,'Daily Tracking'!$A$6:$A$735,"&lt;="&amp;C69,'Daily Tracking'!$B$6:$B$735,"&lt;&gt;")</f>
        <v>0</v>
      </c>
      <c r="S69" s="3" t="e">
        <f t="shared" si="0"/>
        <v>#N/A</v>
      </c>
      <c r="T69" s="3" t="e">
        <f t="shared" si="1"/>
        <v>#N/A</v>
      </c>
    </row>
    <row r="70" spans="1:20" ht="18" customHeight="1" x14ac:dyDescent="0.3">
      <c r="A70" s="130">
        <f>A69+1</f>
        <v>65</v>
      </c>
      <c r="B70" s="161">
        <f>Settings!$B$4+(A70-1)*7</f>
        <v>46726</v>
      </c>
      <c r="C70" s="161">
        <f>B70+6</f>
        <v>46732</v>
      </c>
      <c r="D70" s="125" t="str">
        <f>IF(N70=0,"",AVERAGEIFS('Daily Tracking'!$B$6:$B$735,'Daily Tracking'!$A$6:$A$735,"&gt;="&amp;B70,'Daily Tracking'!$A$6:$A$735,"&lt;="&amp;C70))</f>
        <v/>
      </c>
      <c r="E70" s="162" t="str">
        <f>IF(OR(D70="",D69=""),"",D69-D70)</f>
        <v/>
      </c>
      <c r="F70" s="163" t="str">
        <f>IF(E70="","",E70/D69)</f>
        <v/>
      </c>
      <c r="G70" s="128" t="str">
        <f>IFERROR(AVERAGEIFS('Daily Tracking'!$E$6:$E$735,'Daily Tracking'!$A$6:$A$735,"&gt;="&amp;B70,'Daily Tracking'!$A$6:$A$735,"&lt;="&amp;C70),"")</f>
        <v/>
      </c>
      <c r="H70" s="129" t="str">
        <f>IFERROR(AVERAGEIFS('Daily Tracking'!$F$6:$F$735,'Daily Tracking'!$A$6:$A$735,"&gt;="&amp;B70,'Daily Tracking'!$A$6:$A$735,"&lt;="&amp;C70),"")</f>
        <v/>
      </c>
      <c r="I70" s="128" t="str">
        <f>IFERROR(AVERAGEIFS('Daily Tracking'!$H$6:$H$735,'Daily Tracking'!$A$6:$A$735,"&gt;="&amp;B70,'Daily Tracking'!$A$6:$A$735,"&lt;="&amp;C70),"")</f>
        <v/>
      </c>
      <c r="J70" s="125" t="str">
        <f>IFERROR(AVERAGEIFS('Daily Tracking'!$K$6:$K$735,'Daily Tracking'!$A$6:$A$735,"&gt;="&amp;B70,'Daily Tracking'!$A$6:$A$735,"&lt;="&amp;C70),"")</f>
        <v/>
      </c>
      <c r="K70" s="125" t="str">
        <f>IFERROR(AVERAGEIFS('Daily Tracking'!$G$6:$G$735,'Daily Tracking'!$A$6:$A$735,"&gt;="&amp;B70,'Daily Tracking'!$A$6:$A$735,"&lt;="&amp;C70),"")</f>
        <v/>
      </c>
      <c r="L70" s="129" t="str">
        <f>IF(N70=0,"",SUMIFS('Daily Tracking'!$I$6:$I$735,'Daily Tracking'!$A$6:$A$735,"&gt;="&amp;B70,'Daily Tracking'!$A$6:$A$735,"&lt;="&amp;C70))</f>
        <v/>
      </c>
      <c r="M70" s="129" t="str">
        <f>IF(N70=0,"",COUNTIFS('Daily Tracking'!$A$6:$A$735,"&gt;="&amp;B70,'Daily Tracking'!$A$6:$A$735,"&lt;="&amp;C70,'Daily Tracking'!$J$6:$J$735,"Yes"))</f>
        <v/>
      </c>
      <c r="N70" s="130">
        <f>COUNTIFS('Daily Tracking'!$A$6:$A$735,"&gt;="&amp;B70,'Daily Tracking'!$A$6:$A$735,"&lt;="&amp;C70,'Daily Tracking'!$B$6:$B$735,"&lt;&gt;")</f>
        <v>0</v>
      </c>
      <c r="S70" s="3" t="e">
        <f t="shared" si="0"/>
        <v>#N/A</v>
      </c>
      <c r="T70" s="3" t="e">
        <f t="shared" si="1"/>
        <v>#N/A</v>
      </c>
    </row>
    <row r="71" spans="1:20" ht="18" customHeight="1" x14ac:dyDescent="0.3">
      <c r="A71" s="136">
        <f>A70+1</f>
        <v>66</v>
      </c>
      <c r="B71" s="166">
        <f>Settings!$B$4+(A71-1)*7</f>
        <v>46733</v>
      </c>
      <c r="C71" s="166">
        <f>B71+6</f>
        <v>46739</v>
      </c>
      <c r="D71" s="133" t="str">
        <f>IF(N71=0,"",AVERAGEIFS('Daily Tracking'!$B$6:$B$735,'Daily Tracking'!$A$6:$A$735,"&gt;="&amp;B71,'Daily Tracking'!$A$6:$A$735,"&lt;="&amp;C71))</f>
        <v/>
      </c>
      <c r="E71" s="167" t="str">
        <f>IF(OR(D71="",D70=""),"",D70-D71)</f>
        <v/>
      </c>
      <c r="F71" s="168" t="str">
        <f>IF(E71="","",E71/D70)</f>
        <v/>
      </c>
      <c r="G71" s="134" t="str">
        <f>IFERROR(AVERAGEIFS('Daily Tracking'!$E$6:$E$735,'Daily Tracking'!$A$6:$A$735,"&gt;="&amp;B71,'Daily Tracking'!$A$6:$A$735,"&lt;="&amp;C71),"")</f>
        <v/>
      </c>
      <c r="H71" s="135" t="str">
        <f>IFERROR(AVERAGEIFS('Daily Tracking'!$F$6:$F$735,'Daily Tracking'!$A$6:$A$735,"&gt;="&amp;B71,'Daily Tracking'!$A$6:$A$735,"&lt;="&amp;C71),"")</f>
        <v/>
      </c>
      <c r="I71" s="134" t="str">
        <f>IFERROR(AVERAGEIFS('Daily Tracking'!$H$6:$H$735,'Daily Tracking'!$A$6:$A$735,"&gt;="&amp;B71,'Daily Tracking'!$A$6:$A$735,"&lt;="&amp;C71),"")</f>
        <v/>
      </c>
      <c r="J71" s="133" t="str">
        <f>IFERROR(AVERAGEIFS('Daily Tracking'!$K$6:$K$735,'Daily Tracking'!$A$6:$A$735,"&gt;="&amp;B71,'Daily Tracking'!$A$6:$A$735,"&lt;="&amp;C71),"")</f>
        <v/>
      </c>
      <c r="K71" s="133" t="str">
        <f>IFERROR(AVERAGEIFS('Daily Tracking'!$G$6:$G$735,'Daily Tracking'!$A$6:$A$735,"&gt;="&amp;B71,'Daily Tracking'!$A$6:$A$735,"&lt;="&amp;C71),"")</f>
        <v/>
      </c>
      <c r="L71" s="135" t="str">
        <f>IF(N71=0,"",SUMIFS('Daily Tracking'!$I$6:$I$735,'Daily Tracking'!$A$6:$A$735,"&gt;="&amp;B71,'Daily Tracking'!$A$6:$A$735,"&lt;="&amp;C71))</f>
        <v/>
      </c>
      <c r="M71" s="135" t="str">
        <f>IF(N71=0,"",COUNTIFS('Daily Tracking'!$A$6:$A$735,"&gt;="&amp;B71,'Daily Tracking'!$A$6:$A$735,"&lt;="&amp;C71,'Daily Tracking'!$J$6:$J$735,"Yes"))</f>
        <v/>
      </c>
      <c r="N71" s="136">
        <f>COUNTIFS('Daily Tracking'!$A$6:$A$735,"&gt;="&amp;B71,'Daily Tracking'!$A$6:$A$735,"&lt;="&amp;C71,'Daily Tracking'!$B$6:$B$735,"&lt;&gt;")</f>
        <v>0</v>
      </c>
      <c r="S71" s="3" t="e">
        <f t="shared" ref="S71:S109" si="2">IF($E71="",NA(),$E71)</f>
        <v>#N/A</v>
      </c>
      <c r="T71" s="3" t="e">
        <f t="shared" ref="T71:T109" si="3">IF($D71="",NA(),$D71)</f>
        <v>#N/A</v>
      </c>
    </row>
    <row r="72" spans="1:20" ht="18" customHeight="1" x14ac:dyDescent="0.3">
      <c r="A72" s="130">
        <f>A71+1</f>
        <v>67</v>
      </c>
      <c r="B72" s="161">
        <f>Settings!$B$4+(A72-1)*7</f>
        <v>46740</v>
      </c>
      <c r="C72" s="161">
        <f>B72+6</f>
        <v>46746</v>
      </c>
      <c r="D72" s="125" t="str">
        <f>IF(N72=0,"",AVERAGEIFS('Daily Tracking'!$B$6:$B$735,'Daily Tracking'!$A$6:$A$735,"&gt;="&amp;B72,'Daily Tracking'!$A$6:$A$735,"&lt;="&amp;C72))</f>
        <v/>
      </c>
      <c r="E72" s="162" t="str">
        <f>IF(OR(D72="",D71=""),"",D71-D72)</f>
        <v/>
      </c>
      <c r="F72" s="163" t="str">
        <f>IF(E72="","",E72/D71)</f>
        <v/>
      </c>
      <c r="G72" s="128" t="str">
        <f>IFERROR(AVERAGEIFS('Daily Tracking'!$E$6:$E$735,'Daily Tracking'!$A$6:$A$735,"&gt;="&amp;B72,'Daily Tracking'!$A$6:$A$735,"&lt;="&amp;C72),"")</f>
        <v/>
      </c>
      <c r="H72" s="129" t="str">
        <f>IFERROR(AVERAGEIFS('Daily Tracking'!$F$6:$F$735,'Daily Tracking'!$A$6:$A$735,"&gt;="&amp;B72,'Daily Tracking'!$A$6:$A$735,"&lt;="&amp;C72),"")</f>
        <v/>
      </c>
      <c r="I72" s="128" t="str">
        <f>IFERROR(AVERAGEIFS('Daily Tracking'!$H$6:$H$735,'Daily Tracking'!$A$6:$A$735,"&gt;="&amp;B72,'Daily Tracking'!$A$6:$A$735,"&lt;="&amp;C72),"")</f>
        <v/>
      </c>
      <c r="J72" s="125" t="str">
        <f>IFERROR(AVERAGEIFS('Daily Tracking'!$K$6:$K$735,'Daily Tracking'!$A$6:$A$735,"&gt;="&amp;B72,'Daily Tracking'!$A$6:$A$735,"&lt;="&amp;C72),"")</f>
        <v/>
      </c>
      <c r="K72" s="125" t="str">
        <f>IFERROR(AVERAGEIFS('Daily Tracking'!$G$6:$G$735,'Daily Tracking'!$A$6:$A$735,"&gt;="&amp;B72,'Daily Tracking'!$A$6:$A$735,"&lt;="&amp;C72),"")</f>
        <v/>
      </c>
      <c r="L72" s="129" t="str">
        <f>IF(N72=0,"",SUMIFS('Daily Tracking'!$I$6:$I$735,'Daily Tracking'!$A$6:$A$735,"&gt;="&amp;B72,'Daily Tracking'!$A$6:$A$735,"&lt;="&amp;C72))</f>
        <v/>
      </c>
      <c r="M72" s="129" t="str">
        <f>IF(N72=0,"",COUNTIFS('Daily Tracking'!$A$6:$A$735,"&gt;="&amp;B72,'Daily Tracking'!$A$6:$A$735,"&lt;="&amp;C72,'Daily Tracking'!$J$6:$J$735,"Yes"))</f>
        <v/>
      </c>
      <c r="N72" s="130">
        <f>COUNTIFS('Daily Tracking'!$A$6:$A$735,"&gt;="&amp;B72,'Daily Tracking'!$A$6:$A$735,"&lt;="&amp;C72,'Daily Tracking'!$B$6:$B$735,"&lt;&gt;")</f>
        <v>0</v>
      </c>
      <c r="S72" s="3" t="e">
        <f t="shared" si="2"/>
        <v>#N/A</v>
      </c>
      <c r="T72" s="3" t="e">
        <f t="shared" si="3"/>
        <v>#N/A</v>
      </c>
    </row>
    <row r="73" spans="1:20" ht="18" customHeight="1" x14ac:dyDescent="0.3">
      <c r="A73" s="136">
        <f>A72+1</f>
        <v>68</v>
      </c>
      <c r="B73" s="166">
        <f>Settings!$B$4+(A73-1)*7</f>
        <v>46747</v>
      </c>
      <c r="C73" s="166">
        <f>B73+6</f>
        <v>46753</v>
      </c>
      <c r="D73" s="133" t="str">
        <f>IF(N73=0,"",AVERAGEIFS('Daily Tracking'!$B$6:$B$735,'Daily Tracking'!$A$6:$A$735,"&gt;="&amp;B73,'Daily Tracking'!$A$6:$A$735,"&lt;="&amp;C73))</f>
        <v/>
      </c>
      <c r="E73" s="167" t="str">
        <f>IF(OR(D73="",D72=""),"",D72-D73)</f>
        <v/>
      </c>
      <c r="F73" s="168" t="str">
        <f>IF(E73="","",E73/D72)</f>
        <v/>
      </c>
      <c r="G73" s="134" t="str">
        <f>IFERROR(AVERAGEIFS('Daily Tracking'!$E$6:$E$735,'Daily Tracking'!$A$6:$A$735,"&gt;="&amp;B73,'Daily Tracking'!$A$6:$A$735,"&lt;="&amp;C73),"")</f>
        <v/>
      </c>
      <c r="H73" s="135" t="str">
        <f>IFERROR(AVERAGEIFS('Daily Tracking'!$F$6:$F$735,'Daily Tracking'!$A$6:$A$735,"&gt;="&amp;B73,'Daily Tracking'!$A$6:$A$735,"&lt;="&amp;C73),"")</f>
        <v/>
      </c>
      <c r="I73" s="134" t="str">
        <f>IFERROR(AVERAGEIFS('Daily Tracking'!$H$6:$H$735,'Daily Tracking'!$A$6:$A$735,"&gt;="&amp;B73,'Daily Tracking'!$A$6:$A$735,"&lt;="&amp;C73),"")</f>
        <v/>
      </c>
      <c r="J73" s="133" t="str">
        <f>IFERROR(AVERAGEIFS('Daily Tracking'!$K$6:$K$735,'Daily Tracking'!$A$6:$A$735,"&gt;="&amp;B73,'Daily Tracking'!$A$6:$A$735,"&lt;="&amp;C73),"")</f>
        <v/>
      </c>
      <c r="K73" s="133" t="str">
        <f>IFERROR(AVERAGEIFS('Daily Tracking'!$G$6:$G$735,'Daily Tracking'!$A$6:$A$735,"&gt;="&amp;B73,'Daily Tracking'!$A$6:$A$735,"&lt;="&amp;C73),"")</f>
        <v/>
      </c>
      <c r="L73" s="135" t="str">
        <f>IF(N73=0,"",SUMIFS('Daily Tracking'!$I$6:$I$735,'Daily Tracking'!$A$6:$A$735,"&gt;="&amp;B73,'Daily Tracking'!$A$6:$A$735,"&lt;="&amp;C73))</f>
        <v/>
      </c>
      <c r="M73" s="135" t="str">
        <f>IF(N73=0,"",COUNTIFS('Daily Tracking'!$A$6:$A$735,"&gt;="&amp;B73,'Daily Tracking'!$A$6:$A$735,"&lt;="&amp;C73,'Daily Tracking'!$J$6:$J$735,"Yes"))</f>
        <v/>
      </c>
      <c r="N73" s="136">
        <f>COUNTIFS('Daily Tracking'!$A$6:$A$735,"&gt;="&amp;B73,'Daily Tracking'!$A$6:$A$735,"&lt;="&amp;C73,'Daily Tracking'!$B$6:$B$735,"&lt;&gt;")</f>
        <v>0</v>
      </c>
      <c r="S73" s="3" t="e">
        <f t="shared" si="2"/>
        <v>#N/A</v>
      </c>
      <c r="T73" s="3" t="e">
        <f t="shared" si="3"/>
        <v>#N/A</v>
      </c>
    </row>
    <row r="74" spans="1:20" ht="18" customHeight="1" x14ac:dyDescent="0.3">
      <c r="A74" s="130">
        <f>A73+1</f>
        <v>69</v>
      </c>
      <c r="B74" s="161">
        <f>Settings!$B$4+(A74-1)*7</f>
        <v>46754</v>
      </c>
      <c r="C74" s="161">
        <f>B74+6</f>
        <v>46760</v>
      </c>
      <c r="D74" s="125" t="str">
        <f>IF(N74=0,"",AVERAGEIFS('Daily Tracking'!$B$6:$B$735,'Daily Tracking'!$A$6:$A$735,"&gt;="&amp;B74,'Daily Tracking'!$A$6:$A$735,"&lt;="&amp;C74))</f>
        <v/>
      </c>
      <c r="E74" s="162" t="str">
        <f>IF(OR(D74="",D73=""),"",D73-D74)</f>
        <v/>
      </c>
      <c r="F74" s="163" t="str">
        <f>IF(E74="","",E74/D73)</f>
        <v/>
      </c>
      <c r="G74" s="128" t="str">
        <f>IFERROR(AVERAGEIFS('Daily Tracking'!$E$6:$E$735,'Daily Tracking'!$A$6:$A$735,"&gt;="&amp;B74,'Daily Tracking'!$A$6:$A$735,"&lt;="&amp;C74),"")</f>
        <v/>
      </c>
      <c r="H74" s="129" t="str">
        <f>IFERROR(AVERAGEIFS('Daily Tracking'!$F$6:$F$735,'Daily Tracking'!$A$6:$A$735,"&gt;="&amp;B74,'Daily Tracking'!$A$6:$A$735,"&lt;="&amp;C74),"")</f>
        <v/>
      </c>
      <c r="I74" s="128" t="str">
        <f>IFERROR(AVERAGEIFS('Daily Tracking'!$H$6:$H$735,'Daily Tracking'!$A$6:$A$735,"&gt;="&amp;B74,'Daily Tracking'!$A$6:$A$735,"&lt;="&amp;C74),"")</f>
        <v/>
      </c>
      <c r="J74" s="125" t="str">
        <f>IFERROR(AVERAGEIFS('Daily Tracking'!$K$6:$K$735,'Daily Tracking'!$A$6:$A$735,"&gt;="&amp;B74,'Daily Tracking'!$A$6:$A$735,"&lt;="&amp;C74),"")</f>
        <v/>
      </c>
      <c r="K74" s="125" t="str">
        <f>IFERROR(AVERAGEIFS('Daily Tracking'!$G$6:$G$735,'Daily Tracking'!$A$6:$A$735,"&gt;="&amp;B74,'Daily Tracking'!$A$6:$A$735,"&lt;="&amp;C74),"")</f>
        <v/>
      </c>
      <c r="L74" s="129" t="str">
        <f>IF(N74=0,"",SUMIFS('Daily Tracking'!$I$6:$I$735,'Daily Tracking'!$A$6:$A$735,"&gt;="&amp;B74,'Daily Tracking'!$A$6:$A$735,"&lt;="&amp;C74))</f>
        <v/>
      </c>
      <c r="M74" s="129" t="str">
        <f>IF(N74=0,"",COUNTIFS('Daily Tracking'!$A$6:$A$735,"&gt;="&amp;B74,'Daily Tracking'!$A$6:$A$735,"&lt;="&amp;C74,'Daily Tracking'!$J$6:$J$735,"Yes"))</f>
        <v/>
      </c>
      <c r="N74" s="130">
        <f>COUNTIFS('Daily Tracking'!$A$6:$A$735,"&gt;="&amp;B74,'Daily Tracking'!$A$6:$A$735,"&lt;="&amp;C74,'Daily Tracking'!$B$6:$B$735,"&lt;&gt;")</f>
        <v>0</v>
      </c>
      <c r="S74" s="3" t="e">
        <f t="shared" si="2"/>
        <v>#N/A</v>
      </c>
      <c r="T74" s="3" t="e">
        <f t="shared" si="3"/>
        <v>#N/A</v>
      </c>
    </row>
    <row r="75" spans="1:20" ht="18" customHeight="1" x14ac:dyDescent="0.3">
      <c r="A75" s="136">
        <f>A74+1</f>
        <v>70</v>
      </c>
      <c r="B75" s="166">
        <f>Settings!$B$4+(A75-1)*7</f>
        <v>46761</v>
      </c>
      <c r="C75" s="166">
        <f>B75+6</f>
        <v>46767</v>
      </c>
      <c r="D75" s="133" t="str">
        <f>IF(N75=0,"",AVERAGEIFS('Daily Tracking'!$B$6:$B$735,'Daily Tracking'!$A$6:$A$735,"&gt;="&amp;B75,'Daily Tracking'!$A$6:$A$735,"&lt;="&amp;C75))</f>
        <v/>
      </c>
      <c r="E75" s="167" t="str">
        <f>IF(OR(D75="",D74=""),"",D74-D75)</f>
        <v/>
      </c>
      <c r="F75" s="168" t="str">
        <f>IF(E75="","",E75/D74)</f>
        <v/>
      </c>
      <c r="G75" s="134" t="str">
        <f>IFERROR(AVERAGEIFS('Daily Tracking'!$E$6:$E$735,'Daily Tracking'!$A$6:$A$735,"&gt;="&amp;B75,'Daily Tracking'!$A$6:$A$735,"&lt;="&amp;C75),"")</f>
        <v/>
      </c>
      <c r="H75" s="135" t="str">
        <f>IFERROR(AVERAGEIFS('Daily Tracking'!$F$6:$F$735,'Daily Tracking'!$A$6:$A$735,"&gt;="&amp;B75,'Daily Tracking'!$A$6:$A$735,"&lt;="&amp;C75),"")</f>
        <v/>
      </c>
      <c r="I75" s="134" t="str">
        <f>IFERROR(AVERAGEIFS('Daily Tracking'!$H$6:$H$735,'Daily Tracking'!$A$6:$A$735,"&gt;="&amp;B75,'Daily Tracking'!$A$6:$A$735,"&lt;="&amp;C75),"")</f>
        <v/>
      </c>
      <c r="J75" s="133" t="str">
        <f>IFERROR(AVERAGEIFS('Daily Tracking'!$K$6:$K$735,'Daily Tracking'!$A$6:$A$735,"&gt;="&amp;B75,'Daily Tracking'!$A$6:$A$735,"&lt;="&amp;C75),"")</f>
        <v/>
      </c>
      <c r="K75" s="133" t="str">
        <f>IFERROR(AVERAGEIFS('Daily Tracking'!$G$6:$G$735,'Daily Tracking'!$A$6:$A$735,"&gt;="&amp;B75,'Daily Tracking'!$A$6:$A$735,"&lt;="&amp;C75),"")</f>
        <v/>
      </c>
      <c r="L75" s="135" t="str">
        <f>IF(N75=0,"",SUMIFS('Daily Tracking'!$I$6:$I$735,'Daily Tracking'!$A$6:$A$735,"&gt;="&amp;B75,'Daily Tracking'!$A$6:$A$735,"&lt;="&amp;C75))</f>
        <v/>
      </c>
      <c r="M75" s="135" t="str">
        <f>IF(N75=0,"",COUNTIFS('Daily Tracking'!$A$6:$A$735,"&gt;="&amp;B75,'Daily Tracking'!$A$6:$A$735,"&lt;="&amp;C75,'Daily Tracking'!$J$6:$J$735,"Yes"))</f>
        <v/>
      </c>
      <c r="N75" s="136">
        <f>COUNTIFS('Daily Tracking'!$A$6:$A$735,"&gt;="&amp;B75,'Daily Tracking'!$A$6:$A$735,"&lt;="&amp;C75,'Daily Tracking'!$B$6:$B$735,"&lt;&gt;")</f>
        <v>0</v>
      </c>
      <c r="S75" s="3" t="e">
        <f t="shared" si="2"/>
        <v>#N/A</v>
      </c>
      <c r="T75" s="3" t="e">
        <f t="shared" si="3"/>
        <v>#N/A</v>
      </c>
    </row>
    <row r="76" spans="1:20" ht="18" customHeight="1" x14ac:dyDescent="0.3">
      <c r="A76" s="130">
        <f>A75+1</f>
        <v>71</v>
      </c>
      <c r="B76" s="161">
        <f>Settings!$B$4+(A76-1)*7</f>
        <v>46768</v>
      </c>
      <c r="C76" s="161">
        <f>B76+6</f>
        <v>46774</v>
      </c>
      <c r="D76" s="125" t="str">
        <f>IF(N76=0,"",AVERAGEIFS('Daily Tracking'!$B$6:$B$735,'Daily Tracking'!$A$6:$A$735,"&gt;="&amp;B76,'Daily Tracking'!$A$6:$A$735,"&lt;="&amp;C76))</f>
        <v/>
      </c>
      <c r="E76" s="162" t="str">
        <f>IF(OR(D76="",D75=""),"",D75-D76)</f>
        <v/>
      </c>
      <c r="F76" s="163" t="str">
        <f>IF(E76="","",E76/D75)</f>
        <v/>
      </c>
      <c r="G76" s="128" t="str">
        <f>IFERROR(AVERAGEIFS('Daily Tracking'!$E$6:$E$735,'Daily Tracking'!$A$6:$A$735,"&gt;="&amp;B76,'Daily Tracking'!$A$6:$A$735,"&lt;="&amp;C76),"")</f>
        <v/>
      </c>
      <c r="H76" s="129" t="str">
        <f>IFERROR(AVERAGEIFS('Daily Tracking'!$F$6:$F$735,'Daily Tracking'!$A$6:$A$735,"&gt;="&amp;B76,'Daily Tracking'!$A$6:$A$735,"&lt;="&amp;C76),"")</f>
        <v/>
      </c>
      <c r="I76" s="128" t="str">
        <f>IFERROR(AVERAGEIFS('Daily Tracking'!$H$6:$H$735,'Daily Tracking'!$A$6:$A$735,"&gt;="&amp;B76,'Daily Tracking'!$A$6:$A$735,"&lt;="&amp;C76),"")</f>
        <v/>
      </c>
      <c r="J76" s="125" t="str">
        <f>IFERROR(AVERAGEIFS('Daily Tracking'!$K$6:$K$735,'Daily Tracking'!$A$6:$A$735,"&gt;="&amp;B76,'Daily Tracking'!$A$6:$A$735,"&lt;="&amp;C76),"")</f>
        <v/>
      </c>
      <c r="K76" s="125" t="str">
        <f>IFERROR(AVERAGEIFS('Daily Tracking'!$G$6:$G$735,'Daily Tracking'!$A$6:$A$735,"&gt;="&amp;B76,'Daily Tracking'!$A$6:$A$735,"&lt;="&amp;C76),"")</f>
        <v/>
      </c>
      <c r="L76" s="129" t="str">
        <f>IF(N76=0,"",SUMIFS('Daily Tracking'!$I$6:$I$735,'Daily Tracking'!$A$6:$A$735,"&gt;="&amp;B76,'Daily Tracking'!$A$6:$A$735,"&lt;="&amp;C76))</f>
        <v/>
      </c>
      <c r="M76" s="129" t="str">
        <f>IF(N76=0,"",COUNTIFS('Daily Tracking'!$A$6:$A$735,"&gt;="&amp;B76,'Daily Tracking'!$A$6:$A$735,"&lt;="&amp;C76,'Daily Tracking'!$J$6:$J$735,"Yes"))</f>
        <v/>
      </c>
      <c r="N76" s="130">
        <f>COUNTIFS('Daily Tracking'!$A$6:$A$735,"&gt;="&amp;B76,'Daily Tracking'!$A$6:$A$735,"&lt;="&amp;C76,'Daily Tracking'!$B$6:$B$735,"&lt;&gt;")</f>
        <v>0</v>
      </c>
      <c r="S76" s="3" t="e">
        <f t="shared" si="2"/>
        <v>#N/A</v>
      </c>
      <c r="T76" s="3" t="e">
        <f t="shared" si="3"/>
        <v>#N/A</v>
      </c>
    </row>
    <row r="77" spans="1:20" ht="18" customHeight="1" x14ac:dyDescent="0.3">
      <c r="A77" s="136">
        <f>A76+1</f>
        <v>72</v>
      </c>
      <c r="B77" s="166">
        <f>Settings!$B$4+(A77-1)*7</f>
        <v>46775</v>
      </c>
      <c r="C77" s="166">
        <f>B77+6</f>
        <v>46781</v>
      </c>
      <c r="D77" s="133" t="str">
        <f>IF(N77=0,"",AVERAGEIFS('Daily Tracking'!$B$6:$B$735,'Daily Tracking'!$A$6:$A$735,"&gt;="&amp;B77,'Daily Tracking'!$A$6:$A$735,"&lt;="&amp;C77))</f>
        <v/>
      </c>
      <c r="E77" s="167" t="str">
        <f>IF(OR(D77="",D76=""),"",D76-D77)</f>
        <v/>
      </c>
      <c r="F77" s="168" t="str">
        <f>IF(E77="","",E77/D76)</f>
        <v/>
      </c>
      <c r="G77" s="134" t="str">
        <f>IFERROR(AVERAGEIFS('Daily Tracking'!$E$6:$E$735,'Daily Tracking'!$A$6:$A$735,"&gt;="&amp;B77,'Daily Tracking'!$A$6:$A$735,"&lt;="&amp;C77),"")</f>
        <v/>
      </c>
      <c r="H77" s="135" t="str">
        <f>IFERROR(AVERAGEIFS('Daily Tracking'!$F$6:$F$735,'Daily Tracking'!$A$6:$A$735,"&gt;="&amp;B77,'Daily Tracking'!$A$6:$A$735,"&lt;="&amp;C77),"")</f>
        <v/>
      </c>
      <c r="I77" s="134" t="str">
        <f>IFERROR(AVERAGEIFS('Daily Tracking'!$H$6:$H$735,'Daily Tracking'!$A$6:$A$735,"&gt;="&amp;B77,'Daily Tracking'!$A$6:$A$735,"&lt;="&amp;C77),"")</f>
        <v/>
      </c>
      <c r="J77" s="133" t="str">
        <f>IFERROR(AVERAGEIFS('Daily Tracking'!$K$6:$K$735,'Daily Tracking'!$A$6:$A$735,"&gt;="&amp;B77,'Daily Tracking'!$A$6:$A$735,"&lt;="&amp;C77),"")</f>
        <v/>
      </c>
      <c r="K77" s="133" t="str">
        <f>IFERROR(AVERAGEIFS('Daily Tracking'!$G$6:$G$735,'Daily Tracking'!$A$6:$A$735,"&gt;="&amp;B77,'Daily Tracking'!$A$6:$A$735,"&lt;="&amp;C77),"")</f>
        <v/>
      </c>
      <c r="L77" s="135" t="str">
        <f>IF(N77=0,"",SUMIFS('Daily Tracking'!$I$6:$I$735,'Daily Tracking'!$A$6:$A$735,"&gt;="&amp;B77,'Daily Tracking'!$A$6:$A$735,"&lt;="&amp;C77))</f>
        <v/>
      </c>
      <c r="M77" s="135" t="str">
        <f>IF(N77=0,"",COUNTIFS('Daily Tracking'!$A$6:$A$735,"&gt;="&amp;B77,'Daily Tracking'!$A$6:$A$735,"&lt;="&amp;C77,'Daily Tracking'!$J$6:$J$735,"Yes"))</f>
        <v/>
      </c>
      <c r="N77" s="136">
        <f>COUNTIFS('Daily Tracking'!$A$6:$A$735,"&gt;="&amp;B77,'Daily Tracking'!$A$6:$A$735,"&lt;="&amp;C77,'Daily Tracking'!$B$6:$B$735,"&lt;&gt;")</f>
        <v>0</v>
      </c>
      <c r="S77" s="3" t="e">
        <f t="shared" si="2"/>
        <v>#N/A</v>
      </c>
      <c r="T77" s="3" t="e">
        <f t="shared" si="3"/>
        <v>#N/A</v>
      </c>
    </row>
    <row r="78" spans="1:20" ht="18" customHeight="1" x14ac:dyDescent="0.3">
      <c r="A78" s="130">
        <f>A77+1</f>
        <v>73</v>
      </c>
      <c r="B78" s="161">
        <f>Settings!$B$4+(A78-1)*7</f>
        <v>46782</v>
      </c>
      <c r="C78" s="161">
        <f>B78+6</f>
        <v>46788</v>
      </c>
      <c r="D78" s="125" t="str">
        <f>IF(N78=0,"",AVERAGEIFS('Daily Tracking'!$B$6:$B$735,'Daily Tracking'!$A$6:$A$735,"&gt;="&amp;B78,'Daily Tracking'!$A$6:$A$735,"&lt;="&amp;C78))</f>
        <v/>
      </c>
      <c r="E78" s="162" t="str">
        <f>IF(OR(D78="",D77=""),"",D77-D78)</f>
        <v/>
      </c>
      <c r="F78" s="163" t="str">
        <f>IF(E78="","",E78/D77)</f>
        <v/>
      </c>
      <c r="G78" s="128" t="str">
        <f>IFERROR(AVERAGEIFS('Daily Tracking'!$E$6:$E$735,'Daily Tracking'!$A$6:$A$735,"&gt;="&amp;B78,'Daily Tracking'!$A$6:$A$735,"&lt;="&amp;C78),"")</f>
        <v/>
      </c>
      <c r="H78" s="129" t="str">
        <f>IFERROR(AVERAGEIFS('Daily Tracking'!$F$6:$F$735,'Daily Tracking'!$A$6:$A$735,"&gt;="&amp;B78,'Daily Tracking'!$A$6:$A$735,"&lt;="&amp;C78),"")</f>
        <v/>
      </c>
      <c r="I78" s="128" t="str">
        <f>IFERROR(AVERAGEIFS('Daily Tracking'!$H$6:$H$735,'Daily Tracking'!$A$6:$A$735,"&gt;="&amp;B78,'Daily Tracking'!$A$6:$A$735,"&lt;="&amp;C78),"")</f>
        <v/>
      </c>
      <c r="J78" s="125" t="str">
        <f>IFERROR(AVERAGEIFS('Daily Tracking'!$K$6:$K$735,'Daily Tracking'!$A$6:$A$735,"&gt;="&amp;B78,'Daily Tracking'!$A$6:$A$735,"&lt;="&amp;C78),"")</f>
        <v/>
      </c>
      <c r="K78" s="125" t="str">
        <f>IFERROR(AVERAGEIFS('Daily Tracking'!$G$6:$G$735,'Daily Tracking'!$A$6:$A$735,"&gt;="&amp;B78,'Daily Tracking'!$A$6:$A$735,"&lt;="&amp;C78),"")</f>
        <v/>
      </c>
      <c r="L78" s="129" t="str">
        <f>IF(N78=0,"",SUMIFS('Daily Tracking'!$I$6:$I$735,'Daily Tracking'!$A$6:$A$735,"&gt;="&amp;B78,'Daily Tracking'!$A$6:$A$735,"&lt;="&amp;C78))</f>
        <v/>
      </c>
      <c r="M78" s="129" t="str">
        <f>IF(N78=0,"",COUNTIFS('Daily Tracking'!$A$6:$A$735,"&gt;="&amp;B78,'Daily Tracking'!$A$6:$A$735,"&lt;="&amp;C78,'Daily Tracking'!$J$6:$J$735,"Yes"))</f>
        <v/>
      </c>
      <c r="N78" s="130">
        <f>COUNTIFS('Daily Tracking'!$A$6:$A$735,"&gt;="&amp;B78,'Daily Tracking'!$A$6:$A$735,"&lt;="&amp;C78,'Daily Tracking'!$B$6:$B$735,"&lt;&gt;")</f>
        <v>0</v>
      </c>
      <c r="S78" s="3" t="e">
        <f t="shared" si="2"/>
        <v>#N/A</v>
      </c>
      <c r="T78" s="3" t="e">
        <f t="shared" si="3"/>
        <v>#N/A</v>
      </c>
    </row>
    <row r="79" spans="1:20" ht="18" customHeight="1" x14ac:dyDescent="0.3">
      <c r="A79" s="136">
        <f>A78+1</f>
        <v>74</v>
      </c>
      <c r="B79" s="166">
        <f>Settings!$B$4+(A79-1)*7</f>
        <v>46789</v>
      </c>
      <c r="C79" s="166">
        <f>B79+6</f>
        <v>46795</v>
      </c>
      <c r="D79" s="133" t="str">
        <f>IF(N79=0,"",AVERAGEIFS('Daily Tracking'!$B$6:$B$735,'Daily Tracking'!$A$6:$A$735,"&gt;="&amp;B79,'Daily Tracking'!$A$6:$A$735,"&lt;="&amp;C79))</f>
        <v/>
      </c>
      <c r="E79" s="167" t="str">
        <f>IF(OR(D79="",D78=""),"",D78-D79)</f>
        <v/>
      </c>
      <c r="F79" s="168" t="str">
        <f>IF(E79="","",E79/D78)</f>
        <v/>
      </c>
      <c r="G79" s="134" t="str">
        <f>IFERROR(AVERAGEIFS('Daily Tracking'!$E$6:$E$735,'Daily Tracking'!$A$6:$A$735,"&gt;="&amp;B79,'Daily Tracking'!$A$6:$A$735,"&lt;="&amp;C79),"")</f>
        <v/>
      </c>
      <c r="H79" s="135" t="str">
        <f>IFERROR(AVERAGEIFS('Daily Tracking'!$F$6:$F$735,'Daily Tracking'!$A$6:$A$735,"&gt;="&amp;B79,'Daily Tracking'!$A$6:$A$735,"&lt;="&amp;C79),"")</f>
        <v/>
      </c>
      <c r="I79" s="134" t="str">
        <f>IFERROR(AVERAGEIFS('Daily Tracking'!$H$6:$H$735,'Daily Tracking'!$A$6:$A$735,"&gt;="&amp;B79,'Daily Tracking'!$A$6:$A$735,"&lt;="&amp;C79),"")</f>
        <v/>
      </c>
      <c r="J79" s="133" t="str">
        <f>IFERROR(AVERAGEIFS('Daily Tracking'!$K$6:$K$735,'Daily Tracking'!$A$6:$A$735,"&gt;="&amp;B79,'Daily Tracking'!$A$6:$A$735,"&lt;="&amp;C79),"")</f>
        <v/>
      </c>
      <c r="K79" s="133" t="str">
        <f>IFERROR(AVERAGEIFS('Daily Tracking'!$G$6:$G$735,'Daily Tracking'!$A$6:$A$735,"&gt;="&amp;B79,'Daily Tracking'!$A$6:$A$735,"&lt;="&amp;C79),"")</f>
        <v/>
      </c>
      <c r="L79" s="135" t="str">
        <f>IF(N79=0,"",SUMIFS('Daily Tracking'!$I$6:$I$735,'Daily Tracking'!$A$6:$A$735,"&gt;="&amp;B79,'Daily Tracking'!$A$6:$A$735,"&lt;="&amp;C79))</f>
        <v/>
      </c>
      <c r="M79" s="135" t="str">
        <f>IF(N79=0,"",COUNTIFS('Daily Tracking'!$A$6:$A$735,"&gt;="&amp;B79,'Daily Tracking'!$A$6:$A$735,"&lt;="&amp;C79,'Daily Tracking'!$J$6:$J$735,"Yes"))</f>
        <v/>
      </c>
      <c r="N79" s="136">
        <f>COUNTIFS('Daily Tracking'!$A$6:$A$735,"&gt;="&amp;B79,'Daily Tracking'!$A$6:$A$735,"&lt;="&amp;C79,'Daily Tracking'!$B$6:$B$735,"&lt;&gt;")</f>
        <v>0</v>
      </c>
      <c r="S79" s="3" t="e">
        <f t="shared" si="2"/>
        <v>#N/A</v>
      </c>
      <c r="T79" s="3" t="e">
        <f t="shared" si="3"/>
        <v>#N/A</v>
      </c>
    </row>
    <row r="80" spans="1:20" ht="18" customHeight="1" x14ac:dyDescent="0.3">
      <c r="A80" s="130">
        <f>A79+1</f>
        <v>75</v>
      </c>
      <c r="B80" s="161">
        <f>Settings!$B$4+(A80-1)*7</f>
        <v>46796</v>
      </c>
      <c r="C80" s="161">
        <f>B80+6</f>
        <v>46802</v>
      </c>
      <c r="D80" s="125" t="str">
        <f>IF(N80=0,"",AVERAGEIFS('Daily Tracking'!$B$6:$B$735,'Daily Tracking'!$A$6:$A$735,"&gt;="&amp;B80,'Daily Tracking'!$A$6:$A$735,"&lt;="&amp;C80))</f>
        <v/>
      </c>
      <c r="E80" s="162" t="str">
        <f>IF(OR(D80="",D79=""),"",D79-D80)</f>
        <v/>
      </c>
      <c r="F80" s="163" t="str">
        <f>IF(E80="","",E80/D79)</f>
        <v/>
      </c>
      <c r="G80" s="128" t="str">
        <f>IFERROR(AVERAGEIFS('Daily Tracking'!$E$6:$E$735,'Daily Tracking'!$A$6:$A$735,"&gt;="&amp;B80,'Daily Tracking'!$A$6:$A$735,"&lt;="&amp;C80),"")</f>
        <v/>
      </c>
      <c r="H80" s="129" t="str">
        <f>IFERROR(AVERAGEIFS('Daily Tracking'!$F$6:$F$735,'Daily Tracking'!$A$6:$A$735,"&gt;="&amp;B80,'Daily Tracking'!$A$6:$A$735,"&lt;="&amp;C80),"")</f>
        <v/>
      </c>
      <c r="I80" s="128" t="str">
        <f>IFERROR(AVERAGEIFS('Daily Tracking'!$H$6:$H$735,'Daily Tracking'!$A$6:$A$735,"&gt;="&amp;B80,'Daily Tracking'!$A$6:$A$735,"&lt;="&amp;C80),"")</f>
        <v/>
      </c>
      <c r="J80" s="125" t="str">
        <f>IFERROR(AVERAGEIFS('Daily Tracking'!$K$6:$K$735,'Daily Tracking'!$A$6:$A$735,"&gt;="&amp;B80,'Daily Tracking'!$A$6:$A$735,"&lt;="&amp;C80),"")</f>
        <v/>
      </c>
      <c r="K80" s="125" t="str">
        <f>IFERROR(AVERAGEIFS('Daily Tracking'!$G$6:$G$735,'Daily Tracking'!$A$6:$A$735,"&gt;="&amp;B80,'Daily Tracking'!$A$6:$A$735,"&lt;="&amp;C80),"")</f>
        <v/>
      </c>
      <c r="L80" s="129" t="str">
        <f>IF(N80=0,"",SUMIFS('Daily Tracking'!$I$6:$I$735,'Daily Tracking'!$A$6:$A$735,"&gt;="&amp;B80,'Daily Tracking'!$A$6:$A$735,"&lt;="&amp;C80))</f>
        <v/>
      </c>
      <c r="M80" s="129" t="str">
        <f>IF(N80=0,"",COUNTIFS('Daily Tracking'!$A$6:$A$735,"&gt;="&amp;B80,'Daily Tracking'!$A$6:$A$735,"&lt;="&amp;C80,'Daily Tracking'!$J$6:$J$735,"Yes"))</f>
        <v/>
      </c>
      <c r="N80" s="130">
        <f>COUNTIFS('Daily Tracking'!$A$6:$A$735,"&gt;="&amp;B80,'Daily Tracking'!$A$6:$A$735,"&lt;="&amp;C80,'Daily Tracking'!$B$6:$B$735,"&lt;&gt;")</f>
        <v>0</v>
      </c>
      <c r="S80" s="3" t="e">
        <f t="shared" si="2"/>
        <v>#N/A</v>
      </c>
      <c r="T80" s="3" t="e">
        <f t="shared" si="3"/>
        <v>#N/A</v>
      </c>
    </row>
    <row r="81" spans="1:20" ht="18" customHeight="1" x14ac:dyDescent="0.3">
      <c r="A81" s="136">
        <f>A80+1</f>
        <v>76</v>
      </c>
      <c r="B81" s="166">
        <f>Settings!$B$4+(A81-1)*7</f>
        <v>46803</v>
      </c>
      <c r="C81" s="166">
        <f>B81+6</f>
        <v>46809</v>
      </c>
      <c r="D81" s="133" t="str">
        <f>IF(N81=0,"",AVERAGEIFS('Daily Tracking'!$B$6:$B$735,'Daily Tracking'!$A$6:$A$735,"&gt;="&amp;B81,'Daily Tracking'!$A$6:$A$735,"&lt;="&amp;C81))</f>
        <v/>
      </c>
      <c r="E81" s="167" t="str">
        <f>IF(OR(D81="",D80=""),"",D80-D81)</f>
        <v/>
      </c>
      <c r="F81" s="168" t="str">
        <f>IF(E81="","",E81/D80)</f>
        <v/>
      </c>
      <c r="G81" s="134" t="str">
        <f>IFERROR(AVERAGEIFS('Daily Tracking'!$E$6:$E$735,'Daily Tracking'!$A$6:$A$735,"&gt;="&amp;B81,'Daily Tracking'!$A$6:$A$735,"&lt;="&amp;C81),"")</f>
        <v/>
      </c>
      <c r="H81" s="135" t="str">
        <f>IFERROR(AVERAGEIFS('Daily Tracking'!$F$6:$F$735,'Daily Tracking'!$A$6:$A$735,"&gt;="&amp;B81,'Daily Tracking'!$A$6:$A$735,"&lt;="&amp;C81),"")</f>
        <v/>
      </c>
      <c r="I81" s="134" t="str">
        <f>IFERROR(AVERAGEIFS('Daily Tracking'!$H$6:$H$735,'Daily Tracking'!$A$6:$A$735,"&gt;="&amp;B81,'Daily Tracking'!$A$6:$A$735,"&lt;="&amp;C81),"")</f>
        <v/>
      </c>
      <c r="J81" s="133" t="str">
        <f>IFERROR(AVERAGEIFS('Daily Tracking'!$K$6:$K$735,'Daily Tracking'!$A$6:$A$735,"&gt;="&amp;B81,'Daily Tracking'!$A$6:$A$735,"&lt;="&amp;C81),"")</f>
        <v/>
      </c>
      <c r="K81" s="133" t="str">
        <f>IFERROR(AVERAGEIFS('Daily Tracking'!$G$6:$G$735,'Daily Tracking'!$A$6:$A$735,"&gt;="&amp;B81,'Daily Tracking'!$A$6:$A$735,"&lt;="&amp;C81),"")</f>
        <v/>
      </c>
      <c r="L81" s="135" t="str">
        <f>IF(N81=0,"",SUMIFS('Daily Tracking'!$I$6:$I$735,'Daily Tracking'!$A$6:$A$735,"&gt;="&amp;B81,'Daily Tracking'!$A$6:$A$735,"&lt;="&amp;C81))</f>
        <v/>
      </c>
      <c r="M81" s="135" t="str">
        <f>IF(N81=0,"",COUNTIFS('Daily Tracking'!$A$6:$A$735,"&gt;="&amp;B81,'Daily Tracking'!$A$6:$A$735,"&lt;="&amp;C81,'Daily Tracking'!$J$6:$J$735,"Yes"))</f>
        <v/>
      </c>
      <c r="N81" s="136">
        <f>COUNTIFS('Daily Tracking'!$A$6:$A$735,"&gt;="&amp;B81,'Daily Tracking'!$A$6:$A$735,"&lt;="&amp;C81,'Daily Tracking'!$B$6:$B$735,"&lt;&gt;")</f>
        <v>0</v>
      </c>
      <c r="S81" s="3" t="e">
        <f t="shared" si="2"/>
        <v>#N/A</v>
      </c>
      <c r="T81" s="3" t="e">
        <f t="shared" si="3"/>
        <v>#N/A</v>
      </c>
    </row>
    <row r="82" spans="1:20" ht="18" customHeight="1" x14ac:dyDescent="0.3">
      <c r="A82" s="130">
        <f>A81+1</f>
        <v>77</v>
      </c>
      <c r="B82" s="161">
        <f>Settings!$B$4+(A82-1)*7</f>
        <v>46810</v>
      </c>
      <c r="C82" s="161">
        <f>B82+6</f>
        <v>46816</v>
      </c>
      <c r="D82" s="125" t="str">
        <f>IF(N82=0,"",AVERAGEIFS('Daily Tracking'!$B$6:$B$735,'Daily Tracking'!$A$6:$A$735,"&gt;="&amp;B82,'Daily Tracking'!$A$6:$A$735,"&lt;="&amp;C82))</f>
        <v/>
      </c>
      <c r="E82" s="162" t="str">
        <f>IF(OR(D82="",D81=""),"",D81-D82)</f>
        <v/>
      </c>
      <c r="F82" s="163" t="str">
        <f>IF(E82="","",E82/D81)</f>
        <v/>
      </c>
      <c r="G82" s="128" t="str">
        <f>IFERROR(AVERAGEIFS('Daily Tracking'!$E$6:$E$735,'Daily Tracking'!$A$6:$A$735,"&gt;="&amp;B82,'Daily Tracking'!$A$6:$A$735,"&lt;="&amp;C82),"")</f>
        <v/>
      </c>
      <c r="H82" s="129" t="str">
        <f>IFERROR(AVERAGEIFS('Daily Tracking'!$F$6:$F$735,'Daily Tracking'!$A$6:$A$735,"&gt;="&amp;B82,'Daily Tracking'!$A$6:$A$735,"&lt;="&amp;C82),"")</f>
        <v/>
      </c>
      <c r="I82" s="128" t="str">
        <f>IFERROR(AVERAGEIFS('Daily Tracking'!$H$6:$H$735,'Daily Tracking'!$A$6:$A$735,"&gt;="&amp;B82,'Daily Tracking'!$A$6:$A$735,"&lt;="&amp;C82),"")</f>
        <v/>
      </c>
      <c r="J82" s="125" t="str">
        <f>IFERROR(AVERAGEIFS('Daily Tracking'!$K$6:$K$735,'Daily Tracking'!$A$6:$A$735,"&gt;="&amp;B82,'Daily Tracking'!$A$6:$A$735,"&lt;="&amp;C82),"")</f>
        <v/>
      </c>
      <c r="K82" s="125" t="str">
        <f>IFERROR(AVERAGEIFS('Daily Tracking'!$G$6:$G$735,'Daily Tracking'!$A$6:$A$735,"&gt;="&amp;B82,'Daily Tracking'!$A$6:$A$735,"&lt;="&amp;C82),"")</f>
        <v/>
      </c>
      <c r="L82" s="129" t="str">
        <f>IF(N82=0,"",SUMIFS('Daily Tracking'!$I$6:$I$735,'Daily Tracking'!$A$6:$A$735,"&gt;="&amp;B82,'Daily Tracking'!$A$6:$A$735,"&lt;="&amp;C82))</f>
        <v/>
      </c>
      <c r="M82" s="129" t="str">
        <f>IF(N82=0,"",COUNTIFS('Daily Tracking'!$A$6:$A$735,"&gt;="&amp;B82,'Daily Tracking'!$A$6:$A$735,"&lt;="&amp;C82,'Daily Tracking'!$J$6:$J$735,"Yes"))</f>
        <v/>
      </c>
      <c r="N82" s="130">
        <f>COUNTIFS('Daily Tracking'!$A$6:$A$735,"&gt;="&amp;B82,'Daily Tracking'!$A$6:$A$735,"&lt;="&amp;C82,'Daily Tracking'!$B$6:$B$735,"&lt;&gt;")</f>
        <v>0</v>
      </c>
      <c r="S82" s="3" t="e">
        <f t="shared" si="2"/>
        <v>#N/A</v>
      </c>
      <c r="T82" s="3" t="e">
        <f t="shared" si="3"/>
        <v>#N/A</v>
      </c>
    </row>
    <row r="83" spans="1:20" ht="18" customHeight="1" x14ac:dyDescent="0.3">
      <c r="A83" s="136">
        <f>A82+1</f>
        <v>78</v>
      </c>
      <c r="B83" s="166">
        <f>Settings!$B$4+(A83-1)*7</f>
        <v>46817</v>
      </c>
      <c r="C83" s="166">
        <f>B83+6</f>
        <v>46823</v>
      </c>
      <c r="D83" s="133" t="str">
        <f>IF(N83=0,"",AVERAGEIFS('Daily Tracking'!$B$6:$B$735,'Daily Tracking'!$A$6:$A$735,"&gt;="&amp;B83,'Daily Tracking'!$A$6:$A$735,"&lt;="&amp;C83))</f>
        <v/>
      </c>
      <c r="E83" s="167" t="str">
        <f>IF(OR(D83="",D82=""),"",D82-D83)</f>
        <v/>
      </c>
      <c r="F83" s="168" t="str">
        <f>IF(E83="","",E83/D82)</f>
        <v/>
      </c>
      <c r="G83" s="134" t="str">
        <f>IFERROR(AVERAGEIFS('Daily Tracking'!$E$6:$E$735,'Daily Tracking'!$A$6:$A$735,"&gt;="&amp;B83,'Daily Tracking'!$A$6:$A$735,"&lt;="&amp;C83),"")</f>
        <v/>
      </c>
      <c r="H83" s="135" t="str">
        <f>IFERROR(AVERAGEIFS('Daily Tracking'!$F$6:$F$735,'Daily Tracking'!$A$6:$A$735,"&gt;="&amp;B83,'Daily Tracking'!$A$6:$A$735,"&lt;="&amp;C83),"")</f>
        <v/>
      </c>
      <c r="I83" s="134" t="str">
        <f>IFERROR(AVERAGEIFS('Daily Tracking'!$H$6:$H$735,'Daily Tracking'!$A$6:$A$735,"&gt;="&amp;B83,'Daily Tracking'!$A$6:$A$735,"&lt;="&amp;C83),"")</f>
        <v/>
      </c>
      <c r="J83" s="133" t="str">
        <f>IFERROR(AVERAGEIFS('Daily Tracking'!$K$6:$K$735,'Daily Tracking'!$A$6:$A$735,"&gt;="&amp;B83,'Daily Tracking'!$A$6:$A$735,"&lt;="&amp;C83),"")</f>
        <v/>
      </c>
      <c r="K83" s="133" t="str">
        <f>IFERROR(AVERAGEIFS('Daily Tracking'!$G$6:$G$735,'Daily Tracking'!$A$6:$A$735,"&gt;="&amp;B83,'Daily Tracking'!$A$6:$A$735,"&lt;="&amp;C83),"")</f>
        <v/>
      </c>
      <c r="L83" s="135" t="str">
        <f>IF(N83=0,"",SUMIFS('Daily Tracking'!$I$6:$I$735,'Daily Tracking'!$A$6:$A$735,"&gt;="&amp;B83,'Daily Tracking'!$A$6:$A$735,"&lt;="&amp;C83))</f>
        <v/>
      </c>
      <c r="M83" s="135" t="str">
        <f>IF(N83=0,"",COUNTIFS('Daily Tracking'!$A$6:$A$735,"&gt;="&amp;B83,'Daily Tracking'!$A$6:$A$735,"&lt;="&amp;C83,'Daily Tracking'!$J$6:$J$735,"Yes"))</f>
        <v/>
      </c>
      <c r="N83" s="136">
        <f>COUNTIFS('Daily Tracking'!$A$6:$A$735,"&gt;="&amp;B83,'Daily Tracking'!$A$6:$A$735,"&lt;="&amp;C83,'Daily Tracking'!$B$6:$B$735,"&lt;&gt;")</f>
        <v>0</v>
      </c>
      <c r="S83" s="3" t="e">
        <f t="shared" si="2"/>
        <v>#N/A</v>
      </c>
      <c r="T83" s="3" t="e">
        <f t="shared" si="3"/>
        <v>#N/A</v>
      </c>
    </row>
    <row r="84" spans="1:20" ht="18" customHeight="1" x14ac:dyDescent="0.3">
      <c r="A84" s="130">
        <f>A83+1</f>
        <v>79</v>
      </c>
      <c r="B84" s="161">
        <f>Settings!$B$4+(A84-1)*7</f>
        <v>46824</v>
      </c>
      <c r="C84" s="161">
        <f>B84+6</f>
        <v>46830</v>
      </c>
      <c r="D84" s="125" t="str">
        <f>IF(N84=0,"",AVERAGEIFS('Daily Tracking'!$B$6:$B$735,'Daily Tracking'!$A$6:$A$735,"&gt;="&amp;B84,'Daily Tracking'!$A$6:$A$735,"&lt;="&amp;C84))</f>
        <v/>
      </c>
      <c r="E84" s="162" t="str">
        <f>IF(OR(D84="",D83=""),"",D83-D84)</f>
        <v/>
      </c>
      <c r="F84" s="163" t="str">
        <f>IF(E84="","",E84/D83)</f>
        <v/>
      </c>
      <c r="G84" s="128" t="str">
        <f>IFERROR(AVERAGEIFS('Daily Tracking'!$E$6:$E$735,'Daily Tracking'!$A$6:$A$735,"&gt;="&amp;B84,'Daily Tracking'!$A$6:$A$735,"&lt;="&amp;C84),"")</f>
        <v/>
      </c>
      <c r="H84" s="129" t="str">
        <f>IFERROR(AVERAGEIFS('Daily Tracking'!$F$6:$F$735,'Daily Tracking'!$A$6:$A$735,"&gt;="&amp;B84,'Daily Tracking'!$A$6:$A$735,"&lt;="&amp;C84),"")</f>
        <v/>
      </c>
      <c r="I84" s="128" t="str">
        <f>IFERROR(AVERAGEIFS('Daily Tracking'!$H$6:$H$735,'Daily Tracking'!$A$6:$A$735,"&gt;="&amp;B84,'Daily Tracking'!$A$6:$A$735,"&lt;="&amp;C84),"")</f>
        <v/>
      </c>
      <c r="J84" s="125" t="str">
        <f>IFERROR(AVERAGEIFS('Daily Tracking'!$K$6:$K$735,'Daily Tracking'!$A$6:$A$735,"&gt;="&amp;B84,'Daily Tracking'!$A$6:$A$735,"&lt;="&amp;C84),"")</f>
        <v/>
      </c>
      <c r="K84" s="125" t="str">
        <f>IFERROR(AVERAGEIFS('Daily Tracking'!$G$6:$G$735,'Daily Tracking'!$A$6:$A$735,"&gt;="&amp;B84,'Daily Tracking'!$A$6:$A$735,"&lt;="&amp;C84),"")</f>
        <v/>
      </c>
      <c r="L84" s="129" t="str">
        <f>IF(N84=0,"",SUMIFS('Daily Tracking'!$I$6:$I$735,'Daily Tracking'!$A$6:$A$735,"&gt;="&amp;B84,'Daily Tracking'!$A$6:$A$735,"&lt;="&amp;C84))</f>
        <v/>
      </c>
      <c r="M84" s="129" t="str">
        <f>IF(N84=0,"",COUNTIFS('Daily Tracking'!$A$6:$A$735,"&gt;="&amp;B84,'Daily Tracking'!$A$6:$A$735,"&lt;="&amp;C84,'Daily Tracking'!$J$6:$J$735,"Yes"))</f>
        <v/>
      </c>
      <c r="N84" s="130">
        <f>COUNTIFS('Daily Tracking'!$A$6:$A$735,"&gt;="&amp;B84,'Daily Tracking'!$A$6:$A$735,"&lt;="&amp;C84,'Daily Tracking'!$B$6:$B$735,"&lt;&gt;")</f>
        <v>0</v>
      </c>
      <c r="S84" s="3" t="e">
        <f t="shared" si="2"/>
        <v>#N/A</v>
      </c>
      <c r="T84" s="3" t="e">
        <f t="shared" si="3"/>
        <v>#N/A</v>
      </c>
    </row>
    <row r="85" spans="1:20" ht="18" customHeight="1" x14ac:dyDescent="0.3">
      <c r="A85" s="136">
        <f>A84+1</f>
        <v>80</v>
      </c>
      <c r="B85" s="166">
        <f>Settings!$B$4+(A85-1)*7</f>
        <v>46831</v>
      </c>
      <c r="C85" s="166">
        <f>B85+6</f>
        <v>46837</v>
      </c>
      <c r="D85" s="133" t="str">
        <f>IF(N85=0,"",AVERAGEIFS('Daily Tracking'!$B$6:$B$735,'Daily Tracking'!$A$6:$A$735,"&gt;="&amp;B85,'Daily Tracking'!$A$6:$A$735,"&lt;="&amp;C85))</f>
        <v/>
      </c>
      <c r="E85" s="167" t="str">
        <f>IF(OR(D85="",D84=""),"",D84-D85)</f>
        <v/>
      </c>
      <c r="F85" s="168" t="str">
        <f>IF(E85="","",E85/D84)</f>
        <v/>
      </c>
      <c r="G85" s="134" t="str">
        <f>IFERROR(AVERAGEIFS('Daily Tracking'!$E$6:$E$735,'Daily Tracking'!$A$6:$A$735,"&gt;="&amp;B85,'Daily Tracking'!$A$6:$A$735,"&lt;="&amp;C85),"")</f>
        <v/>
      </c>
      <c r="H85" s="135" t="str">
        <f>IFERROR(AVERAGEIFS('Daily Tracking'!$F$6:$F$735,'Daily Tracking'!$A$6:$A$735,"&gt;="&amp;B85,'Daily Tracking'!$A$6:$A$735,"&lt;="&amp;C85),"")</f>
        <v/>
      </c>
      <c r="I85" s="134" t="str">
        <f>IFERROR(AVERAGEIFS('Daily Tracking'!$H$6:$H$735,'Daily Tracking'!$A$6:$A$735,"&gt;="&amp;B85,'Daily Tracking'!$A$6:$A$735,"&lt;="&amp;C85),"")</f>
        <v/>
      </c>
      <c r="J85" s="133" t="str">
        <f>IFERROR(AVERAGEIFS('Daily Tracking'!$K$6:$K$735,'Daily Tracking'!$A$6:$A$735,"&gt;="&amp;B85,'Daily Tracking'!$A$6:$A$735,"&lt;="&amp;C85),"")</f>
        <v/>
      </c>
      <c r="K85" s="133" t="str">
        <f>IFERROR(AVERAGEIFS('Daily Tracking'!$G$6:$G$735,'Daily Tracking'!$A$6:$A$735,"&gt;="&amp;B85,'Daily Tracking'!$A$6:$A$735,"&lt;="&amp;C85),"")</f>
        <v/>
      </c>
      <c r="L85" s="135" t="str">
        <f>IF(N85=0,"",SUMIFS('Daily Tracking'!$I$6:$I$735,'Daily Tracking'!$A$6:$A$735,"&gt;="&amp;B85,'Daily Tracking'!$A$6:$A$735,"&lt;="&amp;C85))</f>
        <v/>
      </c>
      <c r="M85" s="135" t="str">
        <f>IF(N85=0,"",COUNTIFS('Daily Tracking'!$A$6:$A$735,"&gt;="&amp;B85,'Daily Tracking'!$A$6:$A$735,"&lt;="&amp;C85,'Daily Tracking'!$J$6:$J$735,"Yes"))</f>
        <v/>
      </c>
      <c r="N85" s="136">
        <f>COUNTIFS('Daily Tracking'!$A$6:$A$735,"&gt;="&amp;B85,'Daily Tracking'!$A$6:$A$735,"&lt;="&amp;C85,'Daily Tracking'!$B$6:$B$735,"&lt;&gt;")</f>
        <v>0</v>
      </c>
      <c r="S85" s="3" t="e">
        <f t="shared" si="2"/>
        <v>#N/A</v>
      </c>
      <c r="T85" s="3" t="e">
        <f t="shared" si="3"/>
        <v>#N/A</v>
      </c>
    </row>
    <row r="86" spans="1:20" ht="18" customHeight="1" x14ac:dyDescent="0.3">
      <c r="A86" s="130">
        <f>A85+1</f>
        <v>81</v>
      </c>
      <c r="B86" s="161">
        <f>Settings!$B$4+(A86-1)*7</f>
        <v>46838</v>
      </c>
      <c r="C86" s="161">
        <f>B86+6</f>
        <v>46844</v>
      </c>
      <c r="D86" s="125" t="str">
        <f>IF(N86=0,"",AVERAGEIFS('Daily Tracking'!$B$6:$B$735,'Daily Tracking'!$A$6:$A$735,"&gt;="&amp;B86,'Daily Tracking'!$A$6:$A$735,"&lt;="&amp;C86))</f>
        <v/>
      </c>
      <c r="E86" s="162" t="str">
        <f>IF(OR(D86="",D85=""),"",D85-D86)</f>
        <v/>
      </c>
      <c r="F86" s="163" t="str">
        <f>IF(E86="","",E86/D85)</f>
        <v/>
      </c>
      <c r="G86" s="128" t="str">
        <f>IFERROR(AVERAGEIFS('Daily Tracking'!$E$6:$E$735,'Daily Tracking'!$A$6:$A$735,"&gt;="&amp;B86,'Daily Tracking'!$A$6:$A$735,"&lt;="&amp;C86),"")</f>
        <v/>
      </c>
      <c r="H86" s="129" t="str">
        <f>IFERROR(AVERAGEIFS('Daily Tracking'!$F$6:$F$735,'Daily Tracking'!$A$6:$A$735,"&gt;="&amp;B86,'Daily Tracking'!$A$6:$A$735,"&lt;="&amp;C86),"")</f>
        <v/>
      </c>
      <c r="I86" s="128" t="str">
        <f>IFERROR(AVERAGEIFS('Daily Tracking'!$H$6:$H$735,'Daily Tracking'!$A$6:$A$735,"&gt;="&amp;B86,'Daily Tracking'!$A$6:$A$735,"&lt;="&amp;C86),"")</f>
        <v/>
      </c>
      <c r="J86" s="125" t="str">
        <f>IFERROR(AVERAGEIFS('Daily Tracking'!$K$6:$K$735,'Daily Tracking'!$A$6:$A$735,"&gt;="&amp;B86,'Daily Tracking'!$A$6:$A$735,"&lt;="&amp;C86),"")</f>
        <v/>
      </c>
      <c r="K86" s="125" t="str">
        <f>IFERROR(AVERAGEIFS('Daily Tracking'!$G$6:$G$735,'Daily Tracking'!$A$6:$A$735,"&gt;="&amp;B86,'Daily Tracking'!$A$6:$A$735,"&lt;="&amp;C86),"")</f>
        <v/>
      </c>
      <c r="L86" s="129" t="str">
        <f>IF(N86=0,"",SUMIFS('Daily Tracking'!$I$6:$I$735,'Daily Tracking'!$A$6:$A$735,"&gt;="&amp;B86,'Daily Tracking'!$A$6:$A$735,"&lt;="&amp;C86))</f>
        <v/>
      </c>
      <c r="M86" s="129" t="str">
        <f>IF(N86=0,"",COUNTIFS('Daily Tracking'!$A$6:$A$735,"&gt;="&amp;B86,'Daily Tracking'!$A$6:$A$735,"&lt;="&amp;C86,'Daily Tracking'!$J$6:$J$735,"Yes"))</f>
        <v/>
      </c>
      <c r="N86" s="130">
        <f>COUNTIFS('Daily Tracking'!$A$6:$A$735,"&gt;="&amp;B86,'Daily Tracking'!$A$6:$A$735,"&lt;="&amp;C86,'Daily Tracking'!$B$6:$B$735,"&lt;&gt;")</f>
        <v>0</v>
      </c>
      <c r="S86" s="3" t="e">
        <f t="shared" si="2"/>
        <v>#N/A</v>
      </c>
      <c r="T86" s="3" t="e">
        <f t="shared" si="3"/>
        <v>#N/A</v>
      </c>
    </row>
    <row r="87" spans="1:20" ht="18" customHeight="1" x14ac:dyDescent="0.3">
      <c r="A87" s="136">
        <f>A86+1</f>
        <v>82</v>
      </c>
      <c r="B87" s="166">
        <f>Settings!$B$4+(A87-1)*7</f>
        <v>46845</v>
      </c>
      <c r="C87" s="166">
        <f>B87+6</f>
        <v>46851</v>
      </c>
      <c r="D87" s="133" t="str">
        <f>IF(N87=0,"",AVERAGEIFS('Daily Tracking'!$B$6:$B$735,'Daily Tracking'!$A$6:$A$735,"&gt;="&amp;B87,'Daily Tracking'!$A$6:$A$735,"&lt;="&amp;C87))</f>
        <v/>
      </c>
      <c r="E87" s="167" t="str">
        <f>IF(OR(D87="",D86=""),"",D86-D87)</f>
        <v/>
      </c>
      <c r="F87" s="168" t="str">
        <f>IF(E87="","",E87/D86)</f>
        <v/>
      </c>
      <c r="G87" s="134" t="str">
        <f>IFERROR(AVERAGEIFS('Daily Tracking'!$E$6:$E$735,'Daily Tracking'!$A$6:$A$735,"&gt;="&amp;B87,'Daily Tracking'!$A$6:$A$735,"&lt;="&amp;C87),"")</f>
        <v/>
      </c>
      <c r="H87" s="135" t="str">
        <f>IFERROR(AVERAGEIFS('Daily Tracking'!$F$6:$F$735,'Daily Tracking'!$A$6:$A$735,"&gt;="&amp;B87,'Daily Tracking'!$A$6:$A$735,"&lt;="&amp;C87),"")</f>
        <v/>
      </c>
      <c r="I87" s="134" t="str">
        <f>IFERROR(AVERAGEIFS('Daily Tracking'!$H$6:$H$735,'Daily Tracking'!$A$6:$A$735,"&gt;="&amp;B87,'Daily Tracking'!$A$6:$A$735,"&lt;="&amp;C87),"")</f>
        <v/>
      </c>
      <c r="J87" s="133" t="str">
        <f>IFERROR(AVERAGEIFS('Daily Tracking'!$K$6:$K$735,'Daily Tracking'!$A$6:$A$735,"&gt;="&amp;B87,'Daily Tracking'!$A$6:$A$735,"&lt;="&amp;C87),"")</f>
        <v/>
      </c>
      <c r="K87" s="133" t="str">
        <f>IFERROR(AVERAGEIFS('Daily Tracking'!$G$6:$G$735,'Daily Tracking'!$A$6:$A$735,"&gt;="&amp;B87,'Daily Tracking'!$A$6:$A$735,"&lt;="&amp;C87),"")</f>
        <v/>
      </c>
      <c r="L87" s="135" t="str">
        <f>IF(N87=0,"",SUMIFS('Daily Tracking'!$I$6:$I$735,'Daily Tracking'!$A$6:$A$735,"&gt;="&amp;B87,'Daily Tracking'!$A$6:$A$735,"&lt;="&amp;C87))</f>
        <v/>
      </c>
      <c r="M87" s="135" t="str">
        <f>IF(N87=0,"",COUNTIFS('Daily Tracking'!$A$6:$A$735,"&gt;="&amp;B87,'Daily Tracking'!$A$6:$A$735,"&lt;="&amp;C87,'Daily Tracking'!$J$6:$J$735,"Yes"))</f>
        <v/>
      </c>
      <c r="N87" s="136">
        <f>COUNTIFS('Daily Tracking'!$A$6:$A$735,"&gt;="&amp;B87,'Daily Tracking'!$A$6:$A$735,"&lt;="&amp;C87,'Daily Tracking'!$B$6:$B$735,"&lt;&gt;")</f>
        <v>0</v>
      </c>
      <c r="S87" s="3" t="e">
        <f t="shared" si="2"/>
        <v>#N/A</v>
      </c>
      <c r="T87" s="3" t="e">
        <f t="shared" si="3"/>
        <v>#N/A</v>
      </c>
    </row>
    <row r="88" spans="1:20" ht="18" customHeight="1" x14ac:dyDescent="0.3">
      <c r="A88" s="130">
        <f>A87+1</f>
        <v>83</v>
      </c>
      <c r="B88" s="161">
        <f>Settings!$B$4+(A88-1)*7</f>
        <v>46852</v>
      </c>
      <c r="C88" s="161">
        <f>B88+6</f>
        <v>46858</v>
      </c>
      <c r="D88" s="125" t="str">
        <f>IF(N88=0,"",AVERAGEIFS('Daily Tracking'!$B$6:$B$735,'Daily Tracking'!$A$6:$A$735,"&gt;="&amp;B88,'Daily Tracking'!$A$6:$A$735,"&lt;="&amp;C88))</f>
        <v/>
      </c>
      <c r="E88" s="162" t="str">
        <f>IF(OR(D88="",D87=""),"",D87-D88)</f>
        <v/>
      </c>
      <c r="F88" s="163" t="str">
        <f>IF(E88="","",E88/D87)</f>
        <v/>
      </c>
      <c r="G88" s="128" t="str">
        <f>IFERROR(AVERAGEIFS('Daily Tracking'!$E$6:$E$735,'Daily Tracking'!$A$6:$A$735,"&gt;="&amp;B88,'Daily Tracking'!$A$6:$A$735,"&lt;="&amp;C88),"")</f>
        <v/>
      </c>
      <c r="H88" s="129" t="str">
        <f>IFERROR(AVERAGEIFS('Daily Tracking'!$F$6:$F$735,'Daily Tracking'!$A$6:$A$735,"&gt;="&amp;B88,'Daily Tracking'!$A$6:$A$735,"&lt;="&amp;C88),"")</f>
        <v/>
      </c>
      <c r="I88" s="128" t="str">
        <f>IFERROR(AVERAGEIFS('Daily Tracking'!$H$6:$H$735,'Daily Tracking'!$A$6:$A$735,"&gt;="&amp;B88,'Daily Tracking'!$A$6:$A$735,"&lt;="&amp;C88),"")</f>
        <v/>
      </c>
      <c r="J88" s="125" t="str">
        <f>IFERROR(AVERAGEIFS('Daily Tracking'!$K$6:$K$735,'Daily Tracking'!$A$6:$A$735,"&gt;="&amp;B88,'Daily Tracking'!$A$6:$A$735,"&lt;="&amp;C88),"")</f>
        <v/>
      </c>
      <c r="K88" s="125" t="str">
        <f>IFERROR(AVERAGEIFS('Daily Tracking'!$G$6:$G$735,'Daily Tracking'!$A$6:$A$735,"&gt;="&amp;B88,'Daily Tracking'!$A$6:$A$735,"&lt;="&amp;C88),"")</f>
        <v/>
      </c>
      <c r="L88" s="129" t="str">
        <f>IF(N88=0,"",SUMIFS('Daily Tracking'!$I$6:$I$735,'Daily Tracking'!$A$6:$A$735,"&gt;="&amp;B88,'Daily Tracking'!$A$6:$A$735,"&lt;="&amp;C88))</f>
        <v/>
      </c>
      <c r="M88" s="129" t="str">
        <f>IF(N88=0,"",COUNTIFS('Daily Tracking'!$A$6:$A$735,"&gt;="&amp;B88,'Daily Tracking'!$A$6:$A$735,"&lt;="&amp;C88,'Daily Tracking'!$J$6:$J$735,"Yes"))</f>
        <v/>
      </c>
      <c r="N88" s="130">
        <f>COUNTIFS('Daily Tracking'!$A$6:$A$735,"&gt;="&amp;B88,'Daily Tracking'!$A$6:$A$735,"&lt;="&amp;C88,'Daily Tracking'!$B$6:$B$735,"&lt;&gt;")</f>
        <v>0</v>
      </c>
      <c r="S88" s="3" t="e">
        <f t="shared" si="2"/>
        <v>#N/A</v>
      </c>
      <c r="T88" s="3" t="e">
        <f t="shared" si="3"/>
        <v>#N/A</v>
      </c>
    </row>
    <row r="89" spans="1:20" ht="18" customHeight="1" x14ac:dyDescent="0.3">
      <c r="A89" s="136">
        <f>A88+1</f>
        <v>84</v>
      </c>
      <c r="B89" s="166">
        <f>Settings!$B$4+(A89-1)*7</f>
        <v>46859</v>
      </c>
      <c r="C89" s="166">
        <f>B89+6</f>
        <v>46865</v>
      </c>
      <c r="D89" s="133" t="str">
        <f>IF(N89=0,"",AVERAGEIFS('Daily Tracking'!$B$6:$B$735,'Daily Tracking'!$A$6:$A$735,"&gt;="&amp;B89,'Daily Tracking'!$A$6:$A$735,"&lt;="&amp;C89))</f>
        <v/>
      </c>
      <c r="E89" s="167" t="str">
        <f>IF(OR(D89="",D88=""),"",D88-D89)</f>
        <v/>
      </c>
      <c r="F89" s="168" t="str">
        <f>IF(E89="","",E89/D88)</f>
        <v/>
      </c>
      <c r="G89" s="134" t="str">
        <f>IFERROR(AVERAGEIFS('Daily Tracking'!$E$6:$E$735,'Daily Tracking'!$A$6:$A$735,"&gt;="&amp;B89,'Daily Tracking'!$A$6:$A$735,"&lt;="&amp;C89),"")</f>
        <v/>
      </c>
      <c r="H89" s="135" t="str">
        <f>IFERROR(AVERAGEIFS('Daily Tracking'!$F$6:$F$735,'Daily Tracking'!$A$6:$A$735,"&gt;="&amp;B89,'Daily Tracking'!$A$6:$A$735,"&lt;="&amp;C89),"")</f>
        <v/>
      </c>
      <c r="I89" s="134" t="str">
        <f>IFERROR(AVERAGEIFS('Daily Tracking'!$H$6:$H$735,'Daily Tracking'!$A$6:$A$735,"&gt;="&amp;B89,'Daily Tracking'!$A$6:$A$735,"&lt;="&amp;C89),"")</f>
        <v/>
      </c>
      <c r="J89" s="133" t="str">
        <f>IFERROR(AVERAGEIFS('Daily Tracking'!$K$6:$K$735,'Daily Tracking'!$A$6:$A$735,"&gt;="&amp;B89,'Daily Tracking'!$A$6:$A$735,"&lt;="&amp;C89),"")</f>
        <v/>
      </c>
      <c r="K89" s="133" t="str">
        <f>IFERROR(AVERAGEIFS('Daily Tracking'!$G$6:$G$735,'Daily Tracking'!$A$6:$A$735,"&gt;="&amp;B89,'Daily Tracking'!$A$6:$A$735,"&lt;="&amp;C89),"")</f>
        <v/>
      </c>
      <c r="L89" s="135" t="str">
        <f>IF(N89=0,"",SUMIFS('Daily Tracking'!$I$6:$I$735,'Daily Tracking'!$A$6:$A$735,"&gt;="&amp;B89,'Daily Tracking'!$A$6:$A$735,"&lt;="&amp;C89))</f>
        <v/>
      </c>
      <c r="M89" s="135" t="str">
        <f>IF(N89=0,"",COUNTIFS('Daily Tracking'!$A$6:$A$735,"&gt;="&amp;B89,'Daily Tracking'!$A$6:$A$735,"&lt;="&amp;C89,'Daily Tracking'!$J$6:$J$735,"Yes"))</f>
        <v/>
      </c>
      <c r="N89" s="136">
        <f>COUNTIFS('Daily Tracking'!$A$6:$A$735,"&gt;="&amp;B89,'Daily Tracking'!$A$6:$A$735,"&lt;="&amp;C89,'Daily Tracking'!$B$6:$B$735,"&lt;&gt;")</f>
        <v>0</v>
      </c>
      <c r="S89" s="3" t="e">
        <f t="shared" si="2"/>
        <v>#N/A</v>
      </c>
      <c r="T89" s="3" t="e">
        <f t="shared" si="3"/>
        <v>#N/A</v>
      </c>
    </row>
    <row r="90" spans="1:20" ht="18" customHeight="1" x14ac:dyDescent="0.3">
      <c r="A90" s="130">
        <f>A89+1</f>
        <v>85</v>
      </c>
      <c r="B90" s="161">
        <f>Settings!$B$4+(A90-1)*7</f>
        <v>46866</v>
      </c>
      <c r="C90" s="161">
        <f>B90+6</f>
        <v>46872</v>
      </c>
      <c r="D90" s="125" t="str">
        <f>IF(N90=0,"",AVERAGEIFS('Daily Tracking'!$B$6:$B$735,'Daily Tracking'!$A$6:$A$735,"&gt;="&amp;B90,'Daily Tracking'!$A$6:$A$735,"&lt;="&amp;C90))</f>
        <v/>
      </c>
      <c r="E90" s="162" t="str">
        <f>IF(OR(D90="",D89=""),"",D89-D90)</f>
        <v/>
      </c>
      <c r="F90" s="163" t="str">
        <f>IF(E90="","",E90/D89)</f>
        <v/>
      </c>
      <c r="G90" s="128" t="str">
        <f>IFERROR(AVERAGEIFS('Daily Tracking'!$E$6:$E$735,'Daily Tracking'!$A$6:$A$735,"&gt;="&amp;B90,'Daily Tracking'!$A$6:$A$735,"&lt;="&amp;C90),"")</f>
        <v/>
      </c>
      <c r="H90" s="129" t="str">
        <f>IFERROR(AVERAGEIFS('Daily Tracking'!$F$6:$F$735,'Daily Tracking'!$A$6:$A$735,"&gt;="&amp;B90,'Daily Tracking'!$A$6:$A$735,"&lt;="&amp;C90),"")</f>
        <v/>
      </c>
      <c r="I90" s="128" t="str">
        <f>IFERROR(AVERAGEIFS('Daily Tracking'!$H$6:$H$735,'Daily Tracking'!$A$6:$A$735,"&gt;="&amp;B90,'Daily Tracking'!$A$6:$A$735,"&lt;="&amp;C90),"")</f>
        <v/>
      </c>
      <c r="J90" s="125" t="str">
        <f>IFERROR(AVERAGEIFS('Daily Tracking'!$K$6:$K$735,'Daily Tracking'!$A$6:$A$735,"&gt;="&amp;B90,'Daily Tracking'!$A$6:$A$735,"&lt;="&amp;C90),"")</f>
        <v/>
      </c>
      <c r="K90" s="125" t="str">
        <f>IFERROR(AVERAGEIFS('Daily Tracking'!$G$6:$G$735,'Daily Tracking'!$A$6:$A$735,"&gt;="&amp;B90,'Daily Tracking'!$A$6:$A$735,"&lt;="&amp;C90),"")</f>
        <v/>
      </c>
      <c r="L90" s="129" t="str">
        <f>IF(N90=0,"",SUMIFS('Daily Tracking'!$I$6:$I$735,'Daily Tracking'!$A$6:$A$735,"&gt;="&amp;B90,'Daily Tracking'!$A$6:$A$735,"&lt;="&amp;C90))</f>
        <v/>
      </c>
      <c r="M90" s="129" t="str">
        <f>IF(N90=0,"",COUNTIFS('Daily Tracking'!$A$6:$A$735,"&gt;="&amp;B90,'Daily Tracking'!$A$6:$A$735,"&lt;="&amp;C90,'Daily Tracking'!$J$6:$J$735,"Yes"))</f>
        <v/>
      </c>
      <c r="N90" s="130">
        <f>COUNTIFS('Daily Tracking'!$A$6:$A$735,"&gt;="&amp;B90,'Daily Tracking'!$A$6:$A$735,"&lt;="&amp;C90,'Daily Tracking'!$B$6:$B$735,"&lt;&gt;")</f>
        <v>0</v>
      </c>
      <c r="S90" s="3" t="e">
        <f t="shared" si="2"/>
        <v>#N/A</v>
      </c>
      <c r="T90" s="3" t="e">
        <f t="shared" si="3"/>
        <v>#N/A</v>
      </c>
    </row>
    <row r="91" spans="1:20" ht="18" customHeight="1" x14ac:dyDescent="0.3">
      <c r="A91" s="136">
        <f>A90+1</f>
        <v>86</v>
      </c>
      <c r="B91" s="166">
        <f>Settings!$B$4+(A91-1)*7</f>
        <v>46873</v>
      </c>
      <c r="C91" s="166">
        <f>B91+6</f>
        <v>46879</v>
      </c>
      <c r="D91" s="133" t="str">
        <f>IF(N91=0,"",AVERAGEIFS('Daily Tracking'!$B$6:$B$735,'Daily Tracking'!$A$6:$A$735,"&gt;="&amp;B91,'Daily Tracking'!$A$6:$A$735,"&lt;="&amp;C91))</f>
        <v/>
      </c>
      <c r="E91" s="167" t="str">
        <f>IF(OR(D91="",D90=""),"",D90-D91)</f>
        <v/>
      </c>
      <c r="F91" s="168" t="str">
        <f>IF(E91="","",E91/D90)</f>
        <v/>
      </c>
      <c r="G91" s="134" t="str">
        <f>IFERROR(AVERAGEIFS('Daily Tracking'!$E$6:$E$735,'Daily Tracking'!$A$6:$A$735,"&gt;="&amp;B91,'Daily Tracking'!$A$6:$A$735,"&lt;="&amp;C91),"")</f>
        <v/>
      </c>
      <c r="H91" s="135" t="str">
        <f>IFERROR(AVERAGEIFS('Daily Tracking'!$F$6:$F$735,'Daily Tracking'!$A$6:$A$735,"&gt;="&amp;B91,'Daily Tracking'!$A$6:$A$735,"&lt;="&amp;C91),"")</f>
        <v/>
      </c>
      <c r="I91" s="134" t="str">
        <f>IFERROR(AVERAGEIFS('Daily Tracking'!$H$6:$H$735,'Daily Tracking'!$A$6:$A$735,"&gt;="&amp;B91,'Daily Tracking'!$A$6:$A$735,"&lt;="&amp;C91),"")</f>
        <v/>
      </c>
      <c r="J91" s="133" t="str">
        <f>IFERROR(AVERAGEIFS('Daily Tracking'!$K$6:$K$735,'Daily Tracking'!$A$6:$A$735,"&gt;="&amp;B91,'Daily Tracking'!$A$6:$A$735,"&lt;="&amp;C91),"")</f>
        <v/>
      </c>
      <c r="K91" s="133" t="str">
        <f>IFERROR(AVERAGEIFS('Daily Tracking'!$G$6:$G$735,'Daily Tracking'!$A$6:$A$735,"&gt;="&amp;B91,'Daily Tracking'!$A$6:$A$735,"&lt;="&amp;C91),"")</f>
        <v/>
      </c>
      <c r="L91" s="135" t="str">
        <f>IF(N91=0,"",SUMIFS('Daily Tracking'!$I$6:$I$735,'Daily Tracking'!$A$6:$A$735,"&gt;="&amp;B91,'Daily Tracking'!$A$6:$A$735,"&lt;="&amp;C91))</f>
        <v/>
      </c>
      <c r="M91" s="135" t="str">
        <f>IF(N91=0,"",COUNTIFS('Daily Tracking'!$A$6:$A$735,"&gt;="&amp;B91,'Daily Tracking'!$A$6:$A$735,"&lt;="&amp;C91,'Daily Tracking'!$J$6:$J$735,"Yes"))</f>
        <v/>
      </c>
      <c r="N91" s="136">
        <f>COUNTIFS('Daily Tracking'!$A$6:$A$735,"&gt;="&amp;B91,'Daily Tracking'!$A$6:$A$735,"&lt;="&amp;C91,'Daily Tracking'!$B$6:$B$735,"&lt;&gt;")</f>
        <v>0</v>
      </c>
      <c r="S91" s="3" t="e">
        <f t="shared" si="2"/>
        <v>#N/A</v>
      </c>
      <c r="T91" s="3" t="e">
        <f t="shared" si="3"/>
        <v>#N/A</v>
      </c>
    </row>
    <row r="92" spans="1:20" ht="18" customHeight="1" x14ac:dyDescent="0.3">
      <c r="A92" s="130">
        <f>A91+1</f>
        <v>87</v>
      </c>
      <c r="B92" s="161">
        <f>Settings!$B$4+(A92-1)*7</f>
        <v>46880</v>
      </c>
      <c r="C92" s="161">
        <f>B92+6</f>
        <v>46886</v>
      </c>
      <c r="D92" s="125" t="str">
        <f>IF(N92=0,"",AVERAGEIFS('Daily Tracking'!$B$6:$B$735,'Daily Tracking'!$A$6:$A$735,"&gt;="&amp;B92,'Daily Tracking'!$A$6:$A$735,"&lt;="&amp;C92))</f>
        <v/>
      </c>
      <c r="E92" s="162" t="str">
        <f>IF(OR(D92="",D91=""),"",D91-D92)</f>
        <v/>
      </c>
      <c r="F92" s="163" t="str">
        <f>IF(E92="","",E92/D91)</f>
        <v/>
      </c>
      <c r="G92" s="128" t="str">
        <f>IFERROR(AVERAGEIFS('Daily Tracking'!$E$6:$E$735,'Daily Tracking'!$A$6:$A$735,"&gt;="&amp;B92,'Daily Tracking'!$A$6:$A$735,"&lt;="&amp;C92),"")</f>
        <v/>
      </c>
      <c r="H92" s="129" t="str">
        <f>IFERROR(AVERAGEIFS('Daily Tracking'!$F$6:$F$735,'Daily Tracking'!$A$6:$A$735,"&gt;="&amp;B92,'Daily Tracking'!$A$6:$A$735,"&lt;="&amp;C92),"")</f>
        <v/>
      </c>
      <c r="I92" s="128" t="str">
        <f>IFERROR(AVERAGEIFS('Daily Tracking'!$H$6:$H$735,'Daily Tracking'!$A$6:$A$735,"&gt;="&amp;B92,'Daily Tracking'!$A$6:$A$735,"&lt;="&amp;C92),"")</f>
        <v/>
      </c>
      <c r="J92" s="125" t="str">
        <f>IFERROR(AVERAGEIFS('Daily Tracking'!$K$6:$K$735,'Daily Tracking'!$A$6:$A$735,"&gt;="&amp;B92,'Daily Tracking'!$A$6:$A$735,"&lt;="&amp;C92),"")</f>
        <v/>
      </c>
      <c r="K92" s="125" t="str">
        <f>IFERROR(AVERAGEIFS('Daily Tracking'!$G$6:$G$735,'Daily Tracking'!$A$6:$A$735,"&gt;="&amp;B92,'Daily Tracking'!$A$6:$A$735,"&lt;="&amp;C92),"")</f>
        <v/>
      </c>
      <c r="L92" s="129" t="str">
        <f>IF(N92=0,"",SUMIFS('Daily Tracking'!$I$6:$I$735,'Daily Tracking'!$A$6:$A$735,"&gt;="&amp;B92,'Daily Tracking'!$A$6:$A$735,"&lt;="&amp;C92))</f>
        <v/>
      </c>
      <c r="M92" s="129" t="str">
        <f>IF(N92=0,"",COUNTIFS('Daily Tracking'!$A$6:$A$735,"&gt;="&amp;B92,'Daily Tracking'!$A$6:$A$735,"&lt;="&amp;C92,'Daily Tracking'!$J$6:$J$735,"Yes"))</f>
        <v/>
      </c>
      <c r="N92" s="130">
        <f>COUNTIFS('Daily Tracking'!$A$6:$A$735,"&gt;="&amp;B92,'Daily Tracking'!$A$6:$A$735,"&lt;="&amp;C92,'Daily Tracking'!$B$6:$B$735,"&lt;&gt;")</f>
        <v>0</v>
      </c>
      <c r="S92" s="3" t="e">
        <f t="shared" si="2"/>
        <v>#N/A</v>
      </c>
      <c r="T92" s="3" t="e">
        <f t="shared" si="3"/>
        <v>#N/A</v>
      </c>
    </row>
    <row r="93" spans="1:20" ht="18" customHeight="1" x14ac:dyDescent="0.3">
      <c r="A93" s="136">
        <f>A92+1</f>
        <v>88</v>
      </c>
      <c r="B93" s="166">
        <f>Settings!$B$4+(A93-1)*7</f>
        <v>46887</v>
      </c>
      <c r="C93" s="166">
        <f>B93+6</f>
        <v>46893</v>
      </c>
      <c r="D93" s="133" t="str">
        <f>IF(N93=0,"",AVERAGEIFS('Daily Tracking'!$B$6:$B$735,'Daily Tracking'!$A$6:$A$735,"&gt;="&amp;B93,'Daily Tracking'!$A$6:$A$735,"&lt;="&amp;C93))</f>
        <v/>
      </c>
      <c r="E93" s="167" t="str">
        <f>IF(OR(D93="",D92=""),"",D92-D93)</f>
        <v/>
      </c>
      <c r="F93" s="168" t="str">
        <f>IF(E93="","",E93/D92)</f>
        <v/>
      </c>
      <c r="G93" s="134" t="str">
        <f>IFERROR(AVERAGEIFS('Daily Tracking'!$E$6:$E$735,'Daily Tracking'!$A$6:$A$735,"&gt;="&amp;B93,'Daily Tracking'!$A$6:$A$735,"&lt;="&amp;C93),"")</f>
        <v/>
      </c>
      <c r="H93" s="135" t="str">
        <f>IFERROR(AVERAGEIFS('Daily Tracking'!$F$6:$F$735,'Daily Tracking'!$A$6:$A$735,"&gt;="&amp;B93,'Daily Tracking'!$A$6:$A$735,"&lt;="&amp;C93),"")</f>
        <v/>
      </c>
      <c r="I93" s="134" t="str">
        <f>IFERROR(AVERAGEIFS('Daily Tracking'!$H$6:$H$735,'Daily Tracking'!$A$6:$A$735,"&gt;="&amp;B93,'Daily Tracking'!$A$6:$A$735,"&lt;="&amp;C93),"")</f>
        <v/>
      </c>
      <c r="J93" s="133" t="str">
        <f>IFERROR(AVERAGEIFS('Daily Tracking'!$K$6:$K$735,'Daily Tracking'!$A$6:$A$735,"&gt;="&amp;B93,'Daily Tracking'!$A$6:$A$735,"&lt;="&amp;C93),"")</f>
        <v/>
      </c>
      <c r="K93" s="133" t="str">
        <f>IFERROR(AVERAGEIFS('Daily Tracking'!$G$6:$G$735,'Daily Tracking'!$A$6:$A$735,"&gt;="&amp;B93,'Daily Tracking'!$A$6:$A$735,"&lt;="&amp;C93),"")</f>
        <v/>
      </c>
      <c r="L93" s="135" t="str">
        <f>IF(N93=0,"",SUMIFS('Daily Tracking'!$I$6:$I$735,'Daily Tracking'!$A$6:$A$735,"&gt;="&amp;B93,'Daily Tracking'!$A$6:$A$735,"&lt;="&amp;C93))</f>
        <v/>
      </c>
      <c r="M93" s="135" t="str">
        <f>IF(N93=0,"",COUNTIFS('Daily Tracking'!$A$6:$A$735,"&gt;="&amp;B93,'Daily Tracking'!$A$6:$A$735,"&lt;="&amp;C93,'Daily Tracking'!$J$6:$J$735,"Yes"))</f>
        <v/>
      </c>
      <c r="N93" s="136">
        <f>COUNTIFS('Daily Tracking'!$A$6:$A$735,"&gt;="&amp;B93,'Daily Tracking'!$A$6:$A$735,"&lt;="&amp;C93,'Daily Tracking'!$B$6:$B$735,"&lt;&gt;")</f>
        <v>0</v>
      </c>
      <c r="S93" s="3" t="e">
        <f t="shared" si="2"/>
        <v>#N/A</v>
      </c>
      <c r="T93" s="3" t="e">
        <f t="shared" si="3"/>
        <v>#N/A</v>
      </c>
    </row>
    <row r="94" spans="1:20" ht="18" customHeight="1" x14ac:dyDescent="0.3">
      <c r="A94" s="130">
        <f>A93+1</f>
        <v>89</v>
      </c>
      <c r="B94" s="161">
        <f>Settings!$B$4+(A94-1)*7</f>
        <v>46894</v>
      </c>
      <c r="C94" s="161">
        <f>B94+6</f>
        <v>46900</v>
      </c>
      <c r="D94" s="125" t="str">
        <f>IF(N94=0,"",AVERAGEIFS('Daily Tracking'!$B$6:$B$735,'Daily Tracking'!$A$6:$A$735,"&gt;="&amp;B94,'Daily Tracking'!$A$6:$A$735,"&lt;="&amp;C94))</f>
        <v/>
      </c>
      <c r="E94" s="162" t="str">
        <f>IF(OR(D94="",D93=""),"",D93-D94)</f>
        <v/>
      </c>
      <c r="F94" s="163" t="str">
        <f>IF(E94="","",E94/D93)</f>
        <v/>
      </c>
      <c r="G94" s="128" t="str">
        <f>IFERROR(AVERAGEIFS('Daily Tracking'!$E$6:$E$735,'Daily Tracking'!$A$6:$A$735,"&gt;="&amp;B94,'Daily Tracking'!$A$6:$A$735,"&lt;="&amp;C94),"")</f>
        <v/>
      </c>
      <c r="H94" s="129" t="str">
        <f>IFERROR(AVERAGEIFS('Daily Tracking'!$F$6:$F$735,'Daily Tracking'!$A$6:$A$735,"&gt;="&amp;B94,'Daily Tracking'!$A$6:$A$735,"&lt;="&amp;C94),"")</f>
        <v/>
      </c>
      <c r="I94" s="128" t="str">
        <f>IFERROR(AVERAGEIFS('Daily Tracking'!$H$6:$H$735,'Daily Tracking'!$A$6:$A$735,"&gt;="&amp;B94,'Daily Tracking'!$A$6:$A$735,"&lt;="&amp;C94),"")</f>
        <v/>
      </c>
      <c r="J94" s="125" t="str">
        <f>IFERROR(AVERAGEIFS('Daily Tracking'!$K$6:$K$735,'Daily Tracking'!$A$6:$A$735,"&gt;="&amp;B94,'Daily Tracking'!$A$6:$A$735,"&lt;="&amp;C94),"")</f>
        <v/>
      </c>
      <c r="K94" s="125" t="str">
        <f>IFERROR(AVERAGEIFS('Daily Tracking'!$G$6:$G$735,'Daily Tracking'!$A$6:$A$735,"&gt;="&amp;B94,'Daily Tracking'!$A$6:$A$735,"&lt;="&amp;C94),"")</f>
        <v/>
      </c>
      <c r="L94" s="129" t="str">
        <f>IF(N94=0,"",SUMIFS('Daily Tracking'!$I$6:$I$735,'Daily Tracking'!$A$6:$A$735,"&gt;="&amp;B94,'Daily Tracking'!$A$6:$A$735,"&lt;="&amp;C94))</f>
        <v/>
      </c>
      <c r="M94" s="129" t="str">
        <f>IF(N94=0,"",COUNTIFS('Daily Tracking'!$A$6:$A$735,"&gt;="&amp;B94,'Daily Tracking'!$A$6:$A$735,"&lt;="&amp;C94,'Daily Tracking'!$J$6:$J$735,"Yes"))</f>
        <v/>
      </c>
      <c r="N94" s="130">
        <f>COUNTIFS('Daily Tracking'!$A$6:$A$735,"&gt;="&amp;B94,'Daily Tracking'!$A$6:$A$735,"&lt;="&amp;C94,'Daily Tracking'!$B$6:$B$735,"&lt;&gt;")</f>
        <v>0</v>
      </c>
      <c r="S94" s="3" t="e">
        <f t="shared" si="2"/>
        <v>#N/A</v>
      </c>
      <c r="T94" s="3" t="e">
        <f t="shared" si="3"/>
        <v>#N/A</v>
      </c>
    </row>
    <row r="95" spans="1:20" ht="18" customHeight="1" x14ac:dyDescent="0.3">
      <c r="A95" s="136">
        <f>A94+1</f>
        <v>90</v>
      </c>
      <c r="B95" s="166">
        <f>Settings!$B$4+(A95-1)*7</f>
        <v>46901</v>
      </c>
      <c r="C95" s="166">
        <f>B95+6</f>
        <v>46907</v>
      </c>
      <c r="D95" s="133" t="str">
        <f>IF(N95=0,"",AVERAGEIFS('Daily Tracking'!$B$6:$B$735,'Daily Tracking'!$A$6:$A$735,"&gt;="&amp;B95,'Daily Tracking'!$A$6:$A$735,"&lt;="&amp;C95))</f>
        <v/>
      </c>
      <c r="E95" s="167" t="str">
        <f>IF(OR(D95="",D94=""),"",D94-D95)</f>
        <v/>
      </c>
      <c r="F95" s="168" t="str">
        <f>IF(E95="","",E95/D94)</f>
        <v/>
      </c>
      <c r="G95" s="134" t="str">
        <f>IFERROR(AVERAGEIFS('Daily Tracking'!$E$6:$E$735,'Daily Tracking'!$A$6:$A$735,"&gt;="&amp;B95,'Daily Tracking'!$A$6:$A$735,"&lt;="&amp;C95),"")</f>
        <v/>
      </c>
      <c r="H95" s="135" t="str">
        <f>IFERROR(AVERAGEIFS('Daily Tracking'!$F$6:$F$735,'Daily Tracking'!$A$6:$A$735,"&gt;="&amp;B95,'Daily Tracking'!$A$6:$A$735,"&lt;="&amp;C95),"")</f>
        <v/>
      </c>
      <c r="I95" s="134" t="str">
        <f>IFERROR(AVERAGEIFS('Daily Tracking'!$H$6:$H$735,'Daily Tracking'!$A$6:$A$735,"&gt;="&amp;B95,'Daily Tracking'!$A$6:$A$735,"&lt;="&amp;C95),"")</f>
        <v/>
      </c>
      <c r="J95" s="133" t="str">
        <f>IFERROR(AVERAGEIFS('Daily Tracking'!$K$6:$K$735,'Daily Tracking'!$A$6:$A$735,"&gt;="&amp;B95,'Daily Tracking'!$A$6:$A$735,"&lt;="&amp;C95),"")</f>
        <v/>
      </c>
      <c r="K95" s="133" t="str">
        <f>IFERROR(AVERAGEIFS('Daily Tracking'!$G$6:$G$735,'Daily Tracking'!$A$6:$A$735,"&gt;="&amp;B95,'Daily Tracking'!$A$6:$A$735,"&lt;="&amp;C95),"")</f>
        <v/>
      </c>
      <c r="L95" s="135" t="str">
        <f>IF(N95=0,"",SUMIFS('Daily Tracking'!$I$6:$I$735,'Daily Tracking'!$A$6:$A$735,"&gt;="&amp;B95,'Daily Tracking'!$A$6:$A$735,"&lt;="&amp;C95))</f>
        <v/>
      </c>
      <c r="M95" s="135" t="str">
        <f>IF(N95=0,"",COUNTIFS('Daily Tracking'!$A$6:$A$735,"&gt;="&amp;B95,'Daily Tracking'!$A$6:$A$735,"&lt;="&amp;C95,'Daily Tracking'!$J$6:$J$735,"Yes"))</f>
        <v/>
      </c>
      <c r="N95" s="136">
        <f>COUNTIFS('Daily Tracking'!$A$6:$A$735,"&gt;="&amp;B95,'Daily Tracking'!$A$6:$A$735,"&lt;="&amp;C95,'Daily Tracking'!$B$6:$B$735,"&lt;&gt;")</f>
        <v>0</v>
      </c>
      <c r="S95" s="3" t="e">
        <f t="shared" si="2"/>
        <v>#N/A</v>
      </c>
      <c r="T95" s="3" t="e">
        <f t="shared" si="3"/>
        <v>#N/A</v>
      </c>
    </row>
    <row r="96" spans="1:20" ht="18" customHeight="1" x14ac:dyDescent="0.3">
      <c r="A96" s="130">
        <f>A95+1</f>
        <v>91</v>
      </c>
      <c r="B96" s="161">
        <f>Settings!$B$4+(A96-1)*7</f>
        <v>46908</v>
      </c>
      <c r="C96" s="161">
        <f>B96+6</f>
        <v>46914</v>
      </c>
      <c r="D96" s="125" t="str">
        <f>IF(N96=0,"",AVERAGEIFS('Daily Tracking'!$B$6:$B$735,'Daily Tracking'!$A$6:$A$735,"&gt;="&amp;B96,'Daily Tracking'!$A$6:$A$735,"&lt;="&amp;C96))</f>
        <v/>
      </c>
      <c r="E96" s="162" t="str">
        <f>IF(OR(D96="",D95=""),"",D95-D96)</f>
        <v/>
      </c>
      <c r="F96" s="163" t="str">
        <f>IF(E96="","",E96/D95)</f>
        <v/>
      </c>
      <c r="G96" s="128" t="str">
        <f>IFERROR(AVERAGEIFS('Daily Tracking'!$E$6:$E$735,'Daily Tracking'!$A$6:$A$735,"&gt;="&amp;B96,'Daily Tracking'!$A$6:$A$735,"&lt;="&amp;C96),"")</f>
        <v/>
      </c>
      <c r="H96" s="129" t="str">
        <f>IFERROR(AVERAGEIFS('Daily Tracking'!$F$6:$F$735,'Daily Tracking'!$A$6:$A$735,"&gt;="&amp;B96,'Daily Tracking'!$A$6:$A$735,"&lt;="&amp;C96),"")</f>
        <v/>
      </c>
      <c r="I96" s="128" t="str">
        <f>IFERROR(AVERAGEIFS('Daily Tracking'!$H$6:$H$735,'Daily Tracking'!$A$6:$A$735,"&gt;="&amp;B96,'Daily Tracking'!$A$6:$A$735,"&lt;="&amp;C96),"")</f>
        <v/>
      </c>
      <c r="J96" s="125" t="str">
        <f>IFERROR(AVERAGEIFS('Daily Tracking'!$K$6:$K$735,'Daily Tracking'!$A$6:$A$735,"&gt;="&amp;B96,'Daily Tracking'!$A$6:$A$735,"&lt;="&amp;C96),"")</f>
        <v/>
      </c>
      <c r="K96" s="125" t="str">
        <f>IFERROR(AVERAGEIFS('Daily Tracking'!$G$6:$G$735,'Daily Tracking'!$A$6:$A$735,"&gt;="&amp;B96,'Daily Tracking'!$A$6:$A$735,"&lt;="&amp;C96),"")</f>
        <v/>
      </c>
      <c r="L96" s="129" t="str">
        <f>IF(N96=0,"",SUMIFS('Daily Tracking'!$I$6:$I$735,'Daily Tracking'!$A$6:$A$735,"&gt;="&amp;B96,'Daily Tracking'!$A$6:$A$735,"&lt;="&amp;C96))</f>
        <v/>
      </c>
      <c r="M96" s="129" t="str">
        <f>IF(N96=0,"",COUNTIFS('Daily Tracking'!$A$6:$A$735,"&gt;="&amp;B96,'Daily Tracking'!$A$6:$A$735,"&lt;="&amp;C96,'Daily Tracking'!$J$6:$J$735,"Yes"))</f>
        <v/>
      </c>
      <c r="N96" s="130">
        <f>COUNTIFS('Daily Tracking'!$A$6:$A$735,"&gt;="&amp;B96,'Daily Tracking'!$A$6:$A$735,"&lt;="&amp;C96,'Daily Tracking'!$B$6:$B$735,"&lt;&gt;")</f>
        <v>0</v>
      </c>
      <c r="S96" s="3" t="e">
        <f t="shared" si="2"/>
        <v>#N/A</v>
      </c>
      <c r="T96" s="3" t="e">
        <f t="shared" si="3"/>
        <v>#N/A</v>
      </c>
    </row>
    <row r="97" spans="1:20" ht="18" customHeight="1" x14ac:dyDescent="0.3">
      <c r="A97" s="136">
        <f>A96+1</f>
        <v>92</v>
      </c>
      <c r="B97" s="166">
        <f>Settings!$B$4+(A97-1)*7</f>
        <v>46915</v>
      </c>
      <c r="C97" s="166">
        <f>B97+6</f>
        <v>46921</v>
      </c>
      <c r="D97" s="133" t="str">
        <f>IF(N97=0,"",AVERAGEIFS('Daily Tracking'!$B$6:$B$735,'Daily Tracking'!$A$6:$A$735,"&gt;="&amp;B97,'Daily Tracking'!$A$6:$A$735,"&lt;="&amp;C97))</f>
        <v/>
      </c>
      <c r="E97" s="167" t="str">
        <f>IF(OR(D97="",D96=""),"",D96-D97)</f>
        <v/>
      </c>
      <c r="F97" s="168" t="str">
        <f>IF(E97="","",E97/D96)</f>
        <v/>
      </c>
      <c r="G97" s="134" t="str">
        <f>IFERROR(AVERAGEIFS('Daily Tracking'!$E$6:$E$735,'Daily Tracking'!$A$6:$A$735,"&gt;="&amp;B97,'Daily Tracking'!$A$6:$A$735,"&lt;="&amp;C97),"")</f>
        <v/>
      </c>
      <c r="H97" s="135" t="str">
        <f>IFERROR(AVERAGEIFS('Daily Tracking'!$F$6:$F$735,'Daily Tracking'!$A$6:$A$735,"&gt;="&amp;B97,'Daily Tracking'!$A$6:$A$735,"&lt;="&amp;C97),"")</f>
        <v/>
      </c>
      <c r="I97" s="134" t="str">
        <f>IFERROR(AVERAGEIFS('Daily Tracking'!$H$6:$H$735,'Daily Tracking'!$A$6:$A$735,"&gt;="&amp;B97,'Daily Tracking'!$A$6:$A$735,"&lt;="&amp;C97),"")</f>
        <v/>
      </c>
      <c r="J97" s="133" t="str">
        <f>IFERROR(AVERAGEIFS('Daily Tracking'!$K$6:$K$735,'Daily Tracking'!$A$6:$A$735,"&gt;="&amp;B97,'Daily Tracking'!$A$6:$A$735,"&lt;="&amp;C97),"")</f>
        <v/>
      </c>
      <c r="K97" s="133" t="str">
        <f>IFERROR(AVERAGEIFS('Daily Tracking'!$G$6:$G$735,'Daily Tracking'!$A$6:$A$735,"&gt;="&amp;B97,'Daily Tracking'!$A$6:$A$735,"&lt;="&amp;C97),"")</f>
        <v/>
      </c>
      <c r="L97" s="135" t="str">
        <f>IF(N97=0,"",SUMIFS('Daily Tracking'!$I$6:$I$735,'Daily Tracking'!$A$6:$A$735,"&gt;="&amp;B97,'Daily Tracking'!$A$6:$A$735,"&lt;="&amp;C97))</f>
        <v/>
      </c>
      <c r="M97" s="135" t="str">
        <f>IF(N97=0,"",COUNTIFS('Daily Tracking'!$A$6:$A$735,"&gt;="&amp;B97,'Daily Tracking'!$A$6:$A$735,"&lt;="&amp;C97,'Daily Tracking'!$J$6:$J$735,"Yes"))</f>
        <v/>
      </c>
      <c r="N97" s="136">
        <f>COUNTIFS('Daily Tracking'!$A$6:$A$735,"&gt;="&amp;B97,'Daily Tracking'!$A$6:$A$735,"&lt;="&amp;C97,'Daily Tracking'!$B$6:$B$735,"&lt;&gt;")</f>
        <v>0</v>
      </c>
      <c r="S97" s="3" t="e">
        <f t="shared" si="2"/>
        <v>#N/A</v>
      </c>
      <c r="T97" s="3" t="e">
        <f t="shared" si="3"/>
        <v>#N/A</v>
      </c>
    </row>
    <row r="98" spans="1:20" ht="18" customHeight="1" x14ac:dyDescent="0.3">
      <c r="A98" s="130">
        <f>A97+1</f>
        <v>93</v>
      </c>
      <c r="B98" s="161">
        <f>Settings!$B$4+(A98-1)*7</f>
        <v>46922</v>
      </c>
      <c r="C98" s="161">
        <f>B98+6</f>
        <v>46928</v>
      </c>
      <c r="D98" s="125" t="str">
        <f>IF(N98=0,"",AVERAGEIFS('Daily Tracking'!$B$6:$B$735,'Daily Tracking'!$A$6:$A$735,"&gt;="&amp;B98,'Daily Tracking'!$A$6:$A$735,"&lt;="&amp;C98))</f>
        <v/>
      </c>
      <c r="E98" s="162" t="str">
        <f>IF(OR(D98="",D97=""),"",D97-D98)</f>
        <v/>
      </c>
      <c r="F98" s="163" t="str">
        <f>IF(E98="","",E98/D97)</f>
        <v/>
      </c>
      <c r="G98" s="128" t="str">
        <f>IFERROR(AVERAGEIFS('Daily Tracking'!$E$6:$E$735,'Daily Tracking'!$A$6:$A$735,"&gt;="&amp;B98,'Daily Tracking'!$A$6:$A$735,"&lt;="&amp;C98),"")</f>
        <v/>
      </c>
      <c r="H98" s="129" t="str">
        <f>IFERROR(AVERAGEIFS('Daily Tracking'!$F$6:$F$735,'Daily Tracking'!$A$6:$A$735,"&gt;="&amp;B98,'Daily Tracking'!$A$6:$A$735,"&lt;="&amp;C98),"")</f>
        <v/>
      </c>
      <c r="I98" s="128" t="str">
        <f>IFERROR(AVERAGEIFS('Daily Tracking'!$H$6:$H$735,'Daily Tracking'!$A$6:$A$735,"&gt;="&amp;B98,'Daily Tracking'!$A$6:$A$735,"&lt;="&amp;C98),"")</f>
        <v/>
      </c>
      <c r="J98" s="125" t="str">
        <f>IFERROR(AVERAGEIFS('Daily Tracking'!$K$6:$K$735,'Daily Tracking'!$A$6:$A$735,"&gt;="&amp;B98,'Daily Tracking'!$A$6:$A$735,"&lt;="&amp;C98),"")</f>
        <v/>
      </c>
      <c r="K98" s="125" t="str">
        <f>IFERROR(AVERAGEIFS('Daily Tracking'!$G$6:$G$735,'Daily Tracking'!$A$6:$A$735,"&gt;="&amp;B98,'Daily Tracking'!$A$6:$A$735,"&lt;="&amp;C98),"")</f>
        <v/>
      </c>
      <c r="L98" s="129" t="str">
        <f>IF(N98=0,"",SUMIFS('Daily Tracking'!$I$6:$I$735,'Daily Tracking'!$A$6:$A$735,"&gt;="&amp;B98,'Daily Tracking'!$A$6:$A$735,"&lt;="&amp;C98))</f>
        <v/>
      </c>
      <c r="M98" s="129" t="str">
        <f>IF(N98=0,"",COUNTIFS('Daily Tracking'!$A$6:$A$735,"&gt;="&amp;B98,'Daily Tracking'!$A$6:$A$735,"&lt;="&amp;C98,'Daily Tracking'!$J$6:$J$735,"Yes"))</f>
        <v/>
      </c>
      <c r="N98" s="130">
        <f>COUNTIFS('Daily Tracking'!$A$6:$A$735,"&gt;="&amp;B98,'Daily Tracking'!$A$6:$A$735,"&lt;="&amp;C98,'Daily Tracking'!$B$6:$B$735,"&lt;&gt;")</f>
        <v>0</v>
      </c>
      <c r="S98" s="3" t="e">
        <f t="shared" si="2"/>
        <v>#N/A</v>
      </c>
      <c r="T98" s="3" t="e">
        <f t="shared" si="3"/>
        <v>#N/A</v>
      </c>
    </row>
    <row r="99" spans="1:20" ht="18" customHeight="1" x14ac:dyDescent="0.3">
      <c r="A99" s="136">
        <f>A98+1</f>
        <v>94</v>
      </c>
      <c r="B99" s="166">
        <f>Settings!$B$4+(A99-1)*7</f>
        <v>46929</v>
      </c>
      <c r="C99" s="166">
        <f>B99+6</f>
        <v>46935</v>
      </c>
      <c r="D99" s="133" t="str">
        <f>IF(N99=0,"",AVERAGEIFS('Daily Tracking'!$B$6:$B$735,'Daily Tracking'!$A$6:$A$735,"&gt;="&amp;B99,'Daily Tracking'!$A$6:$A$735,"&lt;="&amp;C99))</f>
        <v/>
      </c>
      <c r="E99" s="167" t="str">
        <f>IF(OR(D99="",D98=""),"",D98-D99)</f>
        <v/>
      </c>
      <c r="F99" s="168" t="str">
        <f>IF(E99="","",E99/D98)</f>
        <v/>
      </c>
      <c r="G99" s="134" t="str">
        <f>IFERROR(AVERAGEIFS('Daily Tracking'!$E$6:$E$735,'Daily Tracking'!$A$6:$A$735,"&gt;="&amp;B99,'Daily Tracking'!$A$6:$A$735,"&lt;="&amp;C99),"")</f>
        <v/>
      </c>
      <c r="H99" s="135" t="str">
        <f>IFERROR(AVERAGEIFS('Daily Tracking'!$F$6:$F$735,'Daily Tracking'!$A$6:$A$735,"&gt;="&amp;B99,'Daily Tracking'!$A$6:$A$735,"&lt;="&amp;C99),"")</f>
        <v/>
      </c>
      <c r="I99" s="134" t="str">
        <f>IFERROR(AVERAGEIFS('Daily Tracking'!$H$6:$H$735,'Daily Tracking'!$A$6:$A$735,"&gt;="&amp;B99,'Daily Tracking'!$A$6:$A$735,"&lt;="&amp;C99),"")</f>
        <v/>
      </c>
      <c r="J99" s="133" t="str">
        <f>IFERROR(AVERAGEIFS('Daily Tracking'!$K$6:$K$735,'Daily Tracking'!$A$6:$A$735,"&gt;="&amp;B99,'Daily Tracking'!$A$6:$A$735,"&lt;="&amp;C99),"")</f>
        <v/>
      </c>
      <c r="K99" s="133" t="str">
        <f>IFERROR(AVERAGEIFS('Daily Tracking'!$G$6:$G$735,'Daily Tracking'!$A$6:$A$735,"&gt;="&amp;B99,'Daily Tracking'!$A$6:$A$735,"&lt;="&amp;C99),"")</f>
        <v/>
      </c>
      <c r="L99" s="135" t="str">
        <f>IF(N99=0,"",SUMIFS('Daily Tracking'!$I$6:$I$735,'Daily Tracking'!$A$6:$A$735,"&gt;="&amp;B99,'Daily Tracking'!$A$6:$A$735,"&lt;="&amp;C99))</f>
        <v/>
      </c>
      <c r="M99" s="135" t="str">
        <f>IF(N99=0,"",COUNTIFS('Daily Tracking'!$A$6:$A$735,"&gt;="&amp;B99,'Daily Tracking'!$A$6:$A$735,"&lt;="&amp;C99,'Daily Tracking'!$J$6:$J$735,"Yes"))</f>
        <v/>
      </c>
      <c r="N99" s="136">
        <f>COUNTIFS('Daily Tracking'!$A$6:$A$735,"&gt;="&amp;B99,'Daily Tracking'!$A$6:$A$735,"&lt;="&amp;C99,'Daily Tracking'!$B$6:$B$735,"&lt;&gt;")</f>
        <v>0</v>
      </c>
      <c r="S99" s="3" t="e">
        <f t="shared" si="2"/>
        <v>#N/A</v>
      </c>
      <c r="T99" s="3" t="e">
        <f t="shared" si="3"/>
        <v>#N/A</v>
      </c>
    </row>
    <row r="100" spans="1:20" ht="18" customHeight="1" x14ac:dyDescent="0.3">
      <c r="A100" s="130">
        <f>A99+1</f>
        <v>95</v>
      </c>
      <c r="B100" s="161">
        <f>Settings!$B$4+(A100-1)*7</f>
        <v>46936</v>
      </c>
      <c r="C100" s="161">
        <f>B100+6</f>
        <v>46942</v>
      </c>
      <c r="D100" s="125" t="str">
        <f>IF(N100=0,"",AVERAGEIFS('Daily Tracking'!$B$6:$B$735,'Daily Tracking'!$A$6:$A$735,"&gt;="&amp;B100,'Daily Tracking'!$A$6:$A$735,"&lt;="&amp;C100))</f>
        <v/>
      </c>
      <c r="E100" s="162" t="str">
        <f>IF(OR(D100="",D99=""),"",D99-D100)</f>
        <v/>
      </c>
      <c r="F100" s="163" t="str">
        <f>IF(E100="","",E100/D99)</f>
        <v/>
      </c>
      <c r="G100" s="128" t="str">
        <f>IFERROR(AVERAGEIFS('Daily Tracking'!$E$6:$E$735,'Daily Tracking'!$A$6:$A$735,"&gt;="&amp;B100,'Daily Tracking'!$A$6:$A$735,"&lt;="&amp;C100),"")</f>
        <v/>
      </c>
      <c r="H100" s="129" t="str">
        <f>IFERROR(AVERAGEIFS('Daily Tracking'!$F$6:$F$735,'Daily Tracking'!$A$6:$A$735,"&gt;="&amp;B100,'Daily Tracking'!$A$6:$A$735,"&lt;="&amp;C100),"")</f>
        <v/>
      </c>
      <c r="I100" s="128" t="str">
        <f>IFERROR(AVERAGEIFS('Daily Tracking'!$H$6:$H$735,'Daily Tracking'!$A$6:$A$735,"&gt;="&amp;B100,'Daily Tracking'!$A$6:$A$735,"&lt;="&amp;C100),"")</f>
        <v/>
      </c>
      <c r="J100" s="125" t="str">
        <f>IFERROR(AVERAGEIFS('Daily Tracking'!$K$6:$K$735,'Daily Tracking'!$A$6:$A$735,"&gt;="&amp;B100,'Daily Tracking'!$A$6:$A$735,"&lt;="&amp;C100),"")</f>
        <v/>
      </c>
      <c r="K100" s="125" t="str">
        <f>IFERROR(AVERAGEIFS('Daily Tracking'!$G$6:$G$735,'Daily Tracking'!$A$6:$A$735,"&gt;="&amp;B100,'Daily Tracking'!$A$6:$A$735,"&lt;="&amp;C100),"")</f>
        <v/>
      </c>
      <c r="L100" s="129" t="str">
        <f>IF(N100=0,"",SUMIFS('Daily Tracking'!$I$6:$I$735,'Daily Tracking'!$A$6:$A$735,"&gt;="&amp;B100,'Daily Tracking'!$A$6:$A$735,"&lt;="&amp;C100))</f>
        <v/>
      </c>
      <c r="M100" s="129" t="str">
        <f>IF(N100=0,"",COUNTIFS('Daily Tracking'!$A$6:$A$735,"&gt;="&amp;B100,'Daily Tracking'!$A$6:$A$735,"&lt;="&amp;C100,'Daily Tracking'!$J$6:$J$735,"Yes"))</f>
        <v/>
      </c>
      <c r="N100" s="130">
        <f>COUNTIFS('Daily Tracking'!$A$6:$A$735,"&gt;="&amp;B100,'Daily Tracking'!$A$6:$A$735,"&lt;="&amp;C100,'Daily Tracking'!$B$6:$B$735,"&lt;&gt;")</f>
        <v>0</v>
      </c>
      <c r="S100" s="3" t="e">
        <f t="shared" si="2"/>
        <v>#N/A</v>
      </c>
      <c r="T100" s="3" t="e">
        <f t="shared" si="3"/>
        <v>#N/A</v>
      </c>
    </row>
    <row r="101" spans="1:20" ht="18" customHeight="1" x14ac:dyDescent="0.3">
      <c r="A101" s="136">
        <f>A100+1</f>
        <v>96</v>
      </c>
      <c r="B101" s="166">
        <f>Settings!$B$4+(A101-1)*7</f>
        <v>46943</v>
      </c>
      <c r="C101" s="166">
        <f>B101+6</f>
        <v>46949</v>
      </c>
      <c r="D101" s="133" t="str">
        <f>IF(N101=0,"",AVERAGEIFS('Daily Tracking'!$B$6:$B$735,'Daily Tracking'!$A$6:$A$735,"&gt;="&amp;B101,'Daily Tracking'!$A$6:$A$735,"&lt;="&amp;C101))</f>
        <v/>
      </c>
      <c r="E101" s="167" t="str">
        <f>IF(OR(D101="",D100=""),"",D100-D101)</f>
        <v/>
      </c>
      <c r="F101" s="168" t="str">
        <f>IF(E101="","",E101/D100)</f>
        <v/>
      </c>
      <c r="G101" s="134" t="str">
        <f>IFERROR(AVERAGEIFS('Daily Tracking'!$E$6:$E$735,'Daily Tracking'!$A$6:$A$735,"&gt;="&amp;B101,'Daily Tracking'!$A$6:$A$735,"&lt;="&amp;C101),"")</f>
        <v/>
      </c>
      <c r="H101" s="135" t="str">
        <f>IFERROR(AVERAGEIFS('Daily Tracking'!$F$6:$F$735,'Daily Tracking'!$A$6:$A$735,"&gt;="&amp;B101,'Daily Tracking'!$A$6:$A$735,"&lt;="&amp;C101),"")</f>
        <v/>
      </c>
      <c r="I101" s="134" t="str">
        <f>IFERROR(AVERAGEIFS('Daily Tracking'!$H$6:$H$735,'Daily Tracking'!$A$6:$A$735,"&gt;="&amp;B101,'Daily Tracking'!$A$6:$A$735,"&lt;="&amp;C101),"")</f>
        <v/>
      </c>
      <c r="J101" s="133" t="str">
        <f>IFERROR(AVERAGEIFS('Daily Tracking'!$K$6:$K$735,'Daily Tracking'!$A$6:$A$735,"&gt;="&amp;B101,'Daily Tracking'!$A$6:$A$735,"&lt;="&amp;C101),"")</f>
        <v/>
      </c>
      <c r="K101" s="133" t="str">
        <f>IFERROR(AVERAGEIFS('Daily Tracking'!$G$6:$G$735,'Daily Tracking'!$A$6:$A$735,"&gt;="&amp;B101,'Daily Tracking'!$A$6:$A$735,"&lt;="&amp;C101),"")</f>
        <v/>
      </c>
      <c r="L101" s="135" t="str">
        <f>IF(N101=0,"",SUMIFS('Daily Tracking'!$I$6:$I$735,'Daily Tracking'!$A$6:$A$735,"&gt;="&amp;B101,'Daily Tracking'!$A$6:$A$735,"&lt;="&amp;C101))</f>
        <v/>
      </c>
      <c r="M101" s="135" t="str">
        <f>IF(N101=0,"",COUNTIFS('Daily Tracking'!$A$6:$A$735,"&gt;="&amp;B101,'Daily Tracking'!$A$6:$A$735,"&lt;="&amp;C101,'Daily Tracking'!$J$6:$J$735,"Yes"))</f>
        <v/>
      </c>
      <c r="N101" s="136">
        <f>COUNTIFS('Daily Tracking'!$A$6:$A$735,"&gt;="&amp;B101,'Daily Tracking'!$A$6:$A$735,"&lt;="&amp;C101,'Daily Tracking'!$B$6:$B$735,"&lt;&gt;")</f>
        <v>0</v>
      </c>
      <c r="S101" s="3" t="e">
        <f t="shared" si="2"/>
        <v>#N/A</v>
      </c>
      <c r="T101" s="3" t="e">
        <f t="shared" si="3"/>
        <v>#N/A</v>
      </c>
    </row>
    <row r="102" spans="1:20" ht="18" customHeight="1" x14ac:dyDescent="0.3">
      <c r="A102" s="130">
        <f>A101+1</f>
        <v>97</v>
      </c>
      <c r="B102" s="161">
        <f>Settings!$B$4+(A102-1)*7</f>
        <v>46950</v>
      </c>
      <c r="C102" s="161">
        <f>B102+6</f>
        <v>46956</v>
      </c>
      <c r="D102" s="125" t="str">
        <f>IF(N102=0,"",AVERAGEIFS('Daily Tracking'!$B$6:$B$735,'Daily Tracking'!$A$6:$A$735,"&gt;="&amp;B102,'Daily Tracking'!$A$6:$A$735,"&lt;="&amp;C102))</f>
        <v/>
      </c>
      <c r="E102" s="162" t="str">
        <f>IF(OR(D102="",D101=""),"",D101-D102)</f>
        <v/>
      </c>
      <c r="F102" s="163" t="str">
        <f>IF(E102="","",E102/D101)</f>
        <v/>
      </c>
      <c r="G102" s="128" t="str">
        <f>IFERROR(AVERAGEIFS('Daily Tracking'!$E$6:$E$735,'Daily Tracking'!$A$6:$A$735,"&gt;="&amp;B102,'Daily Tracking'!$A$6:$A$735,"&lt;="&amp;C102),"")</f>
        <v/>
      </c>
      <c r="H102" s="129" t="str">
        <f>IFERROR(AVERAGEIFS('Daily Tracking'!$F$6:$F$735,'Daily Tracking'!$A$6:$A$735,"&gt;="&amp;B102,'Daily Tracking'!$A$6:$A$735,"&lt;="&amp;C102),"")</f>
        <v/>
      </c>
      <c r="I102" s="128" t="str">
        <f>IFERROR(AVERAGEIFS('Daily Tracking'!$H$6:$H$735,'Daily Tracking'!$A$6:$A$735,"&gt;="&amp;B102,'Daily Tracking'!$A$6:$A$735,"&lt;="&amp;C102),"")</f>
        <v/>
      </c>
      <c r="J102" s="125" t="str">
        <f>IFERROR(AVERAGEIFS('Daily Tracking'!$K$6:$K$735,'Daily Tracking'!$A$6:$A$735,"&gt;="&amp;B102,'Daily Tracking'!$A$6:$A$735,"&lt;="&amp;C102),"")</f>
        <v/>
      </c>
      <c r="K102" s="125" t="str">
        <f>IFERROR(AVERAGEIFS('Daily Tracking'!$G$6:$G$735,'Daily Tracking'!$A$6:$A$735,"&gt;="&amp;B102,'Daily Tracking'!$A$6:$A$735,"&lt;="&amp;C102),"")</f>
        <v/>
      </c>
      <c r="L102" s="129" t="str">
        <f>IF(N102=0,"",SUMIFS('Daily Tracking'!$I$6:$I$735,'Daily Tracking'!$A$6:$A$735,"&gt;="&amp;B102,'Daily Tracking'!$A$6:$A$735,"&lt;="&amp;C102))</f>
        <v/>
      </c>
      <c r="M102" s="129" t="str">
        <f>IF(N102=0,"",COUNTIFS('Daily Tracking'!$A$6:$A$735,"&gt;="&amp;B102,'Daily Tracking'!$A$6:$A$735,"&lt;="&amp;C102,'Daily Tracking'!$J$6:$J$735,"Yes"))</f>
        <v/>
      </c>
      <c r="N102" s="130">
        <f>COUNTIFS('Daily Tracking'!$A$6:$A$735,"&gt;="&amp;B102,'Daily Tracking'!$A$6:$A$735,"&lt;="&amp;C102,'Daily Tracking'!$B$6:$B$735,"&lt;&gt;")</f>
        <v>0</v>
      </c>
      <c r="S102" s="3" t="e">
        <f t="shared" si="2"/>
        <v>#N/A</v>
      </c>
      <c r="T102" s="3" t="e">
        <f t="shared" si="3"/>
        <v>#N/A</v>
      </c>
    </row>
    <row r="103" spans="1:20" ht="18" customHeight="1" x14ac:dyDescent="0.3">
      <c r="A103" s="136">
        <f>A102+1</f>
        <v>98</v>
      </c>
      <c r="B103" s="166">
        <f>Settings!$B$4+(A103-1)*7</f>
        <v>46957</v>
      </c>
      <c r="C103" s="166">
        <f>B103+6</f>
        <v>46963</v>
      </c>
      <c r="D103" s="133" t="str">
        <f>IF(N103=0,"",AVERAGEIFS('Daily Tracking'!$B$6:$B$735,'Daily Tracking'!$A$6:$A$735,"&gt;="&amp;B103,'Daily Tracking'!$A$6:$A$735,"&lt;="&amp;C103))</f>
        <v/>
      </c>
      <c r="E103" s="167" t="str">
        <f>IF(OR(D103="",D102=""),"",D102-D103)</f>
        <v/>
      </c>
      <c r="F103" s="168" t="str">
        <f>IF(E103="","",E103/D102)</f>
        <v/>
      </c>
      <c r="G103" s="134" t="str">
        <f>IFERROR(AVERAGEIFS('Daily Tracking'!$E$6:$E$735,'Daily Tracking'!$A$6:$A$735,"&gt;="&amp;B103,'Daily Tracking'!$A$6:$A$735,"&lt;="&amp;C103),"")</f>
        <v/>
      </c>
      <c r="H103" s="135" t="str">
        <f>IFERROR(AVERAGEIFS('Daily Tracking'!$F$6:$F$735,'Daily Tracking'!$A$6:$A$735,"&gt;="&amp;B103,'Daily Tracking'!$A$6:$A$735,"&lt;="&amp;C103),"")</f>
        <v/>
      </c>
      <c r="I103" s="134" t="str">
        <f>IFERROR(AVERAGEIFS('Daily Tracking'!$H$6:$H$735,'Daily Tracking'!$A$6:$A$735,"&gt;="&amp;B103,'Daily Tracking'!$A$6:$A$735,"&lt;="&amp;C103),"")</f>
        <v/>
      </c>
      <c r="J103" s="133" t="str">
        <f>IFERROR(AVERAGEIFS('Daily Tracking'!$K$6:$K$735,'Daily Tracking'!$A$6:$A$735,"&gt;="&amp;B103,'Daily Tracking'!$A$6:$A$735,"&lt;="&amp;C103),"")</f>
        <v/>
      </c>
      <c r="K103" s="133" t="str">
        <f>IFERROR(AVERAGEIFS('Daily Tracking'!$G$6:$G$735,'Daily Tracking'!$A$6:$A$735,"&gt;="&amp;B103,'Daily Tracking'!$A$6:$A$735,"&lt;="&amp;C103),"")</f>
        <v/>
      </c>
      <c r="L103" s="135" t="str">
        <f>IF(N103=0,"",SUMIFS('Daily Tracking'!$I$6:$I$735,'Daily Tracking'!$A$6:$A$735,"&gt;="&amp;B103,'Daily Tracking'!$A$6:$A$735,"&lt;="&amp;C103))</f>
        <v/>
      </c>
      <c r="M103" s="135" t="str">
        <f>IF(N103=0,"",COUNTIFS('Daily Tracking'!$A$6:$A$735,"&gt;="&amp;B103,'Daily Tracking'!$A$6:$A$735,"&lt;="&amp;C103,'Daily Tracking'!$J$6:$J$735,"Yes"))</f>
        <v/>
      </c>
      <c r="N103" s="136">
        <f>COUNTIFS('Daily Tracking'!$A$6:$A$735,"&gt;="&amp;B103,'Daily Tracking'!$A$6:$A$735,"&lt;="&amp;C103,'Daily Tracking'!$B$6:$B$735,"&lt;&gt;")</f>
        <v>0</v>
      </c>
      <c r="S103" s="3" t="e">
        <f t="shared" si="2"/>
        <v>#N/A</v>
      </c>
      <c r="T103" s="3" t="e">
        <f t="shared" si="3"/>
        <v>#N/A</v>
      </c>
    </row>
    <row r="104" spans="1:20" ht="18" customHeight="1" x14ac:dyDescent="0.3">
      <c r="A104" s="130">
        <f>A103+1</f>
        <v>99</v>
      </c>
      <c r="B104" s="161">
        <f>Settings!$B$4+(A104-1)*7</f>
        <v>46964</v>
      </c>
      <c r="C104" s="161">
        <f>B104+6</f>
        <v>46970</v>
      </c>
      <c r="D104" s="125" t="str">
        <f>IF(N104=0,"",AVERAGEIFS('Daily Tracking'!$B$6:$B$735,'Daily Tracking'!$A$6:$A$735,"&gt;="&amp;B104,'Daily Tracking'!$A$6:$A$735,"&lt;="&amp;C104))</f>
        <v/>
      </c>
      <c r="E104" s="162" t="str">
        <f>IF(OR(D104="",D103=""),"",D103-D104)</f>
        <v/>
      </c>
      <c r="F104" s="163" t="str">
        <f>IF(E104="","",E104/D103)</f>
        <v/>
      </c>
      <c r="G104" s="128" t="str">
        <f>IFERROR(AVERAGEIFS('Daily Tracking'!$E$6:$E$735,'Daily Tracking'!$A$6:$A$735,"&gt;="&amp;B104,'Daily Tracking'!$A$6:$A$735,"&lt;="&amp;C104),"")</f>
        <v/>
      </c>
      <c r="H104" s="129" t="str">
        <f>IFERROR(AVERAGEIFS('Daily Tracking'!$F$6:$F$735,'Daily Tracking'!$A$6:$A$735,"&gt;="&amp;B104,'Daily Tracking'!$A$6:$A$735,"&lt;="&amp;C104),"")</f>
        <v/>
      </c>
      <c r="I104" s="128" t="str">
        <f>IFERROR(AVERAGEIFS('Daily Tracking'!$H$6:$H$735,'Daily Tracking'!$A$6:$A$735,"&gt;="&amp;B104,'Daily Tracking'!$A$6:$A$735,"&lt;="&amp;C104),"")</f>
        <v/>
      </c>
      <c r="J104" s="125" t="str">
        <f>IFERROR(AVERAGEIFS('Daily Tracking'!$K$6:$K$735,'Daily Tracking'!$A$6:$A$735,"&gt;="&amp;B104,'Daily Tracking'!$A$6:$A$735,"&lt;="&amp;C104),"")</f>
        <v/>
      </c>
      <c r="K104" s="125" t="str">
        <f>IFERROR(AVERAGEIFS('Daily Tracking'!$G$6:$G$735,'Daily Tracking'!$A$6:$A$735,"&gt;="&amp;B104,'Daily Tracking'!$A$6:$A$735,"&lt;="&amp;C104),"")</f>
        <v/>
      </c>
      <c r="L104" s="129" t="str">
        <f>IF(N104=0,"",SUMIFS('Daily Tracking'!$I$6:$I$735,'Daily Tracking'!$A$6:$A$735,"&gt;="&amp;B104,'Daily Tracking'!$A$6:$A$735,"&lt;="&amp;C104))</f>
        <v/>
      </c>
      <c r="M104" s="129" t="str">
        <f>IF(N104=0,"",COUNTIFS('Daily Tracking'!$A$6:$A$735,"&gt;="&amp;B104,'Daily Tracking'!$A$6:$A$735,"&lt;="&amp;C104,'Daily Tracking'!$J$6:$J$735,"Yes"))</f>
        <v/>
      </c>
      <c r="N104" s="130">
        <f>COUNTIFS('Daily Tracking'!$A$6:$A$735,"&gt;="&amp;B104,'Daily Tracking'!$A$6:$A$735,"&lt;="&amp;C104,'Daily Tracking'!$B$6:$B$735,"&lt;&gt;")</f>
        <v>0</v>
      </c>
      <c r="S104" s="3" t="e">
        <f t="shared" si="2"/>
        <v>#N/A</v>
      </c>
      <c r="T104" s="3" t="e">
        <f t="shared" si="3"/>
        <v>#N/A</v>
      </c>
    </row>
    <row r="105" spans="1:20" ht="18" customHeight="1" x14ac:dyDescent="0.3">
      <c r="A105" s="136">
        <f>A104+1</f>
        <v>100</v>
      </c>
      <c r="B105" s="166">
        <f>Settings!$B$4+(A105-1)*7</f>
        <v>46971</v>
      </c>
      <c r="C105" s="166">
        <f>B105+6</f>
        <v>46977</v>
      </c>
      <c r="D105" s="133" t="str">
        <f>IF(N105=0,"",AVERAGEIFS('Daily Tracking'!$B$6:$B$735,'Daily Tracking'!$A$6:$A$735,"&gt;="&amp;B105,'Daily Tracking'!$A$6:$A$735,"&lt;="&amp;C105))</f>
        <v/>
      </c>
      <c r="E105" s="167" t="str">
        <f>IF(OR(D105="",D104=""),"",D104-D105)</f>
        <v/>
      </c>
      <c r="F105" s="168" t="str">
        <f>IF(E105="","",E105/D104)</f>
        <v/>
      </c>
      <c r="G105" s="134" t="str">
        <f>IFERROR(AVERAGEIFS('Daily Tracking'!$E$6:$E$735,'Daily Tracking'!$A$6:$A$735,"&gt;="&amp;B105,'Daily Tracking'!$A$6:$A$735,"&lt;="&amp;C105),"")</f>
        <v/>
      </c>
      <c r="H105" s="135" t="str">
        <f>IFERROR(AVERAGEIFS('Daily Tracking'!$F$6:$F$735,'Daily Tracking'!$A$6:$A$735,"&gt;="&amp;B105,'Daily Tracking'!$A$6:$A$735,"&lt;="&amp;C105),"")</f>
        <v/>
      </c>
      <c r="I105" s="134" t="str">
        <f>IFERROR(AVERAGEIFS('Daily Tracking'!$H$6:$H$735,'Daily Tracking'!$A$6:$A$735,"&gt;="&amp;B105,'Daily Tracking'!$A$6:$A$735,"&lt;="&amp;C105),"")</f>
        <v/>
      </c>
      <c r="J105" s="133" t="str">
        <f>IFERROR(AVERAGEIFS('Daily Tracking'!$K$6:$K$735,'Daily Tracking'!$A$6:$A$735,"&gt;="&amp;B105,'Daily Tracking'!$A$6:$A$735,"&lt;="&amp;C105),"")</f>
        <v/>
      </c>
      <c r="K105" s="133" t="str">
        <f>IFERROR(AVERAGEIFS('Daily Tracking'!$G$6:$G$735,'Daily Tracking'!$A$6:$A$735,"&gt;="&amp;B105,'Daily Tracking'!$A$6:$A$735,"&lt;="&amp;C105),"")</f>
        <v/>
      </c>
      <c r="L105" s="135" t="str">
        <f>IF(N105=0,"",SUMIFS('Daily Tracking'!$I$6:$I$735,'Daily Tracking'!$A$6:$A$735,"&gt;="&amp;B105,'Daily Tracking'!$A$6:$A$735,"&lt;="&amp;C105))</f>
        <v/>
      </c>
      <c r="M105" s="135" t="str">
        <f>IF(N105=0,"",COUNTIFS('Daily Tracking'!$A$6:$A$735,"&gt;="&amp;B105,'Daily Tracking'!$A$6:$A$735,"&lt;="&amp;C105,'Daily Tracking'!$J$6:$J$735,"Yes"))</f>
        <v/>
      </c>
      <c r="N105" s="136">
        <f>COUNTIFS('Daily Tracking'!$A$6:$A$735,"&gt;="&amp;B105,'Daily Tracking'!$A$6:$A$735,"&lt;="&amp;C105,'Daily Tracking'!$B$6:$B$735,"&lt;&gt;")</f>
        <v>0</v>
      </c>
      <c r="S105" s="3" t="e">
        <f t="shared" si="2"/>
        <v>#N/A</v>
      </c>
      <c r="T105" s="3" t="e">
        <f t="shared" si="3"/>
        <v>#N/A</v>
      </c>
    </row>
    <row r="106" spans="1:20" ht="18" customHeight="1" x14ac:dyDescent="0.3">
      <c r="A106" s="130">
        <f>A105+1</f>
        <v>101</v>
      </c>
      <c r="B106" s="161">
        <f>Settings!$B$4+(A106-1)*7</f>
        <v>46978</v>
      </c>
      <c r="C106" s="161">
        <f>B106+6</f>
        <v>46984</v>
      </c>
      <c r="D106" s="125" t="str">
        <f>IF(N106=0,"",AVERAGEIFS('Daily Tracking'!$B$6:$B$735,'Daily Tracking'!$A$6:$A$735,"&gt;="&amp;B106,'Daily Tracking'!$A$6:$A$735,"&lt;="&amp;C106))</f>
        <v/>
      </c>
      <c r="E106" s="162" t="str">
        <f>IF(OR(D106="",D105=""),"",D105-D106)</f>
        <v/>
      </c>
      <c r="F106" s="163" t="str">
        <f>IF(E106="","",E106/D105)</f>
        <v/>
      </c>
      <c r="G106" s="128" t="str">
        <f>IFERROR(AVERAGEIFS('Daily Tracking'!$E$6:$E$735,'Daily Tracking'!$A$6:$A$735,"&gt;="&amp;B106,'Daily Tracking'!$A$6:$A$735,"&lt;="&amp;C106),"")</f>
        <v/>
      </c>
      <c r="H106" s="129" t="str">
        <f>IFERROR(AVERAGEIFS('Daily Tracking'!$F$6:$F$735,'Daily Tracking'!$A$6:$A$735,"&gt;="&amp;B106,'Daily Tracking'!$A$6:$A$735,"&lt;="&amp;C106),"")</f>
        <v/>
      </c>
      <c r="I106" s="128" t="str">
        <f>IFERROR(AVERAGEIFS('Daily Tracking'!$H$6:$H$735,'Daily Tracking'!$A$6:$A$735,"&gt;="&amp;B106,'Daily Tracking'!$A$6:$A$735,"&lt;="&amp;C106),"")</f>
        <v/>
      </c>
      <c r="J106" s="125" t="str">
        <f>IFERROR(AVERAGEIFS('Daily Tracking'!$K$6:$K$735,'Daily Tracking'!$A$6:$A$735,"&gt;="&amp;B106,'Daily Tracking'!$A$6:$A$735,"&lt;="&amp;C106),"")</f>
        <v/>
      </c>
      <c r="K106" s="125" t="str">
        <f>IFERROR(AVERAGEIFS('Daily Tracking'!$G$6:$G$735,'Daily Tracking'!$A$6:$A$735,"&gt;="&amp;B106,'Daily Tracking'!$A$6:$A$735,"&lt;="&amp;C106),"")</f>
        <v/>
      </c>
      <c r="L106" s="129" t="str">
        <f>IF(N106=0,"",SUMIFS('Daily Tracking'!$I$6:$I$735,'Daily Tracking'!$A$6:$A$735,"&gt;="&amp;B106,'Daily Tracking'!$A$6:$A$735,"&lt;="&amp;C106))</f>
        <v/>
      </c>
      <c r="M106" s="129" t="str">
        <f>IF(N106=0,"",COUNTIFS('Daily Tracking'!$A$6:$A$735,"&gt;="&amp;B106,'Daily Tracking'!$A$6:$A$735,"&lt;="&amp;C106,'Daily Tracking'!$J$6:$J$735,"Yes"))</f>
        <v/>
      </c>
      <c r="N106" s="130">
        <f>COUNTIFS('Daily Tracking'!$A$6:$A$735,"&gt;="&amp;B106,'Daily Tracking'!$A$6:$A$735,"&lt;="&amp;C106,'Daily Tracking'!$B$6:$B$735,"&lt;&gt;")</f>
        <v>0</v>
      </c>
      <c r="S106" s="3" t="e">
        <f t="shared" si="2"/>
        <v>#N/A</v>
      </c>
      <c r="T106" s="3" t="e">
        <f t="shared" si="3"/>
        <v>#N/A</v>
      </c>
    </row>
    <row r="107" spans="1:20" ht="18" customHeight="1" x14ac:dyDescent="0.3">
      <c r="A107" s="136">
        <f>A106+1</f>
        <v>102</v>
      </c>
      <c r="B107" s="166">
        <f>Settings!$B$4+(A107-1)*7</f>
        <v>46985</v>
      </c>
      <c r="C107" s="166">
        <f>B107+6</f>
        <v>46991</v>
      </c>
      <c r="D107" s="133" t="str">
        <f>IF(N107=0,"",AVERAGEIFS('Daily Tracking'!$B$6:$B$735,'Daily Tracking'!$A$6:$A$735,"&gt;="&amp;B107,'Daily Tracking'!$A$6:$A$735,"&lt;="&amp;C107))</f>
        <v/>
      </c>
      <c r="E107" s="167" t="str">
        <f>IF(OR(D107="",D106=""),"",D106-D107)</f>
        <v/>
      </c>
      <c r="F107" s="168" t="str">
        <f>IF(E107="","",E107/D106)</f>
        <v/>
      </c>
      <c r="G107" s="134" t="str">
        <f>IFERROR(AVERAGEIFS('Daily Tracking'!$E$6:$E$735,'Daily Tracking'!$A$6:$A$735,"&gt;="&amp;B107,'Daily Tracking'!$A$6:$A$735,"&lt;="&amp;C107),"")</f>
        <v/>
      </c>
      <c r="H107" s="135" t="str">
        <f>IFERROR(AVERAGEIFS('Daily Tracking'!$F$6:$F$735,'Daily Tracking'!$A$6:$A$735,"&gt;="&amp;B107,'Daily Tracking'!$A$6:$A$735,"&lt;="&amp;C107),"")</f>
        <v/>
      </c>
      <c r="I107" s="134" t="str">
        <f>IFERROR(AVERAGEIFS('Daily Tracking'!$H$6:$H$735,'Daily Tracking'!$A$6:$A$735,"&gt;="&amp;B107,'Daily Tracking'!$A$6:$A$735,"&lt;="&amp;C107),"")</f>
        <v/>
      </c>
      <c r="J107" s="133" t="str">
        <f>IFERROR(AVERAGEIFS('Daily Tracking'!$K$6:$K$735,'Daily Tracking'!$A$6:$A$735,"&gt;="&amp;B107,'Daily Tracking'!$A$6:$A$735,"&lt;="&amp;C107),"")</f>
        <v/>
      </c>
      <c r="K107" s="133" t="str">
        <f>IFERROR(AVERAGEIFS('Daily Tracking'!$G$6:$G$735,'Daily Tracking'!$A$6:$A$735,"&gt;="&amp;B107,'Daily Tracking'!$A$6:$A$735,"&lt;="&amp;C107),"")</f>
        <v/>
      </c>
      <c r="L107" s="135" t="str">
        <f>IF(N107=0,"",SUMIFS('Daily Tracking'!$I$6:$I$735,'Daily Tracking'!$A$6:$A$735,"&gt;="&amp;B107,'Daily Tracking'!$A$6:$A$735,"&lt;="&amp;C107))</f>
        <v/>
      </c>
      <c r="M107" s="135" t="str">
        <f>IF(N107=0,"",COUNTIFS('Daily Tracking'!$A$6:$A$735,"&gt;="&amp;B107,'Daily Tracking'!$A$6:$A$735,"&lt;="&amp;C107,'Daily Tracking'!$J$6:$J$735,"Yes"))</f>
        <v/>
      </c>
      <c r="N107" s="136">
        <f>COUNTIFS('Daily Tracking'!$A$6:$A$735,"&gt;="&amp;B107,'Daily Tracking'!$A$6:$A$735,"&lt;="&amp;C107,'Daily Tracking'!$B$6:$B$735,"&lt;&gt;")</f>
        <v>0</v>
      </c>
      <c r="S107" s="3" t="e">
        <f t="shared" si="2"/>
        <v>#N/A</v>
      </c>
      <c r="T107" s="3" t="e">
        <f t="shared" si="3"/>
        <v>#N/A</v>
      </c>
    </row>
    <row r="108" spans="1:20" ht="18" customHeight="1" x14ac:dyDescent="0.3">
      <c r="A108" s="130">
        <f>A107+1</f>
        <v>103</v>
      </c>
      <c r="B108" s="161">
        <f>Settings!$B$4+(A108-1)*7</f>
        <v>46992</v>
      </c>
      <c r="C108" s="161">
        <f>B108+6</f>
        <v>46998</v>
      </c>
      <c r="D108" s="125" t="str">
        <f>IF(N108=0,"",AVERAGEIFS('Daily Tracking'!$B$6:$B$735,'Daily Tracking'!$A$6:$A$735,"&gt;="&amp;B108,'Daily Tracking'!$A$6:$A$735,"&lt;="&amp;C108))</f>
        <v/>
      </c>
      <c r="E108" s="162" t="str">
        <f>IF(OR(D108="",D107=""),"",D107-D108)</f>
        <v/>
      </c>
      <c r="F108" s="163" t="str">
        <f>IF(E108="","",E108/D107)</f>
        <v/>
      </c>
      <c r="G108" s="128" t="str">
        <f>IFERROR(AVERAGEIFS('Daily Tracking'!$E$6:$E$735,'Daily Tracking'!$A$6:$A$735,"&gt;="&amp;B108,'Daily Tracking'!$A$6:$A$735,"&lt;="&amp;C108),"")</f>
        <v/>
      </c>
      <c r="H108" s="129" t="str">
        <f>IFERROR(AVERAGEIFS('Daily Tracking'!$F$6:$F$735,'Daily Tracking'!$A$6:$A$735,"&gt;="&amp;B108,'Daily Tracking'!$A$6:$A$735,"&lt;="&amp;C108),"")</f>
        <v/>
      </c>
      <c r="I108" s="128" t="str">
        <f>IFERROR(AVERAGEIFS('Daily Tracking'!$H$6:$H$735,'Daily Tracking'!$A$6:$A$735,"&gt;="&amp;B108,'Daily Tracking'!$A$6:$A$735,"&lt;="&amp;C108),"")</f>
        <v/>
      </c>
      <c r="J108" s="125" t="str">
        <f>IFERROR(AVERAGEIFS('Daily Tracking'!$K$6:$K$735,'Daily Tracking'!$A$6:$A$735,"&gt;="&amp;B108,'Daily Tracking'!$A$6:$A$735,"&lt;="&amp;C108),"")</f>
        <v/>
      </c>
      <c r="K108" s="125" t="str">
        <f>IFERROR(AVERAGEIFS('Daily Tracking'!$G$6:$G$735,'Daily Tracking'!$A$6:$A$735,"&gt;="&amp;B108,'Daily Tracking'!$A$6:$A$735,"&lt;="&amp;C108),"")</f>
        <v/>
      </c>
      <c r="L108" s="129" t="str">
        <f>IF(N108=0,"",SUMIFS('Daily Tracking'!$I$6:$I$735,'Daily Tracking'!$A$6:$A$735,"&gt;="&amp;B108,'Daily Tracking'!$A$6:$A$735,"&lt;="&amp;C108))</f>
        <v/>
      </c>
      <c r="M108" s="129" t="str">
        <f>IF(N108=0,"",COUNTIFS('Daily Tracking'!$A$6:$A$735,"&gt;="&amp;B108,'Daily Tracking'!$A$6:$A$735,"&lt;="&amp;C108,'Daily Tracking'!$J$6:$J$735,"Yes"))</f>
        <v/>
      </c>
      <c r="N108" s="130">
        <f>COUNTIFS('Daily Tracking'!$A$6:$A$735,"&gt;="&amp;B108,'Daily Tracking'!$A$6:$A$735,"&lt;="&amp;C108,'Daily Tracking'!$B$6:$B$735,"&lt;&gt;")</f>
        <v>0</v>
      </c>
      <c r="S108" s="3" t="e">
        <f t="shared" si="2"/>
        <v>#N/A</v>
      </c>
      <c r="T108" s="3" t="e">
        <f t="shared" si="3"/>
        <v>#N/A</v>
      </c>
    </row>
    <row r="109" spans="1:20" ht="18" customHeight="1" x14ac:dyDescent="0.3">
      <c r="A109" s="136">
        <f>A108+1</f>
        <v>104</v>
      </c>
      <c r="B109" s="166">
        <f>Settings!$B$4+(A109-1)*7</f>
        <v>46999</v>
      </c>
      <c r="C109" s="166">
        <f>B109+6</f>
        <v>47005</v>
      </c>
      <c r="D109" s="133" t="str">
        <f>IF(N109=0,"",AVERAGEIFS('Daily Tracking'!$B$6:$B$735,'Daily Tracking'!$A$6:$A$735,"&gt;="&amp;B109,'Daily Tracking'!$A$6:$A$735,"&lt;="&amp;C109))</f>
        <v/>
      </c>
      <c r="E109" s="167" t="str">
        <f>IF(OR(D109="",D108=""),"",D108-D109)</f>
        <v/>
      </c>
      <c r="F109" s="168" t="str">
        <f>IF(E109="","",E109/D108)</f>
        <v/>
      </c>
      <c r="G109" s="134" t="str">
        <f>IFERROR(AVERAGEIFS('Daily Tracking'!$E$6:$E$735,'Daily Tracking'!$A$6:$A$735,"&gt;="&amp;B109,'Daily Tracking'!$A$6:$A$735,"&lt;="&amp;C109),"")</f>
        <v/>
      </c>
      <c r="H109" s="135" t="str">
        <f>IFERROR(AVERAGEIFS('Daily Tracking'!$F$6:$F$735,'Daily Tracking'!$A$6:$A$735,"&gt;="&amp;B109,'Daily Tracking'!$A$6:$A$735,"&lt;="&amp;C109),"")</f>
        <v/>
      </c>
      <c r="I109" s="134" t="str">
        <f>IFERROR(AVERAGEIFS('Daily Tracking'!$H$6:$H$735,'Daily Tracking'!$A$6:$A$735,"&gt;="&amp;B109,'Daily Tracking'!$A$6:$A$735,"&lt;="&amp;C109),"")</f>
        <v/>
      </c>
      <c r="J109" s="133" t="str">
        <f>IFERROR(AVERAGEIFS('Daily Tracking'!$K$6:$K$735,'Daily Tracking'!$A$6:$A$735,"&gt;="&amp;B109,'Daily Tracking'!$A$6:$A$735,"&lt;="&amp;C109),"")</f>
        <v/>
      </c>
      <c r="K109" s="133" t="str">
        <f>IFERROR(AVERAGEIFS('Daily Tracking'!$G$6:$G$735,'Daily Tracking'!$A$6:$A$735,"&gt;="&amp;B109,'Daily Tracking'!$A$6:$A$735,"&lt;="&amp;C109),"")</f>
        <v/>
      </c>
      <c r="L109" s="135" t="str">
        <f>IF(N109=0,"",SUMIFS('Daily Tracking'!$I$6:$I$735,'Daily Tracking'!$A$6:$A$735,"&gt;="&amp;B109,'Daily Tracking'!$A$6:$A$735,"&lt;="&amp;C109))</f>
        <v/>
      </c>
      <c r="M109" s="135" t="str">
        <f>IF(N109=0,"",COUNTIFS('Daily Tracking'!$A$6:$A$735,"&gt;="&amp;B109,'Daily Tracking'!$A$6:$A$735,"&lt;="&amp;C109,'Daily Tracking'!$J$6:$J$735,"Yes"))</f>
        <v/>
      </c>
      <c r="N109" s="136">
        <f>COUNTIFS('Daily Tracking'!$A$6:$A$735,"&gt;="&amp;B109,'Daily Tracking'!$A$6:$A$735,"&lt;="&amp;C109,'Daily Tracking'!$B$6:$B$735,"&lt;&gt;")</f>
        <v>0</v>
      </c>
      <c r="S109" s="3" t="e">
        <f t="shared" si="2"/>
        <v>#N/A</v>
      </c>
      <c r="T109" s="3" t="e">
        <f t="shared" si="3"/>
        <v>#N/A</v>
      </c>
    </row>
  </sheetData>
  <sheetProtection sheet="1" objects="1" scenarios="1" sort="0" autoFilter="0"/>
  <mergeCells count="6">
    <mergeCell ref="Q8:R8"/>
    <mergeCell ref="A1:N1"/>
    <mergeCell ref="A2:N2"/>
    <mergeCell ref="P5:R5"/>
    <mergeCell ref="Q6:R6"/>
    <mergeCell ref="Q7:R7"/>
  </mergeCells>
  <conditionalFormatting sqref="E6:E109">
    <cfRule type="cellIs" dxfId="18" priority="1" operator="greaterThan">
      <formula>0</formula>
    </cfRule>
  </conditionalFormatting>
  <conditionalFormatting sqref="E6:E109">
    <cfRule type="cellIs" dxfId="17" priority="2" operator="lessThan">
      <formula>0</formula>
    </cfRule>
  </conditionalFormatting>
  <conditionalFormatting sqref="F6:F109">
    <cfRule type="cellIs" dxfId="16" priority="3" operator="greaterThan">
      <formula>0</formula>
    </cfRule>
  </conditionalFormatting>
  <conditionalFormatting sqref="F6:F109">
    <cfRule type="cellIs" dxfId="15" priority="4" operator="lessThan">
      <formula>0</formula>
    </cfRule>
  </conditionalFormatting>
  <pageMargins left="0.75" right="0.75" top="1" bottom="1" header="0.511811023622047" footer="0.511811023622047"/>
  <pageSetup paperSize="9" scale="46" fitToHeight="0" orientation="landscape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B8A6"/>
    <pageSetUpPr fitToPage="1"/>
  </sheetPr>
  <dimension ref="A1:M29"/>
  <sheetViews>
    <sheetView showGridLines="0" zoomScaleNormal="100" workbookViewId="0">
      <pane ySplit="5" topLeftCell="A6" activePane="bottomLeft" state="frozen"/>
      <selection pane="bottomLeft" activeCell="L6" sqref="L1:L1048576"/>
    </sheetView>
  </sheetViews>
  <sheetFormatPr defaultColWidth="8.6640625" defaultRowHeight="14.4" outlineLevelCol="2" x14ac:dyDescent="0.3"/>
  <cols>
    <col min="1" max="1" width="12" style="3" customWidth="1"/>
    <col min="2" max="3" width="11" style="3" customWidth="1"/>
    <col min="4" max="4" width="13" style="3" customWidth="1"/>
    <col min="5" max="5" width="12" style="3" customWidth="1"/>
    <col min="6" max="6" width="11" style="3" customWidth="1"/>
    <col min="7" max="7" width="9" style="3" customWidth="1"/>
    <col min="8" max="8" width="13" style="3" customWidth="1"/>
    <col min="9" max="9" width="14" style="3" customWidth="1"/>
    <col min="10" max="10" width="12" style="3" customWidth="1"/>
    <col min="11" max="11" width="0" style="3" hidden="1" customWidth="1" outlineLevel="2"/>
    <col min="12" max="12" width="13" style="3" hidden="1" customWidth="1" outlineLevel="1" collapsed="1"/>
    <col min="13" max="13" width="8.6640625" style="3" collapsed="1"/>
    <col min="14" max="16384" width="8.6640625" style="3"/>
  </cols>
  <sheetData>
    <row r="1" spans="1:12" ht="31.95" customHeight="1" x14ac:dyDescent="0.3">
      <c r="A1" s="106" t="s">
        <v>99</v>
      </c>
      <c r="B1" s="106"/>
      <c r="C1" s="106"/>
      <c r="D1" s="106"/>
      <c r="E1" s="106"/>
      <c r="F1" s="106"/>
      <c r="G1" s="106"/>
      <c r="H1" s="106"/>
      <c r="I1" s="106"/>
      <c r="J1" s="106"/>
    </row>
    <row r="2" spans="1:12" ht="18" customHeight="1" x14ac:dyDescent="0.3">
      <c r="A2" s="23" t="s">
        <v>100</v>
      </c>
      <c r="B2" s="23"/>
      <c r="C2" s="23"/>
      <c r="D2" s="23"/>
      <c r="E2" s="23"/>
      <c r="F2" s="23"/>
      <c r="G2" s="23"/>
      <c r="H2" s="23"/>
      <c r="I2" s="23"/>
      <c r="J2" s="23"/>
      <c r="L2" s="3">
        <f>COUNT(F6:F17)</f>
        <v>1</v>
      </c>
    </row>
    <row r="3" spans="1:12" ht="6" customHeight="1" x14ac:dyDescent="0.3"/>
    <row r="4" spans="1:12" ht="7.95" customHeight="1" x14ac:dyDescent="0.3"/>
    <row r="5" spans="1:12" ht="28.05" customHeight="1" x14ac:dyDescent="0.3">
      <c r="A5" s="122" t="s">
        <v>101</v>
      </c>
      <c r="B5" s="122" t="s">
        <v>102</v>
      </c>
      <c r="C5" s="122" t="s">
        <v>103</v>
      </c>
      <c r="D5" s="122" t="s">
        <v>104</v>
      </c>
      <c r="E5" s="122" t="s">
        <v>105</v>
      </c>
      <c r="F5" s="122" t="s">
        <v>86</v>
      </c>
      <c r="G5" s="122" t="s">
        <v>106</v>
      </c>
      <c r="H5" s="122" t="s">
        <v>107</v>
      </c>
      <c r="I5" s="122" t="s">
        <v>108</v>
      </c>
      <c r="J5" s="122" t="s">
        <v>94</v>
      </c>
      <c r="L5" s="123" t="s">
        <v>164</v>
      </c>
    </row>
    <row r="6" spans="1:12" ht="18" customHeight="1" x14ac:dyDescent="0.3">
      <c r="A6" s="130" t="str">
        <f>TEXT(B6,"mmm")&amp;" "&amp;YEAR(B6)</f>
        <v>sept 2026</v>
      </c>
      <c r="B6" s="169">
        <f>Settings!$B$4</f>
        <v>46278</v>
      </c>
      <c r="C6" s="169">
        <f>EOMONTH(B6,0)</f>
        <v>46295</v>
      </c>
      <c r="D6" s="125" cm="1">
        <f t="array" ref="D6">IF(J6=0,"",IFERROR(INDEX('Daily Tracking'!$B$6:$B$735,MATCH(1,INDEX((('Daily Tracking'!$A$6:$A$735&gt;=B6)*('Daily Tracking'!$A$6:$A$735&lt;=C6)*('Daily Tracking'!$B$6:$B$735&lt;&gt;"")),0),0)),""))</f>
        <v>157</v>
      </c>
      <c r="E6" s="125" cm="1">
        <f t="array" ref="E6">IF(J6=0,"",IFERROR(LOOKUP(2,1/(('Daily Tracking'!$A$6:$A$735&gt;=B6)*('Daily Tracking'!$A$6:$A$735&lt;=C6)*('Daily Tracking'!$B$6:$B$735&lt;&gt;"")),'Daily Tracking'!$B$6:$B$735),""))</f>
        <v>157</v>
      </c>
      <c r="F6" s="162">
        <f>IF(OR(D6="",E6=""),"",D6-E6)</f>
        <v>0</v>
      </c>
      <c r="G6" s="170">
        <f>IF(F6="","",F6/D6)</f>
        <v>0</v>
      </c>
      <c r="H6" s="171">
        <f>IF(OR(F6="",J6=0),"",F6/J6)</f>
        <v>0</v>
      </c>
      <c r="I6" s="172">
        <f>IF(H6="","",H6*7)</f>
        <v>0</v>
      </c>
      <c r="J6" s="130">
        <f>COUNTIFS('Daily Tracking'!$A$6:$A$735,"&gt;="&amp;B6,'Daily Tracking'!$A$6:$A$735,"&lt;="&amp;C6,'Daily Tracking'!$B$6:$B$735,"&lt;&gt;")</f>
        <v>1</v>
      </c>
      <c r="L6" s="3">
        <f>IF($F6="",NA(),$F6)</f>
        <v>0</v>
      </c>
    </row>
    <row r="7" spans="1:12" ht="18" customHeight="1" x14ac:dyDescent="0.3">
      <c r="A7" s="136" t="str">
        <f>TEXT(B7,"mmm")&amp;" "&amp;YEAR(B7)</f>
        <v>oct 2026</v>
      </c>
      <c r="B7" s="173">
        <f>EOMONTH(B6,0)+1</f>
        <v>46296</v>
      </c>
      <c r="C7" s="173">
        <f>EOMONTH(B7,0)</f>
        <v>46326</v>
      </c>
      <c r="D7" s="133" t="str" cm="1">
        <f t="array" ref="D7">IF(J7=0,"",IFERROR(INDEX('Daily Tracking'!$B$6:$B$735,MATCH(1,INDEX((('Daily Tracking'!$A$6:$A$735&gt;=B7)*('Daily Tracking'!$A$6:$A$735&lt;=C7)*('Daily Tracking'!$B$6:$B$735&lt;&gt;"")),0),0)),""))</f>
        <v/>
      </c>
      <c r="E7" s="133" t="str" cm="1">
        <f t="array" ref="E7">IF(J7=0,"",IFERROR(LOOKUP(2,1/(('Daily Tracking'!$A$6:$A$735&gt;=B7)*('Daily Tracking'!$A$6:$A$735&lt;=C7)*('Daily Tracking'!$B$6:$B$735&lt;&gt;"")),'Daily Tracking'!$B$6:$B$735),""))</f>
        <v/>
      </c>
      <c r="F7" s="167" t="str">
        <f>IF(OR(D7="",E7=""),"",D7-E7)</f>
        <v/>
      </c>
      <c r="G7" s="174" t="str">
        <f>IF(F7="","",F7/D7)</f>
        <v/>
      </c>
      <c r="H7" s="175" t="str">
        <f>IF(OR(F7="",J7=0),"",F7/J7)</f>
        <v/>
      </c>
      <c r="I7" s="176" t="str">
        <f>IF(H7="","",H7*7)</f>
        <v/>
      </c>
      <c r="J7" s="136">
        <f>COUNTIFS('Daily Tracking'!$A$6:$A$735,"&gt;="&amp;B7,'Daily Tracking'!$A$6:$A$735,"&lt;="&amp;C7,'Daily Tracking'!$B$6:$B$735,"&lt;&gt;")</f>
        <v>0</v>
      </c>
      <c r="L7" s="3" t="e">
        <f t="shared" ref="L7:L29" si="0">IF($F7="",NA(),$F7)</f>
        <v>#N/A</v>
      </c>
    </row>
    <row r="8" spans="1:12" ht="18" customHeight="1" x14ac:dyDescent="0.3">
      <c r="A8" s="130" t="str">
        <f>TEXT(B8,"mmm")&amp;" "&amp;YEAR(B8)</f>
        <v>nov 2026</v>
      </c>
      <c r="B8" s="169">
        <f>EOMONTH(B7,0)+1</f>
        <v>46327</v>
      </c>
      <c r="C8" s="169">
        <f>EOMONTH(B8,0)</f>
        <v>46356</v>
      </c>
      <c r="D8" s="125" t="str" cm="1">
        <f t="array" ref="D8">IF(J8=0,"",IFERROR(INDEX('Daily Tracking'!$B$6:$B$735,MATCH(1,INDEX((('Daily Tracking'!$A$6:$A$735&gt;=B8)*('Daily Tracking'!$A$6:$A$735&lt;=C8)*('Daily Tracking'!$B$6:$B$735&lt;&gt;"")),0),0)),""))</f>
        <v/>
      </c>
      <c r="E8" s="125" t="str" cm="1">
        <f t="array" ref="E8">IF(J8=0,"",IFERROR(LOOKUP(2,1/(('Daily Tracking'!$A$6:$A$735&gt;=B8)*('Daily Tracking'!$A$6:$A$735&lt;=C8)*('Daily Tracking'!$B$6:$B$735&lt;&gt;"")),'Daily Tracking'!$B$6:$B$735),""))</f>
        <v/>
      </c>
      <c r="F8" s="162" t="str">
        <f>IF(OR(D8="",E8=""),"",D8-E8)</f>
        <v/>
      </c>
      <c r="G8" s="170" t="str">
        <f>IF(F8="","",F8/D8)</f>
        <v/>
      </c>
      <c r="H8" s="171" t="str">
        <f>IF(OR(F8="",J8=0),"",F8/J8)</f>
        <v/>
      </c>
      <c r="I8" s="172" t="str">
        <f>IF(H8="","",H8*7)</f>
        <v/>
      </c>
      <c r="J8" s="130">
        <f>COUNTIFS('Daily Tracking'!$A$6:$A$735,"&gt;="&amp;B8,'Daily Tracking'!$A$6:$A$735,"&lt;="&amp;C8,'Daily Tracking'!$B$6:$B$735,"&lt;&gt;")</f>
        <v>0</v>
      </c>
      <c r="L8" s="3" t="e">
        <f t="shared" si="0"/>
        <v>#N/A</v>
      </c>
    </row>
    <row r="9" spans="1:12" ht="18" customHeight="1" x14ac:dyDescent="0.3">
      <c r="A9" s="136" t="str">
        <f>TEXT(B9,"mmm")&amp;" "&amp;YEAR(B9)</f>
        <v>déc 2026</v>
      </c>
      <c r="B9" s="173">
        <f>EOMONTH(B8,0)+1</f>
        <v>46357</v>
      </c>
      <c r="C9" s="173">
        <f>EOMONTH(B9,0)</f>
        <v>46387</v>
      </c>
      <c r="D9" s="133" t="str" cm="1">
        <f t="array" ref="D9">IF(J9=0,"",IFERROR(INDEX('Daily Tracking'!$B$6:$B$735,MATCH(1,INDEX((('Daily Tracking'!$A$6:$A$735&gt;=B9)*('Daily Tracking'!$A$6:$A$735&lt;=C9)*('Daily Tracking'!$B$6:$B$735&lt;&gt;"")),0),0)),""))</f>
        <v/>
      </c>
      <c r="E9" s="133" t="str" cm="1">
        <f t="array" ref="E9">IF(J9=0,"",IFERROR(LOOKUP(2,1/(('Daily Tracking'!$A$6:$A$735&gt;=B9)*('Daily Tracking'!$A$6:$A$735&lt;=C9)*('Daily Tracking'!$B$6:$B$735&lt;&gt;"")),'Daily Tracking'!$B$6:$B$735),""))</f>
        <v/>
      </c>
      <c r="F9" s="167" t="str">
        <f>IF(OR(D9="",E9=""),"",D9-E9)</f>
        <v/>
      </c>
      <c r="G9" s="174" t="str">
        <f>IF(F9="","",F9/D9)</f>
        <v/>
      </c>
      <c r="H9" s="175" t="str">
        <f>IF(OR(F9="",J9=0),"",F9/J9)</f>
        <v/>
      </c>
      <c r="I9" s="176" t="str">
        <f>IF(H9="","",H9*7)</f>
        <v/>
      </c>
      <c r="J9" s="136">
        <f>COUNTIFS('Daily Tracking'!$A$6:$A$735,"&gt;="&amp;B9,'Daily Tracking'!$A$6:$A$735,"&lt;="&amp;C9,'Daily Tracking'!$B$6:$B$735,"&lt;&gt;")</f>
        <v>0</v>
      </c>
      <c r="L9" s="3" t="e">
        <f t="shared" si="0"/>
        <v>#N/A</v>
      </c>
    </row>
    <row r="10" spans="1:12" ht="18" customHeight="1" x14ac:dyDescent="0.3">
      <c r="A10" s="130" t="str">
        <f>TEXT(B10,"mmm")&amp;" "&amp;YEAR(B10)</f>
        <v>janv 2027</v>
      </c>
      <c r="B10" s="169">
        <f>EOMONTH(B9,0)+1</f>
        <v>46388</v>
      </c>
      <c r="C10" s="169">
        <f>EOMONTH(B10,0)</f>
        <v>46418</v>
      </c>
      <c r="D10" s="125" t="str" cm="1">
        <f t="array" ref="D10">IF(J10=0,"",IFERROR(INDEX('Daily Tracking'!$B$6:$B$735,MATCH(1,INDEX((('Daily Tracking'!$A$6:$A$735&gt;=B10)*('Daily Tracking'!$A$6:$A$735&lt;=C10)*('Daily Tracking'!$B$6:$B$735&lt;&gt;"")),0),0)),""))</f>
        <v/>
      </c>
      <c r="E10" s="125" t="str" cm="1">
        <f t="array" ref="E10">IF(J10=0,"",IFERROR(LOOKUP(2,1/(('Daily Tracking'!$A$6:$A$735&gt;=B10)*('Daily Tracking'!$A$6:$A$735&lt;=C10)*('Daily Tracking'!$B$6:$B$735&lt;&gt;"")),'Daily Tracking'!$B$6:$B$735),""))</f>
        <v/>
      </c>
      <c r="F10" s="162" t="str">
        <f>IF(OR(D10="",E10=""),"",D10-E10)</f>
        <v/>
      </c>
      <c r="G10" s="170" t="str">
        <f>IF(F10="","",F10/D10)</f>
        <v/>
      </c>
      <c r="H10" s="171" t="str">
        <f>IF(OR(F10="",J10=0),"",F10/J10)</f>
        <v/>
      </c>
      <c r="I10" s="172" t="str">
        <f>IF(H10="","",H10*7)</f>
        <v/>
      </c>
      <c r="J10" s="130">
        <f>COUNTIFS('Daily Tracking'!$A$6:$A$735,"&gt;="&amp;B10,'Daily Tracking'!$A$6:$A$735,"&lt;="&amp;C10,'Daily Tracking'!$B$6:$B$735,"&lt;&gt;")</f>
        <v>0</v>
      </c>
      <c r="L10" s="3" t="e">
        <f t="shared" si="0"/>
        <v>#N/A</v>
      </c>
    </row>
    <row r="11" spans="1:12" ht="18" customHeight="1" x14ac:dyDescent="0.3">
      <c r="A11" s="136" t="str">
        <f>TEXT(B11,"mmm")&amp;" "&amp;YEAR(B11)</f>
        <v>févr 2027</v>
      </c>
      <c r="B11" s="173">
        <f>EOMONTH(B10,0)+1</f>
        <v>46419</v>
      </c>
      <c r="C11" s="173">
        <f>EOMONTH(B11,0)</f>
        <v>46446</v>
      </c>
      <c r="D11" s="133" t="str" cm="1">
        <f t="array" ref="D11">IF(J11=0,"",IFERROR(INDEX('Daily Tracking'!$B$6:$B$735,MATCH(1,INDEX((('Daily Tracking'!$A$6:$A$735&gt;=B11)*('Daily Tracking'!$A$6:$A$735&lt;=C11)*('Daily Tracking'!$B$6:$B$735&lt;&gt;"")),0),0)),""))</f>
        <v/>
      </c>
      <c r="E11" s="133" t="str" cm="1">
        <f t="array" ref="E11">IF(J11=0,"",IFERROR(LOOKUP(2,1/(('Daily Tracking'!$A$6:$A$735&gt;=B11)*('Daily Tracking'!$A$6:$A$735&lt;=C11)*('Daily Tracking'!$B$6:$B$735&lt;&gt;"")),'Daily Tracking'!$B$6:$B$735),""))</f>
        <v/>
      </c>
      <c r="F11" s="167" t="str">
        <f>IF(OR(D11="",E11=""),"",D11-E11)</f>
        <v/>
      </c>
      <c r="G11" s="174" t="str">
        <f>IF(F11="","",F11/D11)</f>
        <v/>
      </c>
      <c r="H11" s="175" t="str">
        <f>IF(OR(F11="",J11=0),"",F11/J11)</f>
        <v/>
      </c>
      <c r="I11" s="176" t="str">
        <f>IF(H11="","",H11*7)</f>
        <v/>
      </c>
      <c r="J11" s="136">
        <f>COUNTIFS('Daily Tracking'!$A$6:$A$735,"&gt;="&amp;B11,'Daily Tracking'!$A$6:$A$735,"&lt;="&amp;C11,'Daily Tracking'!$B$6:$B$735,"&lt;&gt;")</f>
        <v>0</v>
      </c>
      <c r="L11" s="3" t="e">
        <f t="shared" si="0"/>
        <v>#N/A</v>
      </c>
    </row>
    <row r="12" spans="1:12" ht="18" customHeight="1" x14ac:dyDescent="0.3">
      <c r="A12" s="130" t="str">
        <f>TEXT(B12,"mmm")&amp;" "&amp;YEAR(B12)</f>
        <v>mars 2027</v>
      </c>
      <c r="B12" s="169">
        <f>EOMONTH(B11,0)+1</f>
        <v>46447</v>
      </c>
      <c r="C12" s="169">
        <f>EOMONTH(B12,0)</f>
        <v>46477</v>
      </c>
      <c r="D12" s="125" t="str" cm="1">
        <f t="array" ref="D12">IF(J12=0,"",IFERROR(INDEX('Daily Tracking'!$B$6:$B$735,MATCH(1,INDEX((('Daily Tracking'!$A$6:$A$735&gt;=B12)*('Daily Tracking'!$A$6:$A$735&lt;=C12)*('Daily Tracking'!$B$6:$B$735&lt;&gt;"")),0),0)),""))</f>
        <v/>
      </c>
      <c r="E12" s="125" t="str" cm="1">
        <f t="array" ref="E12">IF(J12=0,"",IFERROR(LOOKUP(2,1/(('Daily Tracking'!$A$6:$A$735&gt;=B12)*('Daily Tracking'!$A$6:$A$735&lt;=C12)*('Daily Tracking'!$B$6:$B$735&lt;&gt;"")),'Daily Tracking'!$B$6:$B$735),""))</f>
        <v/>
      </c>
      <c r="F12" s="162" t="str">
        <f>IF(OR(D12="",E12=""),"",D12-E12)</f>
        <v/>
      </c>
      <c r="G12" s="170" t="str">
        <f>IF(F12="","",F12/D12)</f>
        <v/>
      </c>
      <c r="H12" s="171" t="str">
        <f>IF(OR(F12="",J12=0),"",F12/J12)</f>
        <v/>
      </c>
      <c r="I12" s="172" t="str">
        <f>IF(H12="","",H12*7)</f>
        <v/>
      </c>
      <c r="J12" s="130">
        <f>COUNTIFS('Daily Tracking'!$A$6:$A$735,"&gt;="&amp;B12,'Daily Tracking'!$A$6:$A$735,"&lt;="&amp;C12,'Daily Tracking'!$B$6:$B$735,"&lt;&gt;")</f>
        <v>0</v>
      </c>
      <c r="L12" s="3" t="e">
        <f t="shared" si="0"/>
        <v>#N/A</v>
      </c>
    </row>
    <row r="13" spans="1:12" ht="18" customHeight="1" x14ac:dyDescent="0.3">
      <c r="A13" s="136" t="str">
        <f>TEXT(B13,"mmm")&amp;" "&amp;YEAR(B13)</f>
        <v>avr 2027</v>
      </c>
      <c r="B13" s="173">
        <f>EOMONTH(B12,0)+1</f>
        <v>46478</v>
      </c>
      <c r="C13" s="173">
        <f>EOMONTH(B13,0)</f>
        <v>46507</v>
      </c>
      <c r="D13" s="133" t="str" cm="1">
        <f t="array" ref="D13">IF(J13=0,"",IFERROR(INDEX('Daily Tracking'!$B$6:$B$735,MATCH(1,INDEX((('Daily Tracking'!$A$6:$A$735&gt;=B13)*('Daily Tracking'!$A$6:$A$735&lt;=C13)*('Daily Tracking'!$B$6:$B$735&lt;&gt;"")),0),0)),""))</f>
        <v/>
      </c>
      <c r="E13" s="133" t="str" cm="1">
        <f t="array" ref="E13">IF(J13=0,"",IFERROR(LOOKUP(2,1/(('Daily Tracking'!$A$6:$A$735&gt;=B13)*('Daily Tracking'!$A$6:$A$735&lt;=C13)*('Daily Tracking'!$B$6:$B$735&lt;&gt;"")),'Daily Tracking'!$B$6:$B$735),""))</f>
        <v/>
      </c>
      <c r="F13" s="167" t="str">
        <f>IF(OR(D13="",E13=""),"",D13-E13)</f>
        <v/>
      </c>
      <c r="G13" s="174" t="str">
        <f>IF(F13="","",F13/D13)</f>
        <v/>
      </c>
      <c r="H13" s="175" t="str">
        <f>IF(OR(F13="",J13=0),"",F13/J13)</f>
        <v/>
      </c>
      <c r="I13" s="176" t="str">
        <f>IF(H13="","",H13*7)</f>
        <v/>
      </c>
      <c r="J13" s="136">
        <f>COUNTIFS('Daily Tracking'!$A$6:$A$735,"&gt;="&amp;B13,'Daily Tracking'!$A$6:$A$735,"&lt;="&amp;C13,'Daily Tracking'!$B$6:$B$735,"&lt;&gt;")</f>
        <v>0</v>
      </c>
      <c r="L13" s="3" t="e">
        <f t="shared" si="0"/>
        <v>#N/A</v>
      </c>
    </row>
    <row r="14" spans="1:12" ht="18" customHeight="1" x14ac:dyDescent="0.3">
      <c r="A14" s="130" t="str">
        <f>TEXT(B14,"mmm")&amp;" "&amp;YEAR(B14)</f>
        <v>mai 2027</v>
      </c>
      <c r="B14" s="169">
        <f>EOMONTH(B13,0)+1</f>
        <v>46508</v>
      </c>
      <c r="C14" s="169">
        <f>EOMONTH(B14,0)</f>
        <v>46538</v>
      </c>
      <c r="D14" s="125" t="str" cm="1">
        <f t="array" ref="D14">IF(J14=0,"",IFERROR(INDEX('Daily Tracking'!$B$6:$B$735,MATCH(1,INDEX((('Daily Tracking'!$A$6:$A$735&gt;=B14)*('Daily Tracking'!$A$6:$A$735&lt;=C14)*('Daily Tracking'!$B$6:$B$735&lt;&gt;"")),0),0)),""))</f>
        <v/>
      </c>
      <c r="E14" s="125" t="str" cm="1">
        <f t="array" ref="E14">IF(J14=0,"",IFERROR(LOOKUP(2,1/(('Daily Tracking'!$A$6:$A$735&gt;=B14)*('Daily Tracking'!$A$6:$A$735&lt;=C14)*('Daily Tracking'!$B$6:$B$735&lt;&gt;"")),'Daily Tracking'!$B$6:$B$735),""))</f>
        <v/>
      </c>
      <c r="F14" s="162" t="str">
        <f>IF(OR(D14="",E14=""),"",D14-E14)</f>
        <v/>
      </c>
      <c r="G14" s="170" t="str">
        <f>IF(F14="","",F14/D14)</f>
        <v/>
      </c>
      <c r="H14" s="171" t="str">
        <f>IF(OR(F14="",J14=0),"",F14/J14)</f>
        <v/>
      </c>
      <c r="I14" s="172" t="str">
        <f>IF(H14="","",H14*7)</f>
        <v/>
      </c>
      <c r="J14" s="130">
        <f>COUNTIFS('Daily Tracking'!$A$6:$A$735,"&gt;="&amp;B14,'Daily Tracking'!$A$6:$A$735,"&lt;="&amp;C14,'Daily Tracking'!$B$6:$B$735,"&lt;&gt;")</f>
        <v>0</v>
      </c>
      <c r="L14" s="3" t="e">
        <f t="shared" si="0"/>
        <v>#N/A</v>
      </c>
    </row>
    <row r="15" spans="1:12" ht="18" customHeight="1" x14ac:dyDescent="0.3">
      <c r="A15" s="136" t="str">
        <f>TEXT(B15,"mmm")&amp;" "&amp;YEAR(B15)</f>
        <v>juin 2027</v>
      </c>
      <c r="B15" s="173">
        <f>EOMONTH(B14,0)+1</f>
        <v>46539</v>
      </c>
      <c r="C15" s="173">
        <f>EOMONTH(B15,0)</f>
        <v>46568</v>
      </c>
      <c r="D15" s="133" t="str" cm="1">
        <f t="array" ref="D15">IF(J15=0,"",IFERROR(INDEX('Daily Tracking'!$B$6:$B$735,MATCH(1,INDEX((('Daily Tracking'!$A$6:$A$735&gt;=B15)*('Daily Tracking'!$A$6:$A$735&lt;=C15)*('Daily Tracking'!$B$6:$B$735&lt;&gt;"")),0),0)),""))</f>
        <v/>
      </c>
      <c r="E15" s="133" t="str" cm="1">
        <f t="array" ref="E15">IF(J15=0,"",IFERROR(LOOKUP(2,1/(('Daily Tracking'!$A$6:$A$735&gt;=B15)*('Daily Tracking'!$A$6:$A$735&lt;=C15)*('Daily Tracking'!$B$6:$B$735&lt;&gt;"")),'Daily Tracking'!$B$6:$B$735),""))</f>
        <v/>
      </c>
      <c r="F15" s="167" t="str">
        <f>IF(OR(D15="",E15=""),"",D15-E15)</f>
        <v/>
      </c>
      <c r="G15" s="174" t="str">
        <f>IF(F15="","",F15/D15)</f>
        <v/>
      </c>
      <c r="H15" s="175" t="str">
        <f>IF(OR(F15="",J15=0),"",F15/J15)</f>
        <v/>
      </c>
      <c r="I15" s="176" t="str">
        <f>IF(H15="","",H15*7)</f>
        <v/>
      </c>
      <c r="J15" s="136">
        <f>COUNTIFS('Daily Tracking'!$A$6:$A$735,"&gt;="&amp;B15,'Daily Tracking'!$A$6:$A$735,"&lt;="&amp;C15,'Daily Tracking'!$B$6:$B$735,"&lt;&gt;")</f>
        <v>0</v>
      </c>
      <c r="L15" s="3" t="e">
        <f t="shared" si="0"/>
        <v>#N/A</v>
      </c>
    </row>
    <row r="16" spans="1:12" ht="18" customHeight="1" x14ac:dyDescent="0.3">
      <c r="A16" s="130" t="str">
        <f>TEXT(B16,"mmm")&amp;" "&amp;YEAR(B16)</f>
        <v>juil 2027</v>
      </c>
      <c r="B16" s="169">
        <f>EOMONTH(B15,0)+1</f>
        <v>46569</v>
      </c>
      <c r="C16" s="169">
        <f>EOMONTH(B16,0)</f>
        <v>46599</v>
      </c>
      <c r="D16" s="125" t="str" cm="1">
        <f t="array" ref="D16">IF(J16=0,"",IFERROR(INDEX('Daily Tracking'!$B$6:$B$735,MATCH(1,INDEX((('Daily Tracking'!$A$6:$A$735&gt;=B16)*('Daily Tracking'!$A$6:$A$735&lt;=C16)*('Daily Tracking'!$B$6:$B$735&lt;&gt;"")),0),0)),""))</f>
        <v/>
      </c>
      <c r="E16" s="125" t="str" cm="1">
        <f t="array" ref="E16">IF(J16=0,"",IFERROR(LOOKUP(2,1/(('Daily Tracking'!$A$6:$A$735&gt;=B16)*('Daily Tracking'!$A$6:$A$735&lt;=C16)*('Daily Tracking'!$B$6:$B$735&lt;&gt;"")),'Daily Tracking'!$B$6:$B$735),""))</f>
        <v/>
      </c>
      <c r="F16" s="162" t="str">
        <f>IF(OR(D16="",E16=""),"",D16-E16)</f>
        <v/>
      </c>
      <c r="G16" s="170" t="str">
        <f>IF(F16="","",F16/D16)</f>
        <v/>
      </c>
      <c r="H16" s="171" t="str">
        <f>IF(OR(F16="",J16=0),"",F16/J16)</f>
        <v/>
      </c>
      <c r="I16" s="172" t="str">
        <f>IF(H16="","",H16*7)</f>
        <v/>
      </c>
      <c r="J16" s="130">
        <f>COUNTIFS('Daily Tracking'!$A$6:$A$735,"&gt;="&amp;B16,'Daily Tracking'!$A$6:$A$735,"&lt;="&amp;C16,'Daily Tracking'!$B$6:$B$735,"&lt;&gt;")</f>
        <v>0</v>
      </c>
      <c r="L16" s="3" t="e">
        <f t="shared" si="0"/>
        <v>#N/A</v>
      </c>
    </row>
    <row r="17" spans="1:12" ht="18" customHeight="1" x14ac:dyDescent="0.3">
      <c r="A17" s="136" t="str">
        <f>TEXT(B17,"mmm")&amp;" "&amp;YEAR(B17)</f>
        <v>août 2027</v>
      </c>
      <c r="B17" s="173">
        <f>EOMONTH(B16,0)+1</f>
        <v>46600</v>
      </c>
      <c r="C17" s="173">
        <f>EOMONTH(B17,0)</f>
        <v>46630</v>
      </c>
      <c r="D17" s="133" t="str" cm="1">
        <f t="array" ref="D17">IF(J17=0,"",IFERROR(INDEX('Daily Tracking'!$B$6:$B$735,MATCH(1,INDEX((('Daily Tracking'!$A$6:$A$735&gt;=B17)*('Daily Tracking'!$A$6:$A$735&lt;=C17)*('Daily Tracking'!$B$6:$B$735&lt;&gt;"")),0),0)),""))</f>
        <v/>
      </c>
      <c r="E17" s="133" t="str" cm="1">
        <f t="array" ref="E17">IF(J17=0,"",IFERROR(LOOKUP(2,1/(('Daily Tracking'!$A$6:$A$735&gt;=B17)*('Daily Tracking'!$A$6:$A$735&lt;=C17)*('Daily Tracking'!$B$6:$B$735&lt;&gt;"")),'Daily Tracking'!$B$6:$B$735),""))</f>
        <v/>
      </c>
      <c r="F17" s="167" t="str">
        <f>IF(OR(D17="",E17=""),"",D17-E17)</f>
        <v/>
      </c>
      <c r="G17" s="174" t="str">
        <f>IF(F17="","",F17/D17)</f>
        <v/>
      </c>
      <c r="H17" s="175" t="str">
        <f>IF(OR(F17="",J17=0),"",F17/J17)</f>
        <v/>
      </c>
      <c r="I17" s="176" t="str">
        <f>IF(H17="","",H17*7)</f>
        <v/>
      </c>
      <c r="J17" s="136">
        <f>COUNTIFS('Daily Tracking'!$A$6:$A$735,"&gt;="&amp;B17,'Daily Tracking'!$A$6:$A$735,"&lt;="&amp;C17,'Daily Tracking'!$B$6:$B$735,"&lt;&gt;")</f>
        <v>0</v>
      </c>
      <c r="L17" s="3" t="e">
        <f t="shared" si="0"/>
        <v>#N/A</v>
      </c>
    </row>
    <row r="18" spans="1:12" ht="18" customHeight="1" x14ac:dyDescent="0.3">
      <c r="A18" s="130" t="str">
        <f>TEXT(B18,"mmm")&amp;" "&amp;YEAR(B18)</f>
        <v>sept 2027</v>
      </c>
      <c r="B18" s="169">
        <f>EOMONTH(B17,0)+1</f>
        <v>46631</v>
      </c>
      <c r="C18" s="169">
        <f>EOMONTH(B18,0)</f>
        <v>46660</v>
      </c>
      <c r="D18" s="125" t="str" cm="1">
        <f t="array" ref="D18">IF(J18=0,"",IFERROR(INDEX('Daily Tracking'!$B$6:$B$735,MATCH(1,INDEX((('Daily Tracking'!$A$6:$A$735&gt;=B18)*('Daily Tracking'!$A$6:$A$735&lt;=C18)*('Daily Tracking'!$B$6:$B$735&lt;&gt;"")),0),0)),""))</f>
        <v/>
      </c>
      <c r="E18" s="125" t="str" cm="1">
        <f t="array" ref="E18">IF(J18=0,"",IFERROR(LOOKUP(2,1/(('Daily Tracking'!$A$6:$A$735&gt;=B18)*('Daily Tracking'!$A$6:$A$735&lt;=C18)*('Daily Tracking'!$B$6:$B$735&lt;&gt;"")),'Daily Tracking'!$B$6:$B$735),""))</f>
        <v/>
      </c>
      <c r="F18" s="162" t="str">
        <f>IF(OR(D18="",E18=""),"",D18-E18)</f>
        <v/>
      </c>
      <c r="G18" s="170" t="str">
        <f>IF(F18="","",F18/D18)</f>
        <v/>
      </c>
      <c r="H18" s="171" t="str">
        <f>IF(OR(F18="",J18=0),"",F18/J18)</f>
        <v/>
      </c>
      <c r="I18" s="172" t="str">
        <f>IF(H18="","",H18*7)</f>
        <v/>
      </c>
      <c r="J18" s="130">
        <f>COUNTIFS('Daily Tracking'!$A$6:$A$735,"&gt;="&amp;B18,'Daily Tracking'!$A$6:$A$735,"&lt;="&amp;C18,'Daily Tracking'!$B$6:$B$735,"&lt;&gt;")</f>
        <v>0</v>
      </c>
      <c r="L18" s="3" t="e">
        <f t="shared" si="0"/>
        <v>#N/A</v>
      </c>
    </row>
    <row r="19" spans="1:12" ht="18" customHeight="1" x14ac:dyDescent="0.3">
      <c r="A19" s="136" t="str">
        <f>TEXT(B19,"mmm")&amp;" "&amp;YEAR(B19)</f>
        <v>oct 2027</v>
      </c>
      <c r="B19" s="173">
        <f>EOMONTH(B18,0)+1</f>
        <v>46661</v>
      </c>
      <c r="C19" s="173">
        <f>EOMONTH(B19,0)</f>
        <v>46691</v>
      </c>
      <c r="D19" s="133" t="str" cm="1">
        <f t="array" ref="D19">IF(J19=0,"",IFERROR(INDEX('Daily Tracking'!$B$6:$B$735,MATCH(1,INDEX((('Daily Tracking'!$A$6:$A$735&gt;=B19)*('Daily Tracking'!$A$6:$A$735&lt;=C19)*('Daily Tracking'!$B$6:$B$735&lt;&gt;"")),0),0)),""))</f>
        <v/>
      </c>
      <c r="E19" s="133" t="str" cm="1">
        <f t="array" ref="E19">IF(J19=0,"",IFERROR(LOOKUP(2,1/(('Daily Tracking'!$A$6:$A$735&gt;=B19)*('Daily Tracking'!$A$6:$A$735&lt;=C19)*('Daily Tracking'!$B$6:$B$735&lt;&gt;"")),'Daily Tracking'!$B$6:$B$735),""))</f>
        <v/>
      </c>
      <c r="F19" s="167" t="str">
        <f>IF(OR(D19="",E19=""),"",D19-E19)</f>
        <v/>
      </c>
      <c r="G19" s="174" t="str">
        <f>IF(F19="","",F19/D19)</f>
        <v/>
      </c>
      <c r="H19" s="175" t="str">
        <f>IF(OR(F19="",J19=0),"",F19/J19)</f>
        <v/>
      </c>
      <c r="I19" s="176" t="str">
        <f>IF(H19="","",H19*7)</f>
        <v/>
      </c>
      <c r="J19" s="136">
        <f>COUNTIFS('Daily Tracking'!$A$6:$A$735,"&gt;="&amp;B19,'Daily Tracking'!$A$6:$A$735,"&lt;="&amp;C19,'Daily Tracking'!$B$6:$B$735,"&lt;&gt;")</f>
        <v>0</v>
      </c>
      <c r="L19" s="3" t="e">
        <f t="shared" si="0"/>
        <v>#N/A</v>
      </c>
    </row>
    <row r="20" spans="1:12" ht="18" customHeight="1" x14ac:dyDescent="0.3">
      <c r="A20" s="130" t="str">
        <f>TEXT(B20,"mmm")&amp;" "&amp;YEAR(B20)</f>
        <v>nov 2027</v>
      </c>
      <c r="B20" s="169">
        <f>EOMONTH(B19,0)+1</f>
        <v>46692</v>
      </c>
      <c r="C20" s="169">
        <f>EOMONTH(B20,0)</f>
        <v>46721</v>
      </c>
      <c r="D20" s="125" t="str" cm="1">
        <f t="array" ref="D20">IF(J20=0,"",IFERROR(INDEX('Daily Tracking'!$B$6:$B$735,MATCH(1,INDEX((('Daily Tracking'!$A$6:$A$735&gt;=B20)*('Daily Tracking'!$A$6:$A$735&lt;=C20)*('Daily Tracking'!$B$6:$B$735&lt;&gt;"")),0),0)),""))</f>
        <v/>
      </c>
      <c r="E20" s="125" t="str" cm="1">
        <f t="array" ref="E20">IF(J20=0,"",IFERROR(LOOKUP(2,1/(('Daily Tracking'!$A$6:$A$735&gt;=B20)*('Daily Tracking'!$A$6:$A$735&lt;=C20)*('Daily Tracking'!$B$6:$B$735&lt;&gt;"")),'Daily Tracking'!$B$6:$B$735),""))</f>
        <v/>
      </c>
      <c r="F20" s="162" t="str">
        <f>IF(OR(D20="",E20=""),"",D20-E20)</f>
        <v/>
      </c>
      <c r="G20" s="170" t="str">
        <f>IF(F20="","",F20/D20)</f>
        <v/>
      </c>
      <c r="H20" s="171" t="str">
        <f>IF(OR(F20="",J20=0),"",F20/J20)</f>
        <v/>
      </c>
      <c r="I20" s="172" t="str">
        <f>IF(H20="","",H20*7)</f>
        <v/>
      </c>
      <c r="J20" s="130">
        <f>COUNTIFS('Daily Tracking'!$A$6:$A$735,"&gt;="&amp;B20,'Daily Tracking'!$A$6:$A$735,"&lt;="&amp;C20,'Daily Tracking'!$B$6:$B$735,"&lt;&gt;")</f>
        <v>0</v>
      </c>
      <c r="L20" s="3" t="e">
        <f t="shared" si="0"/>
        <v>#N/A</v>
      </c>
    </row>
    <row r="21" spans="1:12" ht="18" customHeight="1" x14ac:dyDescent="0.3">
      <c r="A21" s="136" t="str">
        <f>TEXT(B21,"mmm")&amp;" "&amp;YEAR(B21)</f>
        <v>déc 2027</v>
      </c>
      <c r="B21" s="173">
        <f>EOMONTH(B20,0)+1</f>
        <v>46722</v>
      </c>
      <c r="C21" s="173">
        <f>EOMONTH(B21,0)</f>
        <v>46752</v>
      </c>
      <c r="D21" s="133" t="str" cm="1">
        <f t="array" ref="D21">IF(J21=0,"",IFERROR(INDEX('Daily Tracking'!$B$6:$B$735,MATCH(1,INDEX((('Daily Tracking'!$A$6:$A$735&gt;=B21)*('Daily Tracking'!$A$6:$A$735&lt;=C21)*('Daily Tracking'!$B$6:$B$735&lt;&gt;"")),0),0)),""))</f>
        <v/>
      </c>
      <c r="E21" s="133" t="str" cm="1">
        <f t="array" ref="E21">IF(J21=0,"",IFERROR(LOOKUP(2,1/(('Daily Tracking'!$A$6:$A$735&gt;=B21)*('Daily Tracking'!$A$6:$A$735&lt;=C21)*('Daily Tracking'!$B$6:$B$735&lt;&gt;"")),'Daily Tracking'!$B$6:$B$735),""))</f>
        <v/>
      </c>
      <c r="F21" s="167" t="str">
        <f>IF(OR(D21="",E21=""),"",D21-E21)</f>
        <v/>
      </c>
      <c r="G21" s="174" t="str">
        <f>IF(F21="","",F21/D21)</f>
        <v/>
      </c>
      <c r="H21" s="175" t="str">
        <f>IF(OR(F21="",J21=0),"",F21/J21)</f>
        <v/>
      </c>
      <c r="I21" s="176" t="str">
        <f>IF(H21="","",H21*7)</f>
        <v/>
      </c>
      <c r="J21" s="136">
        <f>COUNTIFS('Daily Tracking'!$A$6:$A$735,"&gt;="&amp;B21,'Daily Tracking'!$A$6:$A$735,"&lt;="&amp;C21,'Daily Tracking'!$B$6:$B$735,"&lt;&gt;")</f>
        <v>0</v>
      </c>
      <c r="L21" s="3" t="e">
        <f t="shared" si="0"/>
        <v>#N/A</v>
      </c>
    </row>
    <row r="22" spans="1:12" ht="18" customHeight="1" x14ac:dyDescent="0.3">
      <c r="A22" s="130" t="str">
        <f>TEXT(B22,"mmm")&amp;" "&amp;YEAR(B22)</f>
        <v>janv 2028</v>
      </c>
      <c r="B22" s="169">
        <f>EOMONTH(B21,0)+1</f>
        <v>46753</v>
      </c>
      <c r="C22" s="169">
        <f>EOMONTH(B22,0)</f>
        <v>46783</v>
      </c>
      <c r="D22" s="125" t="str" cm="1">
        <f t="array" ref="D22">IF(J22=0,"",IFERROR(INDEX('Daily Tracking'!$B$6:$B$735,MATCH(1,INDEX((('Daily Tracking'!$A$6:$A$735&gt;=B22)*('Daily Tracking'!$A$6:$A$735&lt;=C22)*('Daily Tracking'!$B$6:$B$735&lt;&gt;"")),0),0)),""))</f>
        <v/>
      </c>
      <c r="E22" s="125" t="str" cm="1">
        <f t="array" ref="E22">IF(J22=0,"",IFERROR(LOOKUP(2,1/(('Daily Tracking'!$A$6:$A$735&gt;=B22)*('Daily Tracking'!$A$6:$A$735&lt;=C22)*('Daily Tracking'!$B$6:$B$735&lt;&gt;"")),'Daily Tracking'!$B$6:$B$735),""))</f>
        <v/>
      </c>
      <c r="F22" s="162" t="str">
        <f>IF(OR(D22="",E22=""),"",D22-E22)</f>
        <v/>
      </c>
      <c r="G22" s="170" t="str">
        <f>IF(F22="","",F22/D22)</f>
        <v/>
      </c>
      <c r="H22" s="171" t="str">
        <f>IF(OR(F22="",J22=0),"",F22/J22)</f>
        <v/>
      </c>
      <c r="I22" s="172" t="str">
        <f>IF(H22="","",H22*7)</f>
        <v/>
      </c>
      <c r="J22" s="130">
        <f>COUNTIFS('Daily Tracking'!$A$6:$A$735,"&gt;="&amp;B22,'Daily Tracking'!$A$6:$A$735,"&lt;="&amp;C22,'Daily Tracking'!$B$6:$B$735,"&lt;&gt;")</f>
        <v>0</v>
      </c>
      <c r="L22" s="3" t="e">
        <f t="shared" si="0"/>
        <v>#N/A</v>
      </c>
    </row>
    <row r="23" spans="1:12" ht="18" customHeight="1" x14ac:dyDescent="0.3">
      <c r="A23" s="136" t="str">
        <f>TEXT(B23,"mmm")&amp;" "&amp;YEAR(B23)</f>
        <v>févr 2028</v>
      </c>
      <c r="B23" s="173">
        <f>EOMONTH(B22,0)+1</f>
        <v>46784</v>
      </c>
      <c r="C23" s="173">
        <f>EOMONTH(B23,0)</f>
        <v>46812</v>
      </c>
      <c r="D23" s="133" t="str" cm="1">
        <f t="array" ref="D23">IF(J23=0,"",IFERROR(INDEX('Daily Tracking'!$B$6:$B$735,MATCH(1,INDEX((('Daily Tracking'!$A$6:$A$735&gt;=B23)*('Daily Tracking'!$A$6:$A$735&lt;=C23)*('Daily Tracking'!$B$6:$B$735&lt;&gt;"")),0),0)),""))</f>
        <v/>
      </c>
      <c r="E23" s="133" t="str" cm="1">
        <f t="array" ref="E23">IF(J23=0,"",IFERROR(LOOKUP(2,1/(('Daily Tracking'!$A$6:$A$735&gt;=B23)*('Daily Tracking'!$A$6:$A$735&lt;=C23)*('Daily Tracking'!$B$6:$B$735&lt;&gt;"")),'Daily Tracking'!$B$6:$B$735),""))</f>
        <v/>
      </c>
      <c r="F23" s="167" t="str">
        <f>IF(OR(D23="",E23=""),"",D23-E23)</f>
        <v/>
      </c>
      <c r="G23" s="174" t="str">
        <f>IF(F23="","",F23/D23)</f>
        <v/>
      </c>
      <c r="H23" s="175" t="str">
        <f>IF(OR(F23="",J23=0),"",F23/J23)</f>
        <v/>
      </c>
      <c r="I23" s="176" t="str">
        <f>IF(H23="","",H23*7)</f>
        <v/>
      </c>
      <c r="J23" s="136">
        <f>COUNTIFS('Daily Tracking'!$A$6:$A$735,"&gt;="&amp;B23,'Daily Tracking'!$A$6:$A$735,"&lt;="&amp;C23,'Daily Tracking'!$B$6:$B$735,"&lt;&gt;")</f>
        <v>0</v>
      </c>
      <c r="L23" s="3" t="e">
        <f t="shared" si="0"/>
        <v>#N/A</v>
      </c>
    </row>
    <row r="24" spans="1:12" ht="18" customHeight="1" x14ac:dyDescent="0.3">
      <c r="A24" s="130" t="str">
        <f>TEXT(B24,"mmm")&amp;" "&amp;YEAR(B24)</f>
        <v>mars 2028</v>
      </c>
      <c r="B24" s="169">
        <f>EOMONTH(B23,0)+1</f>
        <v>46813</v>
      </c>
      <c r="C24" s="169">
        <f>EOMONTH(B24,0)</f>
        <v>46843</v>
      </c>
      <c r="D24" s="125" t="str" cm="1">
        <f t="array" ref="D24">IF(J24=0,"",IFERROR(INDEX('Daily Tracking'!$B$6:$B$735,MATCH(1,INDEX((('Daily Tracking'!$A$6:$A$735&gt;=B24)*('Daily Tracking'!$A$6:$A$735&lt;=C24)*('Daily Tracking'!$B$6:$B$735&lt;&gt;"")),0),0)),""))</f>
        <v/>
      </c>
      <c r="E24" s="125" t="str" cm="1">
        <f t="array" ref="E24">IF(J24=0,"",IFERROR(LOOKUP(2,1/(('Daily Tracking'!$A$6:$A$735&gt;=B24)*('Daily Tracking'!$A$6:$A$735&lt;=C24)*('Daily Tracking'!$B$6:$B$735&lt;&gt;"")),'Daily Tracking'!$B$6:$B$735),""))</f>
        <v/>
      </c>
      <c r="F24" s="162" t="str">
        <f>IF(OR(D24="",E24=""),"",D24-E24)</f>
        <v/>
      </c>
      <c r="G24" s="170" t="str">
        <f>IF(F24="","",F24/D24)</f>
        <v/>
      </c>
      <c r="H24" s="171" t="str">
        <f>IF(OR(F24="",J24=0),"",F24/J24)</f>
        <v/>
      </c>
      <c r="I24" s="172" t="str">
        <f>IF(H24="","",H24*7)</f>
        <v/>
      </c>
      <c r="J24" s="130">
        <f>COUNTIFS('Daily Tracking'!$A$6:$A$735,"&gt;="&amp;B24,'Daily Tracking'!$A$6:$A$735,"&lt;="&amp;C24,'Daily Tracking'!$B$6:$B$735,"&lt;&gt;")</f>
        <v>0</v>
      </c>
      <c r="L24" s="3" t="e">
        <f t="shared" si="0"/>
        <v>#N/A</v>
      </c>
    </row>
    <row r="25" spans="1:12" ht="18" customHeight="1" x14ac:dyDescent="0.3">
      <c r="A25" s="136" t="str">
        <f>TEXT(B25,"mmm")&amp;" "&amp;YEAR(B25)</f>
        <v>avr 2028</v>
      </c>
      <c r="B25" s="173">
        <f>EOMONTH(B24,0)+1</f>
        <v>46844</v>
      </c>
      <c r="C25" s="173">
        <f>EOMONTH(B25,0)</f>
        <v>46873</v>
      </c>
      <c r="D25" s="133" t="str" cm="1">
        <f t="array" ref="D25">IF(J25=0,"",IFERROR(INDEX('Daily Tracking'!$B$6:$B$735,MATCH(1,INDEX((('Daily Tracking'!$A$6:$A$735&gt;=B25)*('Daily Tracking'!$A$6:$A$735&lt;=C25)*('Daily Tracking'!$B$6:$B$735&lt;&gt;"")),0),0)),""))</f>
        <v/>
      </c>
      <c r="E25" s="133" t="str" cm="1">
        <f t="array" ref="E25">IF(J25=0,"",IFERROR(LOOKUP(2,1/(('Daily Tracking'!$A$6:$A$735&gt;=B25)*('Daily Tracking'!$A$6:$A$735&lt;=C25)*('Daily Tracking'!$B$6:$B$735&lt;&gt;"")),'Daily Tracking'!$B$6:$B$735),""))</f>
        <v/>
      </c>
      <c r="F25" s="167" t="str">
        <f>IF(OR(D25="",E25=""),"",D25-E25)</f>
        <v/>
      </c>
      <c r="G25" s="174" t="str">
        <f>IF(F25="","",F25/D25)</f>
        <v/>
      </c>
      <c r="H25" s="175" t="str">
        <f>IF(OR(F25="",J25=0),"",F25/J25)</f>
        <v/>
      </c>
      <c r="I25" s="176" t="str">
        <f>IF(H25="","",H25*7)</f>
        <v/>
      </c>
      <c r="J25" s="136">
        <f>COUNTIFS('Daily Tracking'!$A$6:$A$735,"&gt;="&amp;B25,'Daily Tracking'!$A$6:$A$735,"&lt;="&amp;C25,'Daily Tracking'!$B$6:$B$735,"&lt;&gt;")</f>
        <v>0</v>
      </c>
      <c r="L25" s="3" t="e">
        <f t="shared" si="0"/>
        <v>#N/A</v>
      </c>
    </row>
    <row r="26" spans="1:12" ht="18" customHeight="1" x14ac:dyDescent="0.3">
      <c r="A26" s="130" t="str">
        <f>TEXT(B26,"mmm")&amp;" "&amp;YEAR(B26)</f>
        <v>mai 2028</v>
      </c>
      <c r="B26" s="169">
        <f>EOMONTH(B25,0)+1</f>
        <v>46874</v>
      </c>
      <c r="C26" s="169">
        <f>EOMONTH(B26,0)</f>
        <v>46904</v>
      </c>
      <c r="D26" s="125" t="str" cm="1">
        <f t="array" ref="D26">IF(J26=0,"",IFERROR(INDEX('Daily Tracking'!$B$6:$B$735,MATCH(1,INDEX((('Daily Tracking'!$A$6:$A$735&gt;=B26)*('Daily Tracking'!$A$6:$A$735&lt;=C26)*('Daily Tracking'!$B$6:$B$735&lt;&gt;"")),0),0)),""))</f>
        <v/>
      </c>
      <c r="E26" s="125" t="str" cm="1">
        <f t="array" ref="E26">IF(J26=0,"",IFERROR(LOOKUP(2,1/(('Daily Tracking'!$A$6:$A$735&gt;=B26)*('Daily Tracking'!$A$6:$A$735&lt;=C26)*('Daily Tracking'!$B$6:$B$735&lt;&gt;"")),'Daily Tracking'!$B$6:$B$735),""))</f>
        <v/>
      </c>
      <c r="F26" s="162" t="str">
        <f>IF(OR(D26="",E26=""),"",D26-E26)</f>
        <v/>
      </c>
      <c r="G26" s="170" t="str">
        <f>IF(F26="","",F26/D26)</f>
        <v/>
      </c>
      <c r="H26" s="171" t="str">
        <f>IF(OR(F26="",J26=0),"",F26/J26)</f>
        <v/>
      </c>
      <c r="I26" s="172" t="str">
        <f>IF(H26="","",H26*7)</f>
        <v/>
      </c>
      <c r="J26" s="130">
        <f>COUNTIFS('Daily Tracking'!$A$6:$A$735,"&gt;="&amp;B26,'Daily Tracking'!$A$6:$A$735,"&lt;="&amp;C26,'Daily Tracking'!$B$6:$B$735,"&lt;&gt;")</f>
        <v>0</v>
      </c>
      <c r="L26" s="3" t="e">
        <f t="shared" si="0"/>
        <v>#N/A</v>
      </c>
    </row>
    <row r="27" spans="1:12" ht="18" customHeight="1" x14ac:dyDescent="0.3">
      <c r="A27" s="136" t="str">
        <f>TEXT(B27,"mmm")&amp;" "&amp;YEAR(B27)</f>
        <v>juin 2028</v>
      </c>
      <c r="B27" s="173">
        <f>EOMONTH(B26,0)+1</f>
        <v>46905</v>
      </c>
      <c r="C27" s="173">
        <f>EOMONTH(B27,0)</f>
        <v>46934</v>
      </c>
      <c r="D27" s="133" t="str" cm="1">
        <f t="array" ref="D27">IF(J27=0,"",IFERROR(INDEX('Daily Tracking'!$B$6:$B$735,MATCH(1,INDEX((('Daily Tracking'!$A$6:$A$735&gt;=B27)*('Daily Tracking'!$A$6:$A$735&lt;=C27)*('Daily Tracking'!$B$6:$B$735&lt;&gt;"")),0),0)),""))</f>
        <v/>
      </c>
      <c r="E27" s="133" t="str" cm="1">
        <f t="array" ref="E27">IF(J27=0,"",IFERROR(LOOKUP(2,1/(('Daily Tracking'!$A$6:$A$735&gt;=B27)*('Daily Tracking'!$A$6:$A$735&lt;=C27)*('Daily Tracking'!$B$6:$B$735&lt;&gt;"")),'Daily Tracking'!$B$6:$B$735),""))</f>
        <v/>
      </c>
      <c r="F27" s="167" t="str">
        <f>IF(OR(D27="",E27=""),"",D27-E27)</f>
        <v/>
      </c>
      <c r="G27" s="174" t="str">
        <f>IF(F27="","",F27/D27)</f>
        <v/>
      </c>
      <c r="H27" s="175" t="str">
        <f>IF(OR(F27="",J27=0),"",F27/J27)</f>
        <v/>
      </c>
      <c r="I27" s="176" t="str">
        <f>IF(H27="","",H27*7)</f>
        <v/>
      </c>
      <c r="J27" s="136">
        <f>COUNTIFS('Daily Tracking'!$A$6:$A$735,"&gt;="&amp;B27,'Daily Tracking'!$A$6:$A$735,"&lt;="&amp;C27,'Daily Tracking'!$B$6:$B$735,"&lt;&gt;")</f>
        <v>0</v>
      </c>
      <c r="L27" s="3" t="e">
        <f t="shared" si="0"/>
        <v>#N/A</v>
      </c>
    </row>
    <row r="28" spans="1:12" ht="18" customHeight="1" x14ac:dyDescent="0.3">
      <c r="A28" s="130" t="str">
        <f>TEXT(B28,"mmm")&amp;" "&amp;YEAR(B28)</f>
        <v>juil 2028</v>
      </c>
      <c r="B28" s="169">
        <f>EOMONTH(B27,0)+1</f>
        <v>46935</v>
      </c>
      <c r="C28" s="169">
        <f>EOMONTH(B28,0)</f>
        <v>46965</v>
      </c>
      <c r="D28" s="125" t="str" cm="1">
        <f t="array" ref="D28">IF(J28=0,"",IFERROR(INDEX('Daily Tracking'!$B$6:$B$735,MATCH(1,INDEX((('Daily Tracking'!$A$6:$A$735&gt;=B28)*('Daily Tracking'!$A$6:$A$735&lt;=C28)*('Daily Tracking'!$B$6:$B$735&lt;&gt;"")),0),0)),""))</f>
        <v/>
      </c>
      <c r="E28" s="125" t="str" cm="1">
        <f t="array" ref="E28">IF(J28=0,"",IFERROR(LOOKUP(2,1/(('Daily Tracking'!$A$6:$A$735&gt;=B28)*('Daily Tracking'!$A$6:$A$735&lt;=C28)*('Daily Tracking'!$B$6:$B$735&lt;&gt;"")),'Daily Tracking'!$B$6:$B$735),""))</f>
        <v/>
      </c>
      <c r="F28" s="162" t="str">
        <f>IF(OR(D28="",E28=""),"",D28-E28)</f>
        <v/>
      </c>
      <c r="G28" s="170" t="str">
        <f>IF(F28="","",F28/D28)</f>
        <v/>
      </c>
      <c r="H28" s="171" t="str">
        <f>IF(OR(F28="",J28=0),"",F28/J28)</f>
        <v/>
      </c>
      <c r="I28" s="172" t="str">
        <f>IF(H28="","",H28*7)</f>
        <v/>
      </c>
      <c r="J28" s="130">
        <f>COUNTIFS('Daily Tracking'!$A$6:$A$735,"&gt;="&amp;B28,'Daily Tracking'!$A$6:$A$735,"&lt;="&amp;C28,'Daily Tracking'!$B$6:$B$735,"&lt;&gt;")</f>
        <v>0</v>
      </c>
      <c r="L28" s="3" t="e">
        <f t="shared" si="0"/>
        <v>#N/A</v>
      </c>
    </row>
    <row r="29" spans="1:12" ht="18" customHeight="1" x14ac:dyDescent="0.3">
      <c r="A29" s="136" t="str">
        <f>TEXT(B29,"mmm")&amp;" "&amp;YEAR(B29)</f>
        <v>août 2028</v>
      </c>
      <c r="B29" s="173">
        <f>EOMONTH(B28,0)+1</f>
        <v>46966</v>
      </c>
      <c r="C29" s="173">
        <f>EOMONTH(B29,0)</f>
        <v>46996</v>
      </c>
      <c r="D29" s="133" t="str" cm="1">
        <f t="array" ref="D29">IF(J29=0,"",IFERROR(INDEX('Daily Tracking'!$B$6:$B$735,MATCH(1,INDEX((('Daily Tracking'!$A$6:$A$735&gt;=B29)*('Daily Tracking'!$A$6:$A$735&lt;=C29)*('Daily Tracking'!$B$6:$B$735&lt;&gt;"")),0),0)),""))</f>
        <v/>
      </c>
      <c r="E29" s="133" t="str" cm="1">
        <f t="array" ref="E29">IF(J29=0,"",IFERROR(LOOKUP(2,1/(('Daily Tracking'!$A$6:$A$735&gt;=B29)*('Daily Tracking'!$A$6:$A$735&lt;=C29)*('Daily Tracking'!$B$6:$B$735&lt;&gt;"")),'Daily Tracking'!$B$6:$B$735),""))</f>
        <v/>
      </c>
      <c r="F29" s="167" t="str">
        <f>IF(OR(D29="",E29=""),"",D29-E29)</f>
        <v/>
      </c>
      <c r="G29" s="174" t="str">
        <f>IF(F29="","",F29/D29)</f>
        <v/>
      </c>
      <c r="H29" s="175" t="str">
        <f>IF(OR(F29="",J29=0),"",F29/J29)</f>
        <v/>
      </c>
      <c r="I29" s="176" t="str">
        <f>IF(H29="","",H29*7)</f>
        <v/>
      </c>
      <c r="J29" s="136">
        <f>COUNTIFS('Daily Tracking'!$A$6:$A$735,"&gt;="&amp;B29,'Daily Tracking'!$A$6:$A$735,"&lt;="&amp;C29,'Daily Tracking'!$B$6:$B$735,"&lt;&gt;")</f>
        <v>0</v>
      </c>
      <c r="L29" s="3" t="e">
        <f t="shared" si="0"/>
        <v>#N/A</v>
      </c>
    </row>
  </sheetData>
  <sheetProtection sheet="1" objects="1" scenarios="1" sort="0" autoFilter="0"/>
  <mergeCells count="2">
    <mergeCell ref="A1:J1"/>
    <mergeCell ref="A2:J2"/>
  </mergeCells>
  <conditionalFormatting sqref="F6:F29">
    <cfRule type="cellIs" dxfId="14" priority="1" operator="greaterThan">
      <formula>0</formula>
    </cfRule>
  </conditionalFormatting>
  <conditionalFormatting sqref="F6:F29">
    <cfRule type="cellIs" dxfId="13" priority="2" operator="lessThan">
      <formula>0</formula>
    </cfRule>
  </conditionalFormatting>
  <conditionalFormatting sqref="G6:G29">
    <cfRule type="cellIs" dxfId="12" priority="3" operator="greaterThan">
      <formula>0</formula>
    </cfRule>
  </conditionalFormatting>
  <conditionalFormatting sqref="G6:G29">
    <cfRule type="cellIs" dxfId="11" priority="4" operator="lessThan">
      <formula>0</formula>
    </cfRule>
  </conditionalFormatting>
  <pageMargins left="0.75" right="0.75" top="1" bottom="1" header="0.511811023622047" footer="0.511811023622047"/>
  <pageSetup paperSize="9" scale="96" fitToHeight="0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0B981"/>
    <pageSetUpPr fitToPage="1"/>
  </sheetPr>
  <dimension ref="A1:K111"/>
  <sheetViews>
    <sheetView showGridLines="0" zoomScaleNormal="100" workbookViewId="0">
      <pane ySplit="5" topLeftCell="A6" activePane="bottomLeft" state="frozen"/>
      <selection pane="bottomLeft" sqref="A1:K1"/>
    </sheetView>
  </sheetViews>
  <sheetFormatPr defaultColWidth="8.6640625" defaultRowHeight="14.4" x14ac:dyDescent="0.3"/>
  <cols>
    <col min="1" max="1" width="13" style="3" customWidth="1"/>
    <col min="2" max="6" width="11" style="3" customWidth="1"/>
    <col min="7" max="11" width="9" style="3" customWidth="1"/>
    <col min="12" max="16384" width="8.6640625" style="3"/>
  </cols>
  <sheetData>
    <row r="1" spans="1:11" ht="31.95" customHeight="1" x14ac:dyDescent="0.3">
      <c r="A1" s="106" t="s">
        <v>109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</row>
    <row r="2" spans="1:11" ht="18" customHeight="1" x14ac:dyDescent="0.3">
      <c r="A2" s="23" t="s">
        <v>110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6" customHeight="1" x14ac:dyDescent="0.3"/>
    <row r="4" spans="1:11" ht="7.95" customHeight="1" x14ac:dyDescent="0.3"/>
    <row r="5" spans="1:11" ht="28.05" customHeight="1" x14ac:dyDescent="0.3">
      <c r="A5" s="122" t="s">
        <v>67</v>
      </c>
      <c r="B5" s="122" t="s">
        <v>111</v>
      </c>
      <c r="C5" s="122" t="s">
        <v>112</v>
      </c>
      <c r="D5" s="122" t="s">
        <v>113</v>
      </c>
      <c r="E5" s="122" t="s">
        <v>114</v>
      </c>
      <c r="F5" s="122" t="s">
        <v>115</v>
      </c>
      <c r="G5" s="122" t="s">
        <v>116</v>
      </c>
      <c r="H5" s="122" t="s">
        <v>117</v>
      </c>
      <c r="I5" s="122" t="s">
        <v>118</v>
      </c>
      <c r="J5" s="122" t="s">
        <v>119</v>
      </c>
      <c r="K5" s="122" t="s">
        <v>120</v>
      </c>
    </row>
    <row r="6" spans="1:11" ht="18" customHeight="1" x14ac:dyDescent="0.3">
      <c r="A6" s="178"/>
      <c r="B6" s="137"/>
      <c r="C6" s="137"/>
      <c r="D6" s="137"/>
      <c r="E6" s="137"/>
      <c r="F6" s="137"/>
      <c r="G6" s="177" t="str">
        <f t="shared" ref="G6:G45" si="0">IF(OR(B6="",B$6=""),"",B6-B$6)</f>
        <v/>
      </c>
      <c r="H6" s="177" t="str">
        <f t="shared" ref="H6:H45" si="1">IF(OR(C6="",C$6=""),"",C6-C$6)</f>
        <v/>
      </c>
      <c r="I6" s="177" t="str">
        <f t="shared" ref="I6:I45" si="2">IF(OR(D6="",D$6=""),"",D6-D$6)</f>
        <v/>
      </c>
      <c r="J6" s="177" t="str">
        <f t="shared" ref="J6:J45" si="3">IF(OR(E6="",E$6=""),"",E6-E$6)</f>
        <v/>
      </c>
      <c r="K6" s="177" t="str">
        <f t="shared" ref="K6:K45" si="4">IF(OR(F6="",F$6=""),"",F6-F$6)</f>
        <v/>
      </c>
    </row>
    <row r="7" spans="1:11" ht="18" customHeight="1" x14ac:dyDescent="0.3">
      <c r="A7" s="179"/>
      <c r="B7" s="138"/>
      <c r="C7" s="138"/>
      <c r="D7" s="138"/>
      <c r="E7" s="138"/>
      <c r="F7" s="138"/>
      <c r="G7" s="177" t="str">
        <f t="shared" si="0"/>
        <v/>
      </c>
      <c r="H7" s="177" t="str">
        <f t="shared" si="1"/>
        <v/>
      </c>
      <c r="I7" s="177" t="str">
        <f t="shared" si="2"/>
        <v/>
      </c>
      <c r="J7" s="177" t="str">
        <f t="shared" si="3"/>
        <v/>
      </c>
      <c r="K7" s="177" t="str">
        <f t="shared" si="4"/>
        <v/>
      </c>
    </row>
    <row r="8" spans="1:11" ht="18" customHeight="1" x14ac:dyDescent="0.3">
      <c r="A8" s="178"/>
      <c r="B8" s="137"/>
      <c r="C8" s="137"/>
      <c r="D8" s="137"/>
      <c r="E8" s="137"/>
      <c r="F8" s="137"/>
      <c r="G8" s="177" t="str">
        <f t="shared" si="0"/>
        <v/>
      </c>
      <c r="H8" s="177" t="str">
        <f t="shared" si="1"/>
        <v/>
      </c>
      <c r="I8" s="177" t="str">
        <f t="shared" si="2"/>
        <v/>
      </c>
      <c r="J8" s="177" t="str">
        <f t="shared" si="3"/>
        <v/>
      </c>
      <c r="K8" s="177" t="str">
        <f t="shared" si="4"/>
        <v/>
      </c>
    </row>
    <row r="9" spans="1:11" ht="18" customHeight="1" x14ac:dyDescent="0.3">
      <c r="A9" s="179"/>
      <c r="B9" s="138"/>
      <c r="C9" s="138"/>
      <c r="D9" s="138"/>
      <c r="E9" s="138"/>
      <c r="F9" s="138"/>
      <c r="G9" s="177" t="str">
        <f t="shared" si="0"/>
        <v/>
      </c>
      <c r="H9" s="177" t="str">
        <f t="shared" si="1"/>
        <v/>
      </c>
      <c r="I9" s="177" t="str">
        <f t="shared" si="2"/>
        <v/>
      </c>
      <c r="J9" s="177" t="str">
        <f t="shared" si="3"/>
        <v/>
      </c>
      <c r="K9" s="177" t="str">
        <f t="shared" si="4"/>
        <v/>
      </c>
    </row>
    <row r="10" spans="1:11" ht="18" customHeight="1" x14ac:dyDescent="0.3">
      <c r="A10" s="178"/>
      <c r="B10" s="137"/>
      <c r="C10" s="137"/>
      <c r="D10" s="137"/>
      <c r="E10" s="137"/>
      <c r="F10" s="137"/>
      <c r="G10" s="177" t="str">
        <f t="shared" si="0"/>
        <v/>
      </c>
      <c r="H10" s="177" t="str">
        <f t="shared" si="1"/>
        <v/>
      </c>
      <c r="I10" s="177" t="str">
        <f t="shared" si="2"/>
        <v/>
      </c>
      <c r="J10" s="177" t="str">
        <f t="shared" si="3"/>
        <v/>
      </c>
      <c r="K10" s="177" t="str">
        <f t="shared" si="4"/>
        <v/>
      </c>
    </row>
    <row r="11" spans="1:11" ht="18" customHeight="1" x14ac:dyDescent="0.3">
      <c r="A11" s="179"/>
      <c r="B11" s="138"/>
      <c r="C11" s="138"/>
      <c r="D11" s="138"/>
      <c r="E11" s="138"/>
      <c r="F11" s="138"/>
      <c r="G11" s="177" t="str">
        <f t="shared" si="0"/>
        <v/>
      </c>
      <c r="H11" s="177" t="str">
        <f t="shared" si="1"/>
        <v/>
      </c>
      <c r="I11" s="177" t="str">
        <f t="shared" si="2"/>
        <v/>
      </c>
      <c r="J11" s="177" t="str">
        <f t="shared" si="3"/>
        <v/>
      </c>
      <c r="K11" s="177" t="str">
        <f t="shared" si="4"/>
        <v/>
      </c>
    </row>
    <row r="12" spans="1:11" ht="18" customHeight="1" x14ac:dyDescent="0.3">
      <c r="A12" s="178"/>
      <c r="B12" s="137"/>
      <c r="C12" s="137"/>
      <c r="D12" s="137"/>
      <c r="E12" s="137"/>
      <c r="F12" s="137"/>
      <c r="G12" s="177" t="str">
        <f t="shared" si="0"/>
        <v/>
      </c>
      <c r="H12" s="177" t="str">
        <f t="shared" si="1"/>
        <v/>
      </c>
      <c r="I12" s="177" t="str">
        <f t="shared" si="2"/>
        <v/>
      </c>
      <c r="J12" s="177" t="str">
        <f t="shared" si="3"/>
        <v/>
      </c>
      <c r="K12" s="177" t="str">
        <f t="shared" si="4"/>
        <v/>
      </c>
    </row>
    <row r="13" spans="1:11" ht="18" customHeight="1" x14ac:dyDescent="0.3">
      <c r="A13" s="179"/>
      <c r="B13" s="138"/>
      <c r="C13" s="138"/>
      <c r="D13" s="138"/>
      <c r="E13" s="138"/>
      <c r="F13" s="138"/>
      <c r="G13" s="177" t="str">
        <f t="shared" si="0"/>
        <v/>
      </c>
      <c r="H13" s="177" t="str">
        <f t="shared" si="1"/>
        <v/>
      </c>
      <c r="I13" s="177" t="str">
        <f t="shared" si="2"/>
        <v/>
      </c>
      <c r="J13" s="177" t="str">
        <f t="shared" si="3"/>
        <v/>
      </c>
      <c r="K13" s="177" t="str">
        <f t="shared" si="4"/>
        <v/>
      </c>
    </row>
    <row r="14" spans="1:11" ht="18" customHeight="1" x14ac:dyDescent="0.3">
      <c r="A14" s="178"/>
      <c r="B14" s="137"/>
      <c r="C14" s="137"/>
      <c r="D14" s="137"/>
      <c r="E14" s="137"/>
      <c r="F14" s="137"/>
      <c r="G14" s="177" t="str">
        <f t="shared" si="0"/>
        <v/>
      </c>
      <c r="H14" s="177" t="str">
        <f t="shared" si="1"/>
        <v/>
      </c>
      <c r="I14" s="177" t="str">
        <f t="shared" si="2"/>
        <v/>
      </c>
      <c r="J14" s="177" t="str">
        <f t="shared" si="3"/>
        <v/>
      </c>
      <c r="K14" s="177" t="str">
        <f t="shared" si="4"/>
        <v/>
      </c>
    </row>
    <row r="15" spans="1:11" ht="18" customHeight="1" x14ac:dyDescent="0.3">
      <c r="A15" s="179"/>
      <c r="B15" s="138"/>
      <c r="C15" s="138"/>
      <c r="D15" s="138"/>
      <c r="E15" s="138"/>
      <c r="F15" s="138"/>
      <c r="G15" s="177" t="str">
        <f t="shared" si="0"/>
        <v/>
      </c>
      <c r="H15" s="177" t="str">
        <f t="shared" si="1"/>
        <v/>
      </c>
      <c r="I15" s="177" t="str">
        <f t="shared" si="2"/>
        <v/>
      </c>
      <c r="J15" s="177" t="str">
        <f t="shared" si="3"/>
        <v/>
      </c>
      <c r="K15" s="177" t="str">
        <f t="shared" si="4"/>
        <v/>
      </c>
    </row>
    <row r="16" spans="1:11" ht="18" customHeight="1" x14ac:dyDescent="0.3">
      <c r="A16" s="178"/>
      <c r="B16" s="137"/>
      <c r="C16" s="137"/>
      <c r="D16" s="137"/>
      <c r="E16" s="137"/>
      <c r="F16" s="137"/>
      <c r="G16" s="177" t="str">
        <f t="shared" si="0"/>
        <v/>
      </c>
      <c r="H16" s="177" t="str">
        <f t="shared" si="1"/>
        <v/>
      </c>
      <c r="I16" s="177" t="str">
        <f t="shared" si="2"/>
        <v/>
      </c>
      <c r="J16" s="177" t="str">
        <f t="shared" si="3"/>
        <v/>
      </c>
      <c r="K16" s="177" t="str">
        <f t="shared" si="4"/>
        <v/>
      </c>
    </row>
    <row r="17" spans="1:11" ht="18" customHeight="1" x14ac:dyDescent="0.3">
      <c r="A17" s="179"/>
      <c r="B17" s="138"/>
      <c r="C17" s="138"/>
      <c r="D17" s="138"/>
      <c r="E17" s="138"/>
      <c r="F17" s="138"/>
      <c r="G17" s="177" t="str">
        <f t="shared" si="0"/>
        <v/>
      </c>
      <c r="H17" s="177" t="str">
        <f t="shared" si="1"/>
        <v/>
      </c>
      <c r="I17" s="177" t="str">
        <f t="shared" si="2"/>
        <v/>
      </c>
      <c r="J17" s="177" t="str">
        <f t="shared" si="3"/>
        <v/>
      </c>
      <c r="K17" s="177" t="str">
        <f t="shared" si="4"/>
        <v/>
      </c>
    </row>
    <row r="18" spans="1:11" ht="18" customHeight="1" x14ac:dyDescent="0.3">
      <c r="A18" s="178"/>
      <c r="B18" s="137"/>
      <c r="C18" s="137"/>
      <c r="D18" s="137"/>
      <c r="E18" s="137"/>
      <c r="F18" s="137"/>
      <c r="G18" s="177" t="str">
        <f t="shared" si="0"/>
        <v/>
      </c>
      <c r="H18" s="177" t="str">
        <f t="shared" si="1"/>
        <v/>
      </c>
      <c r="I18" s="177" t="str">
        <f t="shared" si="2"/>
        <v/>
      </c>
      <c r="J18" s="177" t="str">
        <f t="shared" si="3"/>
        <v/>
      </c>
      <c r="K18" s="177" t="str">
        <f t="shared" si="4"/>
        <v/>
      </c>
    </row>
    <row r="19" spans="1:11" ht="18" customHeight="1" x14ac:dyDescent="0.3">
      <c r="A19" s="179"/>
      <c r="B19" s="138"/>
      <c r="C19" s="138"/>
      <c r="D19" s="138"/>
      <c r="E19" s="138"/>
      <c r="F19" s="138"/>
      <c r="G19" s="177" t="str">
        <f t="shared" si="0"/>
        <v/>
      </c>
      <c r="H19" s="177" t="str">
        <f t="shared" si="1"/>
        <v/>
      </c>
      <c r="I19" s="177" t="str">
        <f t="shared" si="2"/>
        <v/>
      </c>
      <c r="J19" s="177" t="str">
        <f t="shared" si="3"/>
        <v/>
      </c>
      <c r="K19" s="177" t="str">
        <f t="shared" si="4"/>
        <v/>
      </c>
    </row>
    <row r="20" spans="1:11" ht="18" customHeight="1" x14ac:dyDescent="0.3">
      <c r="A20" s="178"/>
      <c r="B20" s="137"/>
      <c r="C20" s="137"/>
      <c r="D20" s="137"/>
      <c r="E20" s="137"/>
      <c r="F20" s="137"/>
      <c r="G20" s="177" t="str">
        <f t="shared" si="0"/>
        <v/>
      </c>
      <c r="H20" s="177" t="str">
        <f t="shared" si="1"/>
        <v/>
      </c>
      <c r="I20" s="177" t="str">
        <f t="shared" si="2"/>
        <v/>
      </c>
      <c r="J20" s="177" t="str">
        <f t="shared" si="3"/>
        <v/>
      </c>
      <c r="K20" s="177" t="str">
        <f t="shared" si="4"/>
        <v/>
      </c>
    </row>
    <row r="21" spans="1:11" ht="18" customHeight="1" x14ac:dyDescent="0.3">
      <c r="A21" s="179"/>
      <c r="B21" s="138"/>
      <c r="C21" s="138"/>
      <c r="D21" s="138"/>
      <c r="E21" s="138"/>
      <c r="F21" s="138"/>
      <c r="G21" s="177" t="str">
        <f t="shared" si="0"/>
        <v/>
      </c>
      <c r="H21" s="177" t="str">
        <f t="shared" si="1"/>
        <v/>
      </c>
      <c r="I21" s="177" t="str">
        <f t="shared" si="2"/>
        <v/>
      </c>
      <c r="J21" s="177" t="str">
        <f t="shared" si="3"/>
        <v/>
      </c>
      <c r="K21" s="177" t="str">
        <f t="shared" si="4"/>
        <v/>
      </c>
    </row>
    <row r="22" spans="1:11" ht="18" customHeight="1" x14ac:dyDescent="0.3">
      <c r="A22" s="178"/>
      <c r="B22" s="137"/>
      <c r="C22" s="137"/>
      <c r="D22" s="137"/>
      <c r="E22" s="137"/>
      <c r="F22" s="137"/>
      <c r="G22" s="177" t="str">
        <f t="shared" si="0"/>
        <v/>
      </c>
      <c r="H22" s="177" t="str">
        <f t="shared" si="1"/>
        <v/>
      </c>
      <c r="I22" s="177" t="str">
        <f t="shared" si="2"/>
        <v/>
      </c>
      <c r="J22" s="177" t="str">
        <f t="shared" si="3"/>
        <v/>
      </c>
      <c r="K22" s="177" t="str">
        <f t="shared" si="4"/>
        <v/>
      </c>
    </row>
    <row r="23" spans="1:11" ht="18" customHeight="1" x14ac:dyDescent="0.3">
      <c r="A23" s="179"/>
      <c r="B23" s="138"/>
      <c r="C23" s="138"/>
      <c r="D23" s="138"/>
      <c r="E23" s="138"/>
      <c r="F23" s="138"/>
      <c r="G23" s="177" t="str">
        <f t="shared" si="0"/>
        <v/>
      </c>
      <c r="H23" s="177" t="str">
        <f t="shared" si="1"/>
        <v/>
      </c>
      <c r="I23" s="177" t="str">
        <f t="shared" si="2"/>
        <v/>
      </c>
      <c r="J23" s="177" t="str">
        <f t="shared" si="3"/>
        <v/>
      </c>
      <c r="K23" s="177" t="str">
        <f t="shared" si="4"/>
        <v/>
      </c>
    </row>
    <row r="24" spans="1:11" ht="18" customHeight="1" x14ac:dyDescent="0.3">
      <c r="A24" s="178"/>
      <c r="B24" s="137"/>
      <c r="C24" s="137"/>
      <c r="D24" s="137"/>
      <c r="E24" s="137"/>
      <c r="F24" s="137"/>
      <c r="G24" s="177" t="str">
        <f t="shared" si="0"/>
        <v/>
      </c>
      <c r="H24" s="177" t="str">
        <f t="shared" si="1"/>
        <v/>
      </c>
      <c r="I24" s="177" t="str">
        <f t="shared" si="2"/>
        <v/>
      </c>
      <c r="J24" s="177" t="str">
        <f t="shared" si="3"/>
        <v/>
      </c>
      <c r="K24" s="177" t="str">
        <f t="shared" si="4"/>
        <v/>
      </c>
    </row>
    <row r="25" spans="1:11" ht="18" customHeight="1" x14ac:dyDescent="0.3">
      <c r="A25" s="179"/>
      <c r="B25" s="138"/>
      <c r="C25" s="138"/>
      <c r="D25" s="138"/>
      <c r="E25" s="138"/>
      <c r="F25" s="138"/>
      <c r="G25" s="177" t="str">
        <f t="shared" si="0"/>
        <v/>
      </c>
      <c r="H25" s="177" t="str">
        <f t="shared" si="1"/>
        <v/>
      </c>
      <c r="I25" s="177" t="str">
        <f t="shared" si="2"/>
        <v/>
      </c>
      <c r="J25" s="177" t="str">
        <f t="shared" si="3"/>
        <v/>
      </c>
      <c r="K25" s="177" t="str">
        <f t="shared" si="4"/>
        <v/>
      </c>
    </row>
    <row r="26" spans="1:11" ht="18" customHeight="1" x14ac:dyDescent="0.3">
      <c r="A26" s="178"/>
      <c r="B26" s="137"/>
      <c r="C26" s="137"/>
      <c r="D26" s="137"/>
      <c r="E26" s="137"/>
      <c r="F26" s="137"/>
      <c r="G26" s="177" t="str">
        <f t="shared" si="0"/>
        <v/>
      </c>
      <c r="H26" s="177" t="str">
        <f t="shared" si="1"/>
        <v/>
      </c>
      <c r="I26" s="177" t="str">
        <f t="shared" si="2"/>
        <v/>
      </c>
      <c r="J26" s="177" t="str">
        <f t="shared" si="3"/>
        <v/>
      </c>
      <c r="K26" s="177" t="str">
        <f t="shared" si="4"/>
        <v/>
      </c>
    </row>
    <row r="27" spans="1:11" ht="18" customHeight="1" x14ac:dyDescent="0.3">
      <c r="A27" s="179"/>
      <c r="B27" s="138"/>
      <c r="C27" s="138"/>
      <c r="D27" s="138"/>
      <c r="E27" s="138"/>
      <c r="F27" s="138"/>
      <c r="G27" s="177" t="str">
        <f t="shared" si="0"/>
        <v/>
      </c>
      <c r="H27" s="177" t="str">
        <f t="shared" si="1"/>
        <v/>
      </c>
      <c r="I27" s="177" t="str">
        <f t="shared" si="2"/>
        <v/>
      </c>
      <c r="J27" s="177" t="str">
        <f t="shared" si="3"/>
        <v/>
      </c>
      <c r="K27" s="177" t="str">
        <f t="shared" si="4"/>
        <v/>
      </c>
    </row>
    <row r="28" spans="1:11" ht="18" customHeight="1" x14ac:dyDescent="0.3">
      <c r="A28" s="178"/>
      <c r="B28" s="137"/>
      <c r="C28" s="137"/>
      <c r="D28" s="137"/>
      <c r="E28" s="137"/>
      <c r="F28" s="137"/>
      <c r="G28" s="177" t="str">
        <f t="shared" si="0"/>
        <v/>
      </c>
      <c r="H28" s="177" t="str">
        <f t="shared" si="1"/>
        <v/>
      </c>
      <c r="I28" s="177" t="str">
        <f t="shared" si="2"/>
        <v/>
      </c>
      <c r="J28" s="177" t="str">
        <f t="shared" si="3"/>
        <v/>
      </c>
      <c r="K28" s="177" t="str">
        <f t="shared" si="4"/>
        <v/>
      </c>
    </row>
    <row r="29" spans="1:11" ht="18" customHeight="1" x14ac:dyDescent="0.3">
      <c r="A29" s="179"/>
      <c r="B29" s="138"/>
      <c r="C29" s="138"/>
      <c r="D29" s="138"/>
      <c r="E29" s="138"/>
      <c r="F29" s="138"/>
      <c r="G29" s="177" t="str">
        <f t="shared" si="0"/>
        <v/>
      </c>
      <c r="H29" s="177" t="str">
        <f t="shared" si="1"/>
        <v/>
      </c>
      <c r="I29" s="177" t="str">
        <f t="shared" si="2"/>
        <v/>
      </c>
      <c r="J29" s="177" t="str">
        <f t="shared" si="3"/>
        <v/>
      </c>
      <c r="K29" s="177" t="str">
        <f t="shared" si="4"/>
        <v/>
      </c>
    </row>
    <row r="30" spans="1:11" ht="18" customHeight="1" x14ac:dyDescent="0.3">
      <c r="A30" s="178"/>
      <c r="B30" s="137"/>
      <c r="C30" s="137"/>
      <c r="D30" s="137"/>
      <c r="E30" s="137"/>
      <c r="F30" s="137"/>
      <c r="G30" s="177" t="str">
        <f t="shared" si="0"/>
        <v/>
      </c>
      <c r="H30" s="177" t="str">
        <f t="shared" si="1"/>
        <v/>
      </c>
      <c r="I30" s="177" t="str">
        <f t="shared" si="2"/>
        <v/>
      </c>
      <c r="J30" s="177" t="str">
        <f t="shared" si="3"/>
        <v/>
      </c>
      <c r="K30" s="177" t="str">
        <f t="shared" si="4"/>
        <v/>
      </c>
    </row>
    <row r="31" spans="1:11" ht="18" customHeight="1" x14ac:dyDescent="0.3">
      <c r="A31" s="179"/>
      <c r="B31" s="138"/>
      <c r="C31" s="138"/>
      <c r="D31" s="138"/>
      <c r="E31" s="138"/>
      <c r="F31" s="138"/>
      <c r="G31" s="177" t="str">
        <f t="shared" si="0"/>
        <v/>
      </c>
      <c r="H31" s="177" t="str">
        <f t="shared" si="1"/>
        <v/>
      </c>
      <c r="I31" s="177" t="str">
        <f t="shared" si="2"/>
        <v/>
      </c>
      <c r="J31" s="177" t="str">
        <f t="shared" si="3"/>
        <v/>
      </c>
      <c r="K31" s="177" t="str">
        <f t="shared" si="4"/>
        <v/>
      </c>
    </row>
    <row r="32" spans="1:11" ht="18" customHeight="1" x14ac:dyDescent="0.3">
      <c r="A32" s="178"/>
      <c r="B32" s="137"/>
      <c r="C32" s="137"/>
      <c r="D32" s="137"/>
      <c r="E32" s="137"/>
      <c r="F32" s="137"/>
      <c r="G32" s="177" t="str">
        <f t="shared" si="0"/>
        <v/>
      </c>
      <c r="H32" s="177" t="str">
        <f t="shared" si="1"/>
        <v/>
      </c>
      <c r="I32" s="177" t="str">
        <f t="shared" si="2"/>
        <v/>
      </c>
      <c r="J32" s="177" t="str">
        <f t="shared" si="3"/>
        <v/>
      </c>
      <c r="K32" s="177" t="str">
        <f t="shared" si="4"/>
        <v/>
      </c>
    </row>
    <row r="33" spans="1:11" ht="18" customHeight="1" x14ac:dyDescent="0.3">
      <c r="A33" s="179"/>
      <c r="B33" s="138"/>
      <c r="C33" s="138"/>
      <c r="D33" s="138"/>
      <c r="E33" s="138"/>
      <c r="F33" s="138"/>
      <c r="G33" s="177" t="str">
        <f t="shared" si="0"/>
        <v/>
      </c>
      <c r="H33" s="177" t="str">
        <f t="shared" si="1"/>
        <v/>
      </c>
      <c r="I33" s="177" t="str">
        <f t="shared" si="2"/>
        <v/>
      </c>
      <c r="J33" s="177" t="str">
        <f t="shared" si="3"/>
        <v/>
      </c>
      <c r="K33" s="177" t="str">
        <f t="shared" si="4"/>
        <v/>
      </c>
    </row>
    <row r="34" spans="1:11" ht="18" customHeight="1" x14ac:dyDescent="0.3">
      <c r="A34" s="178"/>
      <c r="B34" s="137"/>
      <c r="C34" s="137"/>
      <c r="D34" s="137"/>
      <c r="E34" s="137"/>
      <c r="F34" s="137"/>
      <c r="G34" s="177" t="str">
        <f t="shared" si="0"/>
        <v/>
      </c>
      <c r="H34" s="177" t="str">
        <f t="shared" si="1"/>
        <v/>
      </c>
      <c r="I34" s="177" t="str">
        <f t="shared" si="2"/>
        <v/>
      </c>
      <c r="J34" s="177" t="str">
        <f t="shared" si="3"/>
        <v/>
      </c>
      <c r="K34" s="177" t="str">
        <f t="shared" si="4"/>
        <v/>
      </c>
    </row>
    <row r="35" spans="1:11" ht="18" customHeight="1" x14ac:dyDescent="0.3">
      <c r="A35" s="179"/>
      <c r="B35" s="138"/>
      <c r="C35" s="138"/>
      <c r="D35" s="138"/>
      <c r="E35" s="138"/>
      <c r="F35" s="138"/>
      <c r="G35" s="177" t="str">
        <f t="shared" si="0"/>
        <v/>
      </c>
      <c r="H35" s="177" t="str">
        <f t="shared" si="1"/>
        <v/>
      </c>
      <c r="I35" s="177" t="str">
        <f t="shared" si="2"/>
        <v/>
      </c>
      <c r="J35" s="177" t="str">
        <f t="shared" si="3"/>
        <v/>
      </c>
      <c r="K35" s="177" t="str">
        <f t="shared" si="4"/>
        <v/>
      </c>
    </row>
    <row r="36" spans="1:11" ht="18" customHeight="1" x14ac:dyDescent="0.3">
      <c r="A36" s="178"/>
      <c r="B36" s="137"/>
      <c r="C36" s="137"/>
      <c r="D36" s="137"/>
      <c r="E36" s="137"/>
      <c r="F36" s="137"/>
      <c r="G36" s="177" t="str">
        <f t="shared" si="0"/>
        <v/>
      </c>
      <c r="H36" s="177" t="str">
        <f t="shared" si="1"/>
        <v/>
      </c>
      <c r="I36" s="177" t="str">
        <f t="shared" si="2"/>
        <v/>
      </c>
      <c r="J36" s="177" t="str">
        <f t="shared" si="3"/>
        <v/>
      </c>
      <c r="K36" s="177" t="str">
        <f t="shared" si="4"/>
        <v/>
      </c>
    </row>
    <row r="37" spans="1:11" ht="18" customHeight="1" x14ac:dyDescent="0.3">
      <c r="A37" s="179"/>
      <c r="B37" s="138"/>
      <c r="C37" s="138"/>
      <c r="D37" s="138"/>
      <c r="E37" s="138"/>
      <c r="F37" s="138"/>
      <c r="G37" s="177" t="str">
        <f t="shared" si="0"/>
        <v/>
      </c>
      <c r="H37" s="177" t="str">
        <f t="shared" si="1"/>
        <v/>
      </c>
      <c r="I37" s="177" t="str">
        <f t="shared" si="2"/>
        <v/>
      </c>
      <c r="J37" s="177" t="str">
        <f t="shared" si="3"/>
        <v/>
      </c>
      <c r="K37" s="177" t="str">
        <f t="shared" si="4"/>
        <v/>
      </c>
    </row>
    <row r="38" spans="1:11" ht="18" customHeight="1" x14ac:dyDescent="0.3">
      <c r="A38" s="178"/>
      <c r="B38" s="137"/>
      <c r="C38" s="137"/>
      <c r="D38" s="137"/>
      <c r="E38" s="137"/>
      <c r="F38" s="137"/>
      <c r="G38" s="177" t="str">
        <f t="shared" si="0"/>
        <v/>
      </c>
      <c r="H38" s="177" t="str">
        <f t="shared" si="1"/>
        <v/>
      </c>
      <c r="I38" s="177" t="str">
        <f t="shared" si="2"/>
        <v/>
      </c>
      <c r="J38" s="177" t="str">
        <f t="shared" si="3"/>
        <v/>
      </c>
      <c r="K38" s="177" t="str">
        <f t="shared" si="4"/>
        <v/>
      </c>
    </row>
    <row r="39" spans="1:11" ht="18" customHeight="1" x14ac:dyDescent="0.3">
      <c r="A39" s="179"/>
      <c r="B39" s="138"/>
      <c r="C39" s="138"/>
      <c r="D39" s="138"/>
      <c r="E39" s="138"/>
      <c r="F39" s="138"/>
      <c r="G39" s="177" t="str">
        <f t="shared" si="0"/>
        <v/>
      </c>
      <c r="H39" s="177" t="str">
        <f t="shared" si="1"/>
        <v/>
      </c>
      <c r="I39" s="177" t="str">
        <f t="shared" si="2"/>
        <v/>
      </c>
      <c r="J39" s="177" t="str">
        <f t="shared" si="3"/>
        <v/>
      </c>
      <c r="K39" s="177" t="str">
        <f t="shared" si="4"/>
        <v/>
      </c>
    </row>
    <row r="40" spans="1:11" ht="18" customHeight="1" x14ac:dyDescent="0.3">
      <c r="A40" s="178"/>
      <c r="B40" s="137"/>
      <c r="C40" s="137"/>
      <c r="D40" s="137"/>
      <c r="E40" s="137"/>
      <c r="F40" s="137"/>
      <c r="G40" s="177" t="str">
        <f t="shared" si="0"/>
        <v/>
      </c>
      <c r="H40" s="177" t="str">
        <f t="shared" si="1"/>
        <v/>
      </c>
      <c r="I40" s="177" t="str">
        <f t="shared" si="2"/>
        <v/>
      </c>
      <c r="J40" s="177" t="str">
        <f t="shared" si="3"/>
        <v/>
      </c>
      <c r="K40" s="177" t="str">
        <f t="shared" si="4"/>
        <v/>
      </c>
    </row>
    <row r="41" spans="1:11" ht="18" customHeight="1" x14ac:dyDescent="0.3">
      <c r="A41" s="179"/>
      <c r="B41" s="138"/>
      <c r="C41" s="138"/>
      <c r="D41" s="138"/>
      <c r="E41" s="138"/>
      <c r="F41" s="138"/>
      <c r="G41" s="177" t="str">
        <f t="shared" si="0"/>
        <v/>
      </c>
      <c r="H41" s="177" t="str">
        <f t="shared" si="1"/>
        <v/>
      </c>
      <c r="I41" s="177" t="str">
        <f t="shared" si="2"/>
        <v/>
      </c>
      <c r="J41" s="177" t="str">
        <f t="shared" si="3"/>
        <v/>
      </c>
      <c r="K41" s="177" t="str">
        <f t="shared" si="4"/>
        <v/>
      </c>
    </row>
    <row r="42" spans="1:11" ht="18" customHeight="1" x14ac:dyDescent="0.3">
      <c r="A42" s="178"/>
      <c r="B42" s="137"/>
      <c r="C42" s="137"/>
      <c r="D42" s="137"/>
      <c r="E42" s="137"/>
      <c r="F42" s="137"/>
      <c r="G42" s="177" t="str">
        <f t="shared" si="0"/>
        <v/>
      </c>
      <c r="H42" s="177" t="str">
        <f t="shared" si="1"/>
        <v/>
      </c>
      <c r="I42" s="177" t="str">
        <f t="shared" si="2"/>
        <v/>
      </c>
      <c r="J42" s="177" t="str">
        <f t="shared" si="3"/>
        <v/>
      </c>
      <c r="K42" s="177" t="str">
        <f t="shared" si="4"/>
        <v/>
      </c>
    </row>
    <row r="43" spans="1:11" ht="18" customHeight="1" x14ac:dyDescent="0.3">
      <c r="A43" s="179"/>
      <c r="B43" s="138"/>
      <c r="C43" s="138"/>
      <c r="D43" s="138"/>
      <c r="E43" s="138"/>
      <c r="F43" s="138"/>
      <c r="G43" s="177" t="str">
        <f t="shared" si="0"/>
        <v/>
      </c>
      <c r="H43" s="177" t="str">
        <f t="shared" si="1"/>
        <v/>
      </c>
      <c r="I43" s="177" t="str">
        <f t="shared" si="2"/>
        <v/>
      </c>
      <c r="J43" s="177" t="str">
        <f t="shared" si="3"/>
        <v/>
      </c>
      <c r="K43" s="177" t="str">
        <f t="shared" si="4"/>
        <v/>
      </c>
    </row>
    <row r="44" spans="1:11" ht="18" customHeight="1" x14ac:dyDescent="0.3">
      <c r="A44" s="178"/>
      <c r="B44" s="137"/>
      <c r="C44" s="137"/>
      <c r="D44" s="137"/>
      <c r="E44" s="137"/>
      <c r="F44" s="137"/>
      <c r="G44" s="177" t="str">
        <f t="shared" si="0"/>
        <v/>
      </c>
      <c r="H44" s="177" t="str">
        <f t="shared" si="1"/>
        <v/>
      </c>
      <c r="I44" s="177" t="str">
        <f t="shared" si="2"/>
        <v/>
      </c>
      <c r="J44" s="177" t="str">
        <f t="shared" si="3"/>
        <v/>
      </c>
      <c r="K44" s="177" t="str">
        <f t="shared" si="4"/>
        <v/>
      </c>
    </row>
    <row r="45" spans="1:11" ht="18" customHeight="1" x14ac:dyDescent="0.3">
      <c r="A45" s="179"/>
      <c r="B45" s="138"/>
      <c r="C45" s="138"/>
      <c r="D45" s="138"/>
      <c r="E45" s="138"/>
      <c r="F45" s="138"/>
      <c r="G45" s="177" t="str">
        <f t="shared" si="0"/>
        <v/>
      </c>
      <c r="H45" s="177" t="str">
        <f t="shared" si="1"/>
        <v/>
      </c>
      <c r="I45" s="177" t="str">
        <f t="shared" si="2"/>
        <v/>
      </c>
      <c r="J45" s="177" t="str">
        <f t="shared" si="3"/>
        <v/>
      </c>
      <c r="K45" s="177" t="str">
        <f t="shared" si="4"/>
        <v/>
      </c>
    </row>
    <row r="46" spans="1:11" ht="18" customHeight="1" x14ac:dyDescent="0.3">
      <c r="A46" s="178"/>
      <c r="B46" s="137"/>
      <c r="C46" s="137"/>
      <c r="D46" s="137"/>
      <c r="E46" s="137"/>
      <c r="F46" s="137"/>
      <c r="G46" s="177" t="str">
        <f t="shared" ref="G46:G109" si="5">IF(OR(B46="",B$6=""),"",B46-B$6)</f>
        <v/>
      </c>
      <c r="H46" s="177" t="str">
        <f t="shared" ref="H46:H109" si="6">IF(OR(C46="",C$6=""),"",C46-C$6)</f>
        <v/>
      </c>
      <c r="I46" s="177" t="str">
        <f t="shared" ref="I46:I109" si="7">IF(OR(D46="",D$6=""),"",D46-D$6)</f>
        <v/>
      </c>
      <c r="J46" s="177" t="str">
        <f t="shared" ref="J46:J109" si="8">IF(OR(E46="",E$6=""),"",E46-E$6)</f>
        <v/>
      </c>
      <c r="K46" s="177" t="str">
        <f t="shared" ref="K46:K109" si="9">IF(OR(F46="",F$6=""),"",F46-F$6)</f>
        <v/>
      </c>
    </row>
    <row r="47" spans="1:11" ht="18" customHeight="1" x14ac:dyDescent="0.3">
      <c r="A47" s="179"/>
      <c r="B47" s="138"/>
      <c r="C47" s="138"/>
      <c r="D47" s="138"/>
      <c r="E47" s="138"/>
      <c r="F47" s="138"/>
      <c r="G47" s="177" t="str">
        <f t="shared" si="5"/>
        <v/>
      </c>
      <c r="H47" s="177" t="str">
        <f t="shared" si="6"/>
        <v/>
      </c>
      <c r="I47" s="177" t="str">
        <f t="shared" si="7"/>
        <v/>
      </c>
      <c r="J47" s="177" t="str">
        <f t="shared" si="8"/>
        <v/>
      </c>
      <c r="K47" s="177" t="str">
        <f t="shared" si="9"/>
        <v/>
      </c>
    </row>
    <row r="48" spans="1:11" ht="18" customHeight="1" x14ac:dyDescent="0.3">
      <c r="A48" s="178"/>
      <c r="B48" s="137"/>
      <c r="C48" s="137"/>
      <c r="D48" s="137"/>
      <c r="E48" s="137"/>
      <c r="F48" s="137"/>
      <c r="G48" s="177" t="str">
        <f t="shared" si="5"/>
        <v/>
      </c>
      <c r="H48" s="177" t="str">
        <f t="shared" si="6"/>
        <v/>
      </c>
      <c r="I48" s="177" t="str">
        <f t="shared" si="7"/>
        <v/>
      </c>
      <c r="J48" s="177" t="str">
        <f t="shared" si="8"/>
        <v/>
      </c>
      <c r="K48" s="177" t="str">
        <f t="shared" si="9"/>
        <v/>
      </c>
    </row>
    <row r="49" spans="1:11" ht="18" customHeight="1" x14ac:dyDescent="0.3">
      <c r="A49" s="179"/>
      <c r="B49" s="138"/>
      <c r="C49" s="138"/>
      <c r="D49" s="138"/>
      <c r="E49" s="138"/>
      <c r="F49" s="138"/>
      <c r="G49" s="177" t="str">
        <f t="shared" si="5"/>
        <v/>
      </c>
      <c r="H49" s="177" t="str">
        <f t="shared" si="6"/>
        <v/>
      </c>
      <c r="I49" s="177" t="str">
        <f t="shared" si="7"/>
        <v/>
      </c>
      <c r="J49" s="177" t="str">
        <f t="shared" si="8"/>
        <v/>
      </c>
      <c r="K49" s="177" t="str">
        <f t="shared" si="9"/>
        <v/>
      </c>
    </row>
    <row r="50" spans="1:11" ht="18" customHeight="1" x14ac:dyDescent="0.3">
      <c r="A50" s="178"/>
      <c r="B50" s="137"/>
      <c r="C50" s="137"/>
      <c r="D50" s="137"/>
      <c r="E50" s="137"/>
      <c r="F50" s="137"/>
      <c r="G50" s="177" t="str">
        <f t="shared" si="5"/>
        <v/>
      </c>
      <c r="H50" s="177" t="str">
        <f t="shared" si="6"/>
        <v/>
      </c>
      <c r="I50" s="177" t="str">
        <f t="shared" si="7"/>
        <v/>
      </c>
      <c r="J50" s="177" t="str">
        <f t="shared" si="8"/>
        <v/>
      </c>
      <c r="K50" s="177" t="str">
        <f t="shared" si="9"/>
        <v/>
      </c>
    </row>
    <row r="51" spans="1:11" ht="18" customHeight="1" x14ac:dyDescent="0.3">
      <c r="A51" s="179"/>
      <c r="B51" s="138"/>
      <c r="C51" s="138"/>
      <c r="D51" s="138"/>
      <c r="E51" s="138"/>
      <c r="F51" s="138"/>
      <c r="G51" s="177" t="str">
        <f t="shared" si="5"/>
        <v/>
      </c>
      <c r="H51" s="177" t="str">
        <f t="shared" si="6"/>
        <v/>
      </c>
      <c r="I51" s="177" t="str">
        <f t="shared" si="7"/>
        <v/>
      </c>
      <c r="J51" s="177" t="str">
        <f t="shared" si="8"/>
        <v/>
      </c>
      <c r="K51" s="177" t="str">
        <f t="shared" si="9"/>
        <v/>
      </c>
    </row>
    <row r="52" spans="1:11" ht="18" customHeight="1" x14ac:dyDescent="0.3">
      <c r="A52" s="178"/>
      <c r="B52" s="137"/>
      <c r="C52" s="137"/>
      <c r="D52" s="137"/>
      <c r="E52" s="137"/>
      <c r="F52" s="137"/>
      <c r="G52" s="177" t="str">
        <f t="shared" si="5"/>
        <v/>
      </c>
      <c r="H52" s="177" t="str">
        <f t="shared" si="6"/>
        <v/>
      </c>
      <c r="I52" s="177" t="str">
        <f t="shared" si="7"/>
        <v/>
      </c>
      <c r="J52" s="177" t="str">
        <f t="shared" si="8"/>
        <v/>
      </c>
      <c r="K52" s="177" t="str">
        <f t="shared" si="9"/>
        <v/>
      </c>
    </row>
    <row r="53" spans="1:11" ht="18" customHeight="1" x14ac:dyDescent="0.3">
      <c r="A53" s="179"/>
      <c r="B53" s="138"/>
      <c r="C53" s="138"/>
      <c r="D53" s="138"/>
      <c r="E53" s="138"/>
      <c r="F53" s="138"/>
      <c r="G53" s="177" t="str">
        <f t="shared" si="5"/>
        <v/>
      </c>
      <c r="H53" s="177" t="str">
        <f t="shared" si="6"/>
        <v/>
      </c>
      <c r="I53" s="177" t="str">
        <f t="shared" si="7"/>
        <v/>
      </c>
      <c r="J53" s="177" t="str">
        <f t="shared" si="8"/>
        <v/>
      </c>
      <c r="K53" s="177" t="str">
        <f t="shared" si="9"/>
        <v/>
      </c>
    </row>
    <row r="54" spans="1:11" ht="18" customHeight="1" x14ac:dyDescent="0.3">
      <c r="A54" s="178"/>
      <c r="B54" s="137"/>
      <c r="C54" s="137"/>
      <c r="D54" s="137"/>
      <c r="E54" s="137"/>
      <c r="F54" s="137"/>
      <c r="G54" s="177" t="str">
        <f t="shared" si="5"/>
        <v/>
      </c>
      <c r="H54" s="177" t="str">
        <f t="shared" si="6"/>
        <v/>
      </c>
      <c r="I54" s="177" t="str">
        <f t="shared" si="7"/>
        <v/>
      </c>
      <c r="J54" s="177" t="str">
        <f t="shared" si="8"/>
        <v/>
      </c>
      <c r="K54" s="177" t="str">
        <f t="shared" si="9"/>
        <v/>
      </c>
    </row>
    <row r="55" spans="1:11" ht="18" customHeight="1" x14ac:dyDescent="0.3">
      <c r="A55" s="179"/>
      <c r="B55" s="138"/>
      <c r="C55" s="138"/>
      <c r="D55" s="138"/>
      <c r="E55" s="138"/>
      <c r="F55" s="138"/>
      <c r="G55" s="177" t="str">
        <f t="shared" si="5"/>
        <v/>
      </c>
      <c r="H55" s="177" t="str">
        <f t="shared" si="6"/>
        <v/>
      </c>
      <c r="I55" s="177" t="str">
        <f t="shared" si="7"/>
        <v/>
      </c>
      <c r="J55" s="177" t="str">
        <f t="shared" si="8"/>
        <v/>
      </c>
      <c r="K55" s="177" t="str">
        <f t="shared" si="9"/>
        <v/>
      </c>
    </row>
    <row r="56" spans="1:11" ht="18" customHeight="1" x14ac:dyDescent="0.3">
      <c r="A56" s="178"/>
      <c r="B56" s="137"/>
      <c r="C56" s="137"/>
      <c r="D56" s="137"/>
      <c r="E56" s="137"/>
      <c r="F56" s="137"/>
      <c r="G56" s="177" t="str">
        <f t="shared" si="5"/>
        <v/>
      </c>
      <c r="H56" s="177" t="str">
        <f t="shared" si="6"/>
        <v/>
      </c>
      <c r="I56" s="177" t="str">
        <f t="shared" si="7"/>
        <v/>
      </c>
      <c r="J56" s="177" t="str">
        <f t="shared" si="8"/>
        <v/>
      </c>
      <c r="K56" s="177" t="str">
        <f t="shared" si="9"/>
        <v/>
      </c>
    </row>
    <row r="57" spans="1:11" ht="18" customHeight="1" x14ac:dyDescent="0.3">
      <c r="A57" s="179"/>
      <c r="B57" s="138"/>
      <c r="C57" s="138"/>
      <c r="D57" s="138"/>
      <c r="E57" s="138"/>
      <c r="F57" s="138"/>
      <c r="G57" s="177" t="str">
        <f t="shared" si="5"/>
        <v/>
      </c>
      <c r="H57" s="177" t="str">
        <f t="shared" si="6"/>
        <v/>
      </c>
      <c r="I57" s="177" t="str">
        <f t="shared" si="7"/>
        <v/>
      </c>
      <c r="J57" s="177" t="str">
        <f t="shared" si="8"/>
        <v/>
      </c>
      <c r="K57" s="177" t="str">
        <f t="shared" si="9"/>
        <v/>
      </c>
    </row>
    <row r="58" spans="1:11" ht="18" customHeight="1" x14ac:dyDescent="0.3">
      <c r="A58" s="178"/>
      <c r="B58" s="137"/>
      <c r="C58" s="137"/>
      <c r="D58" s="137"/>
      <c r="E58" s="137"/>
      <c r="F58" s="137"/>
      <c r="G58" s="177" t="str">
        <f t="shared" si="5"/>
        <v/>
      </c>
      <c r="H58" s="177" t="str">
        <f t="shared" si="6"/>
        <v/>
      </c>
      <c r="I58" s="177" t="str">
        <f t="shared" si="7"/>
        <v/>
      </c>
      <c r="J58" s="177" t="str">
        <f t="shared" si="8"/>
        <v/>
      </c>
      <c r="K58" s="177" t="str">
        <f t="shared" si="9"/>
        <v/>
      </c>
    </row>
    <row r="59" spans="1:11" ht="18" customHeight="1" x14ac:dyDescent="0.3">
      <c r="A59" s="179"/>
      <c r="B59" s="138"/>
      <c r="C59" s="138"/>
      <c r="D59" s="138"/>
      <c r="E59" s="138"/>
      <c r="F59" s="138"/>
      <c r="G59" s="177" t="str">
        <f t="shared" si="5"/>
        <v/>
      </c>
      <c r="H59" s="177" t="str">
        <f t="shared" si="6"/>
        <v/>
      </c>
      <c r="I59" s="177" t="str">
        <f t="shared" si="7"/>
        <v/>
      </c>
      <c r="J59" s="177" t="str">
        <f t="shared" si="8"/>
        <v/>
      </c>
      <c r="K59" s="177" t="str">
        <f t="shared" si="9"/>
        <v/>
      </c>
    </row>
    <row r="60" spans="1:11" ht="18" customHeight="1" x14ac:dyDescent="0.3">
      <c r="A60" s="178"/>
      <c r="B60" s="137"/>
      <c r="C60" s="137"/>
      <c r="D60" s="137"/>
      <c r="E60" s="137"/>
      <c r="F60" s="137"/>
      <c r="G60" s="177" t="str">
        <f t="shared" si="5"/>
        <v/>
      </c>
      <c r="H60" s="177" t="str">
        <f t="shared" si="6"/>
        <v/>
      </c>
      <c r="I60" s="177" t="str">
        <f t="shared" si="7"/>
        <v/>
      </c>
      <c r="J60" s="177" t="str">
        <f t="shared" si="8"/>
        <v/>
      </c>
      <c r="K60" s="177" t="str">
        <f t="shared" si="9"/>
        <v/>
      </c>
    </row>
    <row r="61" spans="1:11" ht="18" customHeight="1" x14ac:dyDescent="0.3">
      <c r="A61" s="179"/>
      <c r="B61" s="138"/>
      <c r="C61" s="138"/>
      <c r="D61" s="138"/>
      <c r="E61" s="138"/>
      <c r="F61" s="138"/>
      <c r="G61" s="177" t="str">
        <f t="shared" si="5"/>
        <v/>
      </c>
      <c r="H61" s="177" t="str">
        <f t="shared" si="6"/>
        <v/>
      </c>
      <c r="I61" s="177" t="str">
        <f t="shared" si="7"/>
        <v/>
      </c>
      <c r="J61" s="177" t="str">
        <f t="shared" si="8"/>
        <v/>
      </c>
      <c r="K61" s="177" t="str">
        <f t="shared" si="9"/>
        <v/>
      </c>
    </row>
    <row r="62" spans="1:11" ht="18" customHeight="1" x14ac:dyDescent="0.3">
      <c r="A62" s="178"/>
      <c r="B62" s="137"/>
      <c r="C62" s="137"/>
      <c r="D62" s="137"/>
      <c r="E62" s="137"/>
      <c r="F62" s="137"/>
      <c r="G62" s="177" t="str">
        <f t="shared" si="5"/>
        <v/>
      </c>
      <c r="H62" s="177" t="str">
        <f t="shared" si="6"/>
        <v/>
      </c>
      <c r="I62" s="177" t="str">
        <f t="shared" si="7"/>
        <v/>
      </c>
      <c r="J62" s="177" t="str">
        <f t="shared" si="8"/>
        <v/>
      </c>
      <c r="K62" s="177" t="str">
        <f t="shared" si="9"/>
        <v/>
      </c>
    </row>
    <row r="63" spans="1:11" ht="18" customHeight="1" x14ac:dyDescent="0.3">
      <c r="A63" s="179"/>
      <c r="B63" s="138"/>
      <c r="C63" s="138"/>
      <c r="D63" s="138"/>
      <c r="E63" s="138"/>
      <c r="F63" s="138"/>
      <c r="G63" s="177" t="str">
        <f t="shared" si="5"/>
        <v/>
      </c>
      <c r="H63" s="177" t="str">
        <f t="shared" si="6"/>
        <v/>
      </c>
      <c r="I63" s="177" t="str">
        <f t="shared" si="7"/>
        <v/>
      </c>
      <c r="J63" s="177" t="str">
        <f t="shared" si="8"/>
        <v/>
      </c>
      <c r="K63" s="177" t="str">
        <f t="shared" si="9"/>
        <v/>
      </c>
    </row>
    <row r="64" spans="1:11" ht="18" customHeight="1" x14ac:dyDescent="0.3">
      <c r="A64" s="178"/>
      <c r="B64" s="137"/>
      <c r="C64" s="137"/>
      <c r="D64" s="137"/>
      <c r="E64" s="137"/>
      <c r="F64" s="137"/>
      <c r="G64" s="177" t="str">
        <f t="shared" si="5"/>
        <v/>
      </c>
      <c r="H64" s="177" t="str">
        <f t="shared" si="6"/>
        <v/>
      </c>
      <c r="I64" s="177" t="str">
        <f t="shared" si="7"/>
        <v/>
      </c>
      <c r="J64" s="177" t="str">
        <f t="shared" si="8"/>
        <v/>
      </c>
      <c r="K64" s="177" t="str">
        <f t="shared" si="9"/>
        <v/>
      </c>
    </row>
    <row r="65" spans="1:11" ht="18" customHeight="1" x14ac:dyDescent="0.3">
      <c r="A65" s="179"/>
      <c r="B65" s="138"/>
      <c r="C65" s="138"/>
      <c r="D65" s="138"/>
      <c r="E65" s="138"/>
      <c r="F65" s="138"/>
      <c r="G65" s="177" t="str">
        <f t="shared" si="5"/>
        <v/>
      </c>
      <c r="H65" s="177" t="str">
        <f t="shared" si="6"/>
        <v/>
      </c>
      <c r="I65" s="177" t="str">
        <f t="shared" si="7"/>
        <v/>
      </c>
      <c r="J65" s="177" t="str">
        <f t="shared" si="8"/>
        <v/>
      </c>
      <c r="K65" s="177" t="str">
        <f t="shared" si="9"/>
        <v/>
      </c>
    </row>
    <row r="66" spans="1:11" ht="18" customHeight="1" x14ac:dyDescent="0.3">
      <c r="A66" s="178"/>
      <c r="B66" s="137"/>
      <c r="C66" s="137"/>
      <c r="D66" s="137"/>
      <c r="E66" s="137"/>
      <c r="F66" s="137"/>
      <c r="G66" s="177" t="str">
        <f t="shared" si="5"/>
        <v/>
      </c>
      <c r="H66" s="177" t="str">
        <f t="shared" si="6"/>
        <v/>
      </c>
      <c r="I66" s="177" t="str">
        <f t="shared" si="7"/>
        <v/>
      </c>
      <c r="J66" s="177" t="str">
        <f t="shared" si="8"/>
        <v/>
      </c>
      <c r="K66" s="177" t="str">
        <f t="shared" si="9"/>
        <v/>
      </c>
    </row>
    <row r="67" spans="1:11" ht="18" customHeight="1" x14ac:dyDescent="0.3">
      <c r="A67" s="179"/>
      <c r="B67" s="138"/>
      <c r="C67" s="138"/>
      <c r="D67" s="138"/>
      <c r="E67" s="138"/>
      <c r="F67" s="138"/>
      <c r="G67" s="177" t="str">
        <f t="shared" si="5"/>
        <v/>
      </c>
      <c r="H67" s="177" t="str">
        <f t="shared" si="6"/>
        <v/>
      </c>
      <c r="I67" s="177" t="str">
        <f t="shared" si="7"/>
        <v/>
      </c>
      <c r="J67" s="177" t="str">
        <f t="shared" si="8"/>
        <v/>
      </c>
      <c r="K67" s="177" t="str">
        <f t="shared" si="9"/>
        <v/>
      </c>
    </row>
    <row r="68" spans="1:11" ht="18" customHeight="1" x14ac:dyDescent="0.3">
      <c r="A68" s="178"/>
      <c r="B68" s="137"/>
      <c r="C68" s="137"/>
      <c r="D68" s="137"/>
      <c r="E68" s="137"/>
      <c r="F68" s="137"/>
      <c r="G68" s="177" t="str">
        <f t="shared" si="5"/>
        <v/>
      </c>
      <c r="H68" s="177" t="str">
        <f t="shared" si="6"/>
        <v/>
      </c>
      <c r="I68" s="177" t="str">
        <f t="shared" si="7"/>
        <v/>
      </c>
      <c r="J68" s="177" t="str">
        <f t="shared" si="8"/>
        <v/>
      </c>
      <c r="K68" s="177" t="str">
        <f t="shared" si="9"/>
        <v/>
      </c>
    </row>
    <row r="69" spans="1:11" ht="18" customHeight="1" x14ac:dyDescent="0.3">
      <c r="A69" s="179"/>
      <c r="B69" s="138"/>
      <c r="C69" s="138"/>
      <c r="D69" s="138"/>
      <c r="E69" s="138"/>
      <c r="F69" s="138"/>
      <c r="G69" s="177" t="str">
        <f t="shared" si="5"/>
        <v/>
      </c>
      <c r="H69" s="177" t="str">
        <f t="shared" si="6"/>
        <v/>
      </c>
      <c r="I69" s="177" t="str">
        <f t="shared" si="7"/>
        <v/>
      </c>
      <c r="J69" s="177" t="str">
        <f t="shared" si="8"/>
        <v/>
      </c>
      <c r="K69" s="177" t="str">
        <f t="shared" si="9"/>
        <v/>
      </c>
    </row>
    <row r="70" spans="1:11" ht="18" customHeight="1" x14ac:dyDescent="0.3">
      <c r="A70" s="178"/>
      <c r="B70" s="137"/>
      <c r="C70" s="137"/>
      <c r="D70" s="137"/>
      <c r="E70" s="137"/>
      <c r="F70" s="137"/>
      <c r="G70" s="177" t="str">
        <f t="shared" si="5"/>
        <v/>
      </c>
      <c r="H70" s="177" t="str">
        <f t="shared" si="6"/>
        <v/>
      </c>
      <c r="I70" s="177" t="str">
        <f t="shared" si="7"/>
        <v/>
      </c>
      <c r="J70" s="177" t="str">
        <f t="shared" si="8"/>
        <v/>
      </c>
      <c r="K70" s="177" t="str">
        <f t="shared" si="9"/>
        <v/>
      </c>
    </row>
    <row r="71" spans="1:11" ht="18" customHeight="1" x14ac:dyDescent="0.3">
      <c r="A71" s="179"/>
      <c r="B71" s="138"/>
      <c r="C71" s="138"/>
      <c r="D71" s="138"/>
      <c r="E71" s="138"/>
      <c r="F71" s="138"/>
      <c r="G71" s="177" t="str">
        <f t="shared" si="5"/>
        <v/>
      </c>
      <c r="H71" s="177" t="str">
        <f t="shared" si="6"/>
        <v/>
      </c>
      <c r="I71" s="177" t="str">
        <f t="shared" si="7"/>
        <v/>
      </c>
      <c r="J71" s="177" t="str">
        <f t="shared" si="8"/>
        <v/>
      </c>
      <c r="K71" s="177" t="str">
        <f t="shared" si="9"/>
        <v/>
      </c>
    </row>
    <row r="72" spans="1:11" ht="18" customHeight="1" x14ac:dyDescent="0.3">
      <c r="A72" s="178"/>
      <c r="B72" s="137"/>
      <c r="C72" s="137"/>
      <c r="D72" s="137"/>
      <c r="E72" s="137"/>
      <c r="F72" s="137"/>
      <c r="G72" s="177" t="str">
        <f t="shared" si="5"/>
        <v/>
      </c>
      <c r="H72" s="177" t="str">
        <f t="shared" si="6"/>
        <v/>
      </c>
      <c r="I72" s="177" t="str">
        <f t="shared" si="7"/>
        <v/>
      </c>
      <c r="J72" s="177" t="str">
        <f t="shared" si="8"/>
        <v/>
      </c>
      <c r="K72" s="177" t="str">
        <f t="shared" si="9"/>
        <v/>
      </c>
    </row>
    <row r="73" spans="1:11" ht="18" customHeight="1" x14ac:dyDescent="0.3">
      <c r="A73" s="179"/>
      <c r="B73" s="138"/>
      <c r="C73" s="138"/>
      <c r="D73" s="138"/>
      <c r="E73" s="138"/>
      <c r="F73" s="138"/>
      <c r="G73" s="177" t="str">
        <f t="shared" si="5"/>
        <v/>
      </c>
      <c r="H73" s="177" t="str">
        <f t="shared" si="6"/>
        <v/>
      </c>
      <c r="I73" s="177" t="str">
        <f t="shared" si="7"/>
        <v/>
      </c>
      <c r="J73" s="177" t="str">
        <f t="shared" si="8"/>
        <v/>
      </c>
      <c r="K73" s="177" t="str">
        <f t="shared" si="9"/>
        <v/>
      </c>
    </row>
    <row r="74" spans="1:11" ht="18" customHeight="1" x14ac:dyDescent="0.3">
      <c r="A74" s="178"/>
      <c r="B74" s="137"/>
      <c r="C74" s="137"/>
      <c r="D74" s="137"/>
      <c r="E74" s="137"/>
      <c r="F74" s="137"/>
      <c r="G74" s="177" t="str">
        <f t="shared" si="5"/>
        <v/>
      </c>
      <c r="H74" s="177" t="str">
        <f t="shared" si="6"/>
        <v/>
      </c>
      <c r="I74" s="177" t="str">
        <f t="shared" si="7"/>
        <v/>
      </c>
      <c r="J74" s="177" t="str">
        <f t="shared" si="8"/>
        <v/>
      </c>
      <c r="K74" s="177" t="str">
        <f t="shared" si="9"/>
        <v/>
      </c>
    </row>
    <row r="75" spans="1:11" ht="18" customHeight="1" x14ac:dyDescent="0.3">
      <c r="A75" s="179"/>
      <c r="B75" s="138"/>
      <c r="C75" s="138"/>
      <c r="D75" s="138"/>
      <c r="E75" s="138"/>
      <c r="F75" s="138"/>
      <c r="G75" s="177" t="str">
        <f t="shared" si="5"/>
        <v/>
      </c>
      <c r="H75" s="177" t="str">
        <f t="shared" si="6"/>
        <v/>
      </c>
      <c r="I75" s="177" t="str">
        <f t="shared" si="7"/>
        <v/>
      </c>
      <c r="J75" s="177" t="str">
        <f t="shared" si="8"/>
        <v/>
      </c>
      <c r="K75" s="177" t="str">
        <f t="shared" si="9"/>
        <v/>
      </c>
    </row>
    <row r="76" spans="1:11" ht="18" customHeight="1" x14ac:dyDescent="0.3">
      <c r="A76" s="178"/>
      <c r="B76" s="137"/>
      <c r="C76" s="137"/>
      <c r="D76" s="137"/>
      <c r="E76" s="137"/>
      <c r="F76" s="137"/>
      <c r="G76" s="177" t="str">
        <f t="shared" si="5"/>
        <v/>
      </c>
      <c r="H76" s="177" t="str">
        <f t="shared" si="6"/>
        <v/>
      </c>
      <c r="I76" s="177" t="str">
        <f t="shared" si="7"/>
        <v/>
      </c>
      <c r="J76" s="177" t="str">
        <f t="shared" si="8"/>
        <v/>
      </c>
      <c r="K76" s="177" t="str">
        <f t="shared" si="9"/>
        <v/>
      </c>
    </row>
    <row r="77" spans="1:11" ht="18" customHeight="1" x14ac:dyDescent="0.3">
      <c r="A77" s="179"/>
      <c r="B77" s="138"/>
      <c r="C77" s="138"/>
      <c r="D77" s="138"/>
      <c r="E77" s="138"/>
      <c r="F77" s="138"/>
      <c r="G77" s="177" t="str">
        <f t="shared" si="5"/>
        <v/>
      </c>
      <c r="H77" s="177" t="str">
        <f t="shared" si="6"/>
        <v/>
      </c>
      <c r="I77" s="177" t="str">
        <f t="shared" si="7"/>
        <v/>
      </c>
      <c r="J77" s="177" t="str">
        <f t="shared" si="8"/>
        <v/>
      </c>
      <c r="K77" s="177" t="str">
        <f t="shared" si="9"/>
        <v/>
      </c>
    </row>
    <row r="78" spans="1:11" ht="18" customHeight="1" x14ac:dyDescent="0.3">
      <c r="A78" s="178"/>
      <c r="B78" s="137"/>
      <c r="C78" s="137"/>
      <c r="D78" s="137"/>
      <c r="E78" s="137"/>
      <c r="F78" s="137"/>
      <c r="G78" s="177" t="str">
        <f t="shared" si="5"/>
        <v/>
      </c>
      <c r="H78" s="177" t="str">
        <f t="shared" si="6"/>
        <v/>
      </c>
      <c r="I78" s="177" t="str">
        <f t="shared" si="7"/>
        <v/>
      </c>
      <c r="J78" s="177" t="str">
        <f t="shared" si="8"/>
        <v/>
      </c>
      <c r="K78" s="177" t="str">
        <f t="shared" si="9"/>
        <v/>
      </c>
    </row>
    <row r="79" spans="1:11" ht="18" customHeight="1" x14ac:dyDescent="0.3">
      <c r="A79" s="179"/>
      <c r="B79" s="138"/>
      <c r="C79" s="138"/>
      <c r="D79" s="138"/>
      <c r="E79" s="138"/>
      <c r="F79" s="138"/>
      <c r="G79" s="177" t="str">
        <f t="shared" si="5"/>
        <v/>
      </c>
      <c r="H79" s="177" t="str">
        <f t="shared" si="6"/>
        <v/>
      </c>
      <c r="I79" s="177" t="str">
        <f t="shared" si="7"/>
        <v/>
      </c>
      <c r="J79" s="177" t="str">
        <f t="shared" si="8"/>
        <v/>
      </c>
      <c r="K79" s="177" t="str">
        <f t="shared" si="9"/>
        <v/>
      </c>
    </row>
    <row r="80" spans="1:11" ht="18" customHeight="1" x14ac:dyDescent="0.3">
      <c r="A80" s="178"/>
      <c r="B80" s="137"/>
      <c r="C80" s="137"/>
      <c r="D80" s="137"/>
      <c r="E80" s="137"/>
      <c r="F80" s="137"/>
      <c r="G80" s="177" t="str">
        <f t="shared" si="5"/>
        <v/>
      </c>
      <c r="H80" s="177" t="str">
        <f t="shared" si="6"/>
        <v/>
      </c>
      <c r="I80" s="177" t="str">
        <f t="shared" si="7"/>
        <v/>
      </c>
      <c r="J80" s="177" t="str">
        <f t="shared" si="8"/>
        <v/>
      </c>
      <c r="K80" s="177" t="str">
        <f t="shared" si="9"/>
        <v/>
      </c>
    </row>
    <row r="81" spans="1:11" ht="18" customHeight="1" x14ac:dyDescent="0.3">
      <c r="A81" s="179"/>
      <c r="B81" s="138"/>
      <c r="C81" s="138"/>
      <c r="D81" s="138"/>
      <c r="E81" s="138"/>
      <c r="F81" s="138"/>
      <c r="G81" s="177" t="str">
        <f t="shared" si="5"/>
        <v/>
      </c>
      <c r="H81" s="177" t="str">
        <f t="shared" si="6"/>
        <v/>
      </c>
      <c r="I81" s="177" t="str">
        <f t="shared" si="7"/>
        <v/>
      </c>
      <c r="J81" s="177" t="str">
        <f t="shared" si="8"/>
        <v/>
      </c>
      <c r="K81" s="177" t="str">
        <f t="shared" si="9"/>
        <v/>
      </c>
    </row>
    <row r="82" spans="1:11" ht="18" customHeight="1" x14ac:dyDescent="0.3">
      <c r="A82" s="178"/>
      <c r="B82" s="137"/>
      <c r="C82" s="137"/>
      <c r="D82" s="137"/>
      <c r="E82" s="137"/>
      <c r="F82" s="137"/>
      <c r="G82" s="177" t="str">
        <f t="shared" si="5"/>
        <v/>
      </c>
      <c r="H82" s="177" t="str">
        <f t="shared" si="6"/>
        <v/>
      </c>
      <c r="I82" s="177" t="str">
        <f t="shared" si="7"/>
        <v/>
      </c>
      <c r="J82" s="177" t="str">
        <f t="shared" si="8"/>
        <v/>
      </c>
      <c r="K82" s="177" t="str">
        <f t="shared" si="9"/>
        <v/>
      </c>
    </row>
    <row r="83" spans="1:11" ht="18" customHeight="1" x14ac:dyDescent="0.3">
      <c r="A83" s="179"/>
      <c r="B83" s="138"/>
      <c r="C83" s="138"/>
      <c r="D83" s="138"/>
      <c r="E83" s="138"/>
      <c r="F83" s="138"/>
      <c r="G83" s="177" t="str">
        <f t="shared" si="5"/>
        <v/>
      </c>
      <c r="H83" s="177" t="str">
        <f t="shared" si="6"/>
        <v/>
      </c>
      <c r="I83" s="177" t="str">
        <f t="shared" si="7"/>
        <v/>
      </c>
      <c r="J83" s="177" t="str">
        <f t="shared" si="8"/>
        <v/>
      </c>
      <c r="K83" s="177" t="str">
        <f t="shared" si="9"/>
        <v/>
      </c>
    </row>
    <row r="84" spans="1:11" ht="18" customHeight="1" x14ac:dyDescent="0.3">
      <c r="A84" s="178"/>
      <c r="B84" s="137"/>
      <c r="C84" s="137"/>
      <c r="D84" s="137"/>
      <c r="E84" s="137"/>
      <c r="F84" s="137"/>
      <c r="G84" s="177" t="str">
        <f t="shared" si="5"/>
        <v/>
      </c>
      <c r="H84" s="177" t="str">
        <f t="shared" si="6"/>
        <v/>
      </c>
      <c r="I84" s="177" t="str">
        <f t="shared" si="7"/>
        <v/>
      </c>
      <c r="J84" s="177" t="str">
        <f t="shared" si="8"/>
        <v/>
      </c>
      <c r="K84" s="177" t="str">
        <f t="shared" si="9"/>
        <v/>
      </c>
    </row>
    <row r="85" spans="1:11" ht="18" customHeight="1" x14ac:dyDescent="0.3">
      <c r="A85" s="179"/>
      <c r="B85" s="138"/>
      <c r="C85" s="138"/>
      <c r="D85" s="138"/>
      <c r="E85" s="138"/>
      <c r="F85" s="138"/>
      <c r="G85" s="177" t="str">
        <f t="shared" si="5"/>
        <v/>
      </c>
      <c r="H85" s="177" t="str">
        <f t="shared" si="6"/>
        <v/>
      </c>
      <c r="I85" s="177" t="str">
        <f t="shared" si="7"/>
        <v/>
      </c>
      <c r="J85" s="177" t="str">
        <f t="shared" si="8"/>
        <v/>
      </c>
      <c r="K85" s="177" t="str">
        <f t="shared" si="9"/>
        <v/>
      </c>
    </row>
    <row r="86" spans="1:11" ht="18" customHeight="1" x14ac:dyDescent="0.3">
      <c r="A86" s="178"/>
      <c r="B86" s="137"/>
      <c r="C86" s="137"/>
      <c r="D86" s="137"/>
      <c r="E86" s="137"/>
      <c r="F86" s="137"/>
      <c r="G86" s="177" t="str">
        <f t="shared" si="5"/>
        <v/>
      </c>
      <c r="H86" s="177" t="str">
        <f t="shared" si="6"/>
        <v/>
      </c>
      <c r="I86" s="177" t="str">
        <f t="shared" si="7"/>
        <v/>
      </c>
      <c r="J86" s="177" t="str">
        <f t="shared" si="8"/>
        <v/>
      </c>
      <c r="K86" s="177" t="str">
        <f t="shared" si="9"/>
        <v/>
      </c>
    </row>
    <row r="87" spans="1:11" ht="18" customHeight="1" x14ac:dyDescent="0.3">
      <c r="A87" s="179"/>
      <c r="B87" s="138"/>
      <c r="C87" s="138"/>
      <c r="D87" s="138"/>
      <c r="E87" s="138"/>
      <c r="F87" s="138"/>
      <c r="G87" s="177" t="str">
        <f t="shared" si="5"/>
        <v/>
      </c>
      <c r="H87" s="177" t="str">
        <f t="shared" si="6"/>
        <v/>
      </c>
      <c r="I87" s="177" t="str">
        <f t="shared" si="7"/>
        <v/>
      </c>
      <c r="J87" s="177" t="str">
        <f t="shared" si="8"/>
        <v/>
      </c>
      <c r="K87" s="177" t="str">
        <f t="shared" si="9"/>
        <v/>
      </c>
    </row>
    <row r="88" spans="1:11" ht="18" customHeight="1" x14ac:dyDescent="0.3">
      <c r="A88" s="178"/>
      <c r="B88" s="137"/>
      <c r="C88" s="137"/>
      <c r="D88" s="137"/>
      <c r="E88" s="137"/>
      <c r="F88" s="137"/>
      <c r="G88" s="177" t="str">
        <f t="shared" si="5"/>
        <v/>
      </c>
      <c r="H88" s="177" t="str">
        <f t="shared" si="6"/>
        <v/>
      </c>
      <c r="I88" s="177" t="str">
        <f t="shared" si="7"/>
        <v/>
      </c>
      <c r="J88" s="177" t="str">
        <f t="shared" si="8"/>
        <v/>
      </c>
      <c r="K88" s="177" t="str">
        <f t="shared" si="9"/>
        <v/>
      </c>
    </row>
    <row r="89" spans="1:11" ht="18" customHeight="1" x14ac:dyDescent="0.3">
      <c r="A89" s="179"/>
      <c r="B89" s="138"/>
      <c r="C89" s="138"/>
      <c r="D89" s="138"/>
      <c r="E89" s="138"/>
      <c r="F89" s="138"/>
      <c r="G89" s="177" t="str">
        <f t="shared" si="5"/>
        <v/>
      </c>
      <c r="H89" s="177" t="str">
        <f t="shared" si="6"/>
        <v/>
      </c>
      <c r="I89" s="177" t="str">
        <f t="shared" si="7"/>
        <v/>
      </c>
      <c r="J89" s="177" t="str">
        <f t="shared" si="8"/>
        <v/>
      </c>
      <c r="K89" s="177" t="str">
        <f t="shared" si="9"/>
        <v/>
      </c>
    </row>
    <row r="90" spans="1:11" ht="18" customHeight="1" x14ac:dyDescent="0.3">
      <c r="A90" s="178"/>
      <c r="B90" s="137"/>
      <c r="C90" s="137"/>
      <c r="D90" s="137"/>
      <c r="E90" s="137"/>
      <c r="F90" s="137"/>
      <c r="G90" s="177" t="str">
        <f t="shared" si="5"/>
        <v/>
      </c>
      <c r="H90" s="177" t="str">
        <f t="shared" si="6"/>
        <v/>
      </c>
      <c r="I90" s="177" t="str">
        <f t="shared" si="7"/>
        <v/>
      </c>
      <c r="J90" s="177" t="str">
        <f t="shared" si="8"/>
        <v/>
      </c>
      <c r="K90" s="177" t="str">
        <f t="shared" si="9"/>
        <v/>
      </c>
    </row>
    <row r="91" spans="1:11" ht="18" customHeight="1" x14ac:dyDescent="0.3">
      <c r="A91" s="179"/>
      <c r="B91" s="138"/>
      <c r="C91" s="138"/>
      <c r="D91" s="138"/>
      <c r="E91" s="138"/>
      <c r="F91" s="138"/>
      <c r="G91" s="177" t="str">
        <f t="shared" si="5"/>
        <v/>
      </c>
      <c r="H91" s="177" t="str">
        <f t="shared" si="6"/>
        <v/>
      </c>
      <c r="I91" s="177" t="str">
        <f t="shared" si="7"/>
        <v/>
      </c>
      <c r="J91" s="177" t="str">
        <f t="shared" si="8"/>
        <v/>
      </c>
      <c r="K91" s="177" t="str">
        <f t="shared" si="9"/>
        <v/>
      </c>
    </row>
    <row r="92" spans="1:11" ht="18" customHeight="1" x14ac:dyDescent="0.3">
      <c r="A92" s="178"/>
      <c r="B92" s="137"/>
      <c r="C92" s="137"/>
      <c r="D92" s="137"/>
      <c r="E92" s="137"/>
      <c r="F92" s="137"/>
      <c r="G92" s="177" t="str">
        <f t="shared" si="5"/>
        <v/>
      </c>
      <c r="H92" s="177" t="str">
        <f t="shared" si="6"/>
        <v/>
      </c>
      <c r="I92" s="177" t="str">
        <f t="shared" si="7"/>
        <v/>
      </c>
      <c r="J92" s="177" t="str">
        <f t="shared" si="8"/>
        <v/>
      </c>
      <c r="K92" s="177" t="str">
        <f t="shared" si="9"/>
        <v/>
      </c>
    </row>
    <row r="93" spans="1:11" ht="18" customHeight="1" x14ac:dyDescent="0.3">
      <c r="A93" s="179"/>
      <c r="B93" s="138"/>
      <c r="C93" s="138"/>
      <c r="D93" s="138"/>
      <c r="E93" s="138"/>
      <c r="F93" s="138"/>
      <c r="G93" s="177" t="str">
        <f t="shared" si="5"/>
        <v/>
      </c>
      <c r="H93" s="177" t="str">
        <f t="shared" si="6"/>
        <v/>
      </c>
      <c r="I93" s="177" t="str">
        <f t="shared" si="7"/>
        <v/>
      </c>
      <c r="J93" s="177" t="str">
        <f t="shared" si="8"/>
        <v/>
      </c>
      <c r="K93" s="177" t="str">
        <f t="shared" si="9"/>
        <v/>
      </c>
    </row>
    <row r="94" spans="1:11" ht="18" customHeight="1" x14ac:dyDescent="0.3">
      <c r="A94" s="178"/>
      <c r="B94" s="137"/>
      <c r="C94" s="137"/>
      <c r="D94" s="137"/>
      <c r="E94" s="137"/>
      <c r="F94" s="137"/>
      <c r="G94" s="177" t="str">
        <f t="shared" si="5"/>
        <v/>
      </c>
      <c r="H94" s="177" t="str">
        <f t="shared" si="6"/>
        <v/>
      </c>
      <c r="I94" s="177" t="str">
        <f t="shared" si="7"/>
        <v/>
      </c>
      <c r="J94" s="177" t="str">
        <f t="shared" si="8"/>
        <v/>
      </c>
      <c r="K94" s="177" t="str">
        <f t="shared" si="9"/>
        <v/>
      </c>
    </row>
    <row r="95" spans="1:11" ht="18" customHeight="1" x14ac:dyDescent="0.3">
      <c r="A95" s="179"/>
      <c r="B95" s="138"/>
      <c r="C95" s="138"/>
      <c r="D95" s="138"/>
      <c r="E95" s="138"/>
      <c r="F95" s="138"/>
      <c r="G95" s="177" t="str">
        <f t="shared" si="5"/>
        <v/>
      </c>
      <c r="H95" s="177" t="str">
        <f t="shared" si="6"/>
        <v/>
      </c>
      <c r="I95" s="177" t="str">
        <f t="shared" si="7"/>
        <v/>
      </c>
      <c r="J95" s="177" t="str">
        <f t="shared" si="8"/>
        <v/>
      </c>
      <c r="K95" s="177" t="str">
        <f t="shared" si="9"/>
        <v/>
      </c>
    </row>
    <row r="96" spans="1:11" ht="18" customHeight="1" x14ac:dyDescent="0.3">
      <c r="A96" s="178"/>
      <c r="B96" s="137"/>
      <c r="C96" s="137"/>
      <c r="D96" s="137"/>
      <c r="E96" s="137"/>
      <c r="F96" s="137"/>
      <c r="G96" s="177" t="str">
        <f t="shared" si="5"/>
        <v/>
      </c>
      <c r="H96" s="177" t="str">
        <f t="shared" si="6"/>
        <v/>
      </c>
      <c r="I96" s="177" t="str">
        <f t="shared" si="7"/>
        <v/>
      </c>
      <c r="J96" s="177" t="str">
        <f t="shared" si="8"/>
        <v/>
      </c>
      <c r="K96" s="177" t="str">
        <f t="shared" si="9"/>
        <v/>
      </c>
    </row>
    <row r="97" spans="1:11" ht="18" customHeight="1" x14ac:dyDescent="0.3">
      <c r="A97" s="179"/>
      <c r="B97" s="138"/>
      <c r="C97" s="138"/>
      <c r="D97" s="138"/>
      <c r="E97" s="138"/>
      <c r="F97" s="138"/>
      <c r="G97" s="177" t="str">
        <f t="shared" si="5"/>
        <v/>
      </c>
      <c r="H97" s="177" t="str">
        <f t="shared" si="6"/>
        <v/>
      </c>
      <c r="I97" s="177" t="str">
        <f t="shared" si="7"/>
        <v/>
      </c>
      <c r="J97" s="177" t="str">
        <f t="shared" si="8"/>
        <v/>
      </c>
      <c r="K97" s="177" t="str">
        <f t="shared" si="9"/>
        <v/>
      </c>
    </row>
    <row r="98" spans="1:11" ht="18" customHeight="1" x14ac:dyDescent="0.3">
      <c r="A98" s="178"/>
      <c r="B98" s="137"/>
      <c r="C98" s="137"/>
      <c r="D98" s="137"/>
      <c r="E98" s="137"/>
      <c r="F98" s="137"/>
      <c r="G98" s="177" t="str">
        <f t="shared" si="5"/>
        <v/>
      </c>
      <c r="H98" s="177" t="str">
        <f t="shared" si="6"/>
        <v/>
      </c>
      <c r="I98" s="177" t="str">
        <f t="shared" si="7"/>
        <v/>
      </c>
      <c r="J98" s="177" t="str">
        <f t="shared" si="8"/>
        <v/>
      </c>
      <c r="K98" s="177" t="str">
        <f t="shared" si="9"/>
        <v/>
      </c>
    </row>
    <row r="99" spans="1:11" ht="18" customHeight="1" x14ac:dyDescent="0.3">
      <c r="A99" s="179"/>
      <c r="B99" s="138"/>
      <c r="C99" s="138"/>
      <c r="D99" s="138"/>
      <c r="E99" s="138"/>
      <c r="F99" s="138"/>
      <c r="G99" s="177" t="str">
        <f t="shared" si="5"/>
        <v/>
      </c>
      <c r="H99" s="177" t="str">
        <f t="shared" si="6"/>
        <v/>
      </c>
      <c r="I99" s="177" t="str">
        <f t="shared" si="7"/>
        <v/>
      </c>
      <c r="J99" s="177" t="str">
        <f t="shared" si="8"/>
        <v/>
      </c>
      <c r="K99" s="177" t="str">
        <f t="shared" si="9"/>
        <v/>
      </c>
    </row>
    <row r="100" spans="1:11" ht="18" customHeight="1" x14ac:dyDescent="0.3">
      <c r="A100" s="178"/>
      <c r="B100" s="137"/>
      <c r="C100" s="137"/>
      <c r="D100" s="137"/>
      <c r="E100" s="137"/>
      <c r="F100" s="137"/>
      <c r="G100" s="177" t="str">
        <f t="shared" si="5"/>
        <v/>
      </c>
      <c r="H100" s="177" t="str">
        <f t="shared" si="6"/>
        <v/>
      </c>
      <c r="I100" s="177" t="str">
        <f t="shared" si="7"/>
        <v/>
      </c>
      <c r="J100" s="177" t="str">
        <f t="shared" si="8"/>
        <v/>
      </c>
      <c r="K100" s="177" t="str">
        <f t="shared" si="9"/>
        <v/>
      </c>
    </row>
    <row r="101" spans="1:11" ht="18" customHeight="1" x14ac:dyDescent="0.3">
      <c r="A101" s="179"/>
      <c r="B101" s="138"/>
      <c r="C101" s="138"/>
      <c r="D101" s="138"/>
      <c r="E101" s="138"/>
      <c r="F101" s="138"/>
      <c r="G101" s="177" t="str">
        <f t="shared" si="5"/>
        <v/>
      </c>
      <c r="H101" s="177" t="str">
        <f t="shared" si="6"/>
        <v/>
      </c>
      <c r="I101" s="177" t="str">
        <f t="shared" si="7"/>
        <v/>
      </c>
      <c r="J101" s="177" t="str">
        <f t="shared" si="8"/>
        <v/>
      </c>
      <c r="K101" s="177" t="str">
        <f t="shared" si="9"/>
        <v/>
      </c>
    </row>
    <row r="102" spans="1:11" ht="18" customHeight="1" x14ac:dyDescent="0.3">
      <c r="A102" s="178"/>
      <c r="B102" s="137"/>
      <c r="C102" s="137"/>
      <c r="D102" s="137"/>
      <c r="E102" s="137"/>
      <c r="F102" s="137"/>
      <c r="G102" s="177" t="str">
        <f t="shared" si="5"/>
        <v/>
      </c>
      <c r="H102" s="177" t="str">
        <f t="shared" si="6"/>
        <v/>
      </c>
      <c r="I102" s="177" t="str">
        <f t="shared" si="7"/>
        <v/>
      </c>
      <c r="J102" s="177" t="str">
        <f t="shared" si="8"/>
        <v/>
      </c>
      <c r="K102" s="177" t="str">
        <f t="shared" si="9"/>
        <v/>
      </c>
    </row>
    <row r="103" spans="1:11" ht="18" customHeight="1" x14ac:dyDescent="0.3">
      <c r="A103" s="179"/>
      <c r="B103" s="138"/>
      <c r="C103" s="138"/>
      <c r="D103" s="138"/>
      <c r="E103" s="138"/>
      <c r="F103" s="138"/>
      <c r="G103" s="177" t="str">
        <f t="shared" si="5"/>
        <v/>
      </c>
      <c r="H103" s="177" t="str">
        <f t="shared" si="6"/>
        <v/>
      </c>
      <c r="I103" s="177" t="str">
        <f t="shared" si="7"/>
        <v/>
      </c>
      <c r="J103" s="177" t="str">
        <f t="shared" si="8"/>
        <v/>
      </c>
      <c r="K103" s="177" t="str">
        <f t="shared" si="9"/>
        <v/>
      </c>
    </row>
    <row r="104" spans="1:11" ht="18" customHeight="1" x14ac:dyDescent="0.3">
      <c r="A104" s="178"/>
      <c r="B104" s="137"/>
      <c r="C104" s="137"/>
      <c r="D104" s="137"/>
      <c r="E104" s="137"/>
      <c r="F104" s="137"/>
      <c r="G104" s="177" t="str">
        <f t="shared" si="5"/>
        <v/>
      </c>
      <c r="H104" s="177" t="str">
        <f t="shared" si="6"/>
        <v/>
      </c>
      <c r="I104" s="177" t="str">
        <f t="shared" si="7"/>
        <v/>
      </c>
      <c r="J104" s="177" t="str">
        <f t="shared" si="8"/>
        <v/>
      </c>
      <c r="K104" s="177" t="str">
        <f t="shared" si="9"/>
        <v/>
      </c>
    </row>
    <row r="105" spans="1:11" ht="18" customHeight="1" x14ac:dyDescent="0.3">
      <c r="A105" s="179"/>
      <c r="B105" s="138"/>
      <c r="C105" s="138"/>
      <c r="D105" s="138"/>
      <c r="E105" s="138"/>
      <c r="F105" s="138"/>
      <c r="G105" s="177" t="str">
        <f t="shared" si="5"/>
        <v/>
      </c>
      <c r="H105" s="177" t="str">
        <f t="shared" si="6"/>
        <v/>
      </c>
      <c r="I105" s="177" t="str">
        <f t="shared" si="7"/>
        <v/>
      </c>
      <c r="J105" s="177" t="str">
        <f t="shared" si="8"/>
        <v/>
      </c>
      <c r="K105" s="177" t="str">
        <f t="shared" si="9"/>
        <v/>
      </c>
    </row>
    <row r="106" spans="1:11" ht="18" customHeight="1" x14ac:dyDescent="0.3">
      <c r="A106" s="178"/>
      <c r="B106" s="137"/>
      <c r="C106" s="137"/>
      <c r="D106" s="137"/>
      <c r="E106" s="137"/>
      <c r="F106" s="137"/>
      <c r="G106" s="177" t="str">
        <f t="shared" si="5"/>
        <v/>
      </c>
      <c r="H106" s="177" t="str">
        <f t="shared" si="6"/>
        <v/>
      </c>
      <c r="I106" s="177" t="str">
        <f t="shared" si="7"/>
        <v/>
      </c>
      <c r="J106" s="177" t="str">
        <f t="shared" si="8"/>
        <v/>
      </c>
      <c r="K106" s="177" t="str">
        <f t="shared" si="9"/>
        <v/>
      </c>
    </row>
    <row r="107" spans="1:11" ht="18" customHeight="1" x14ac:dyDescent="0.3">
      <c r="A107" s="179"/>
      <c r="B107" s="138"/>
      <c r="C107" s="138"/>
      <c r="D107" s="138"/>
      <c r="E107" s="138"/>
      <c r="F107" s="138"/>
      <c r="G107" s="177" t="str">
        <f t="shared" si="5"/>
        <v/>
      </c>
      <c r="H107" s="177" t="str">
        <f t="shared" si="6"/>
        <v/>
      </c>
      <c r="I107" s="177" t="str">
        <f t="shared" si="7"/>
        <v/>
      </c>
      <c r="J107" s="177" t="str">
        <f t="shared" si="8"/>
        <v/>
      </c>
      <c r="K107" s="177" t="str">
        <f t="shared" si="9"/>
        <v/>
      </c>
    </row>
    <row r="108" spans="1:11" ht="18" customHeight="1" x14ac:dyDescent="0.3">
      <c r="A108" s="178"/>
      <c r="B108" s="137"/>
      <c r="C108" s="137"/>
      <c r="D108" s="137"/>
      <c r="E108" s="137"/>
      <c r="F108" s="137"/>
      <c r="G108" s="177" t="str">
        <f t="shared" si="5"/>
        <v/>
      </c>
      <c r="H108" s="177" t="str">
        <f t="shared" si="6"/>
        <v/>
      </c>
      <c r="I108" s="177" t="str">
        <f t="shared" si="7"/>
        <v/>
      </c>
      <c r="J108" s="177" t="str">
        <f t="shared" si="8"/>
        <v/>
      </c>
      <c r="K108" s="177" t="str">
        <f t="shared" si="9"/>
        <v/>
      </c>
    </row>
    <row r="109" spans="1:11" ht="18" customHeight="1" x14ac:dyDescent="0.3">
      <c r="A109" s="179"/>
      <c r="B109" s="138"/>
      <c r="C109" s="138"/>
      <c r="D109" s="138"/>
      <c r="E109" s="138"/>
      <c r="F109" s="138"/>
      <c r="G109" s="177" t="str">
        <f t="shared" si="5"/>
        <v/>
      </c>
      <c r="H109" s="177" t="str">
        <f t="shared" si="6"/>
        <v/>
      </c>
      <c r="I109" s="177" t="str">
        <f t="shared" si="7"/>
        <v/>
      </c>
      <c r="J109" s="177" t="str">
        <f t="shared" si="8"/>
        <v/>
      </c>
      <c r="K109" s="177" t="str">
        <f t="shared" si="9"/>
        <v/>
      </c>
    </row>
    <row r="110" spans="1:11" ht="18" customHeight="1" x14ac:dyDescent="0.3">
      <c r="A110" s="178"/>
      <c r="B110" s="137"/>
      <c r="C110" s="137"/>
      <c r="D110" s="137"/>
      <c r="E110" s="137"/>
      <c r="F110" s="137"/>
      <c r="G110" s="177" t="str">
        <f t="shared" ref="G110:G111" si="10">IF(OR(B110="",B$6=""),"",B110-B$6)</f>
        <v/>
      </c>
      <c r="H110" s="177" t="str">
        <f t="shared" ref="H110:H111" si="11">IF(OR(C110="",C$6=""),"",C110-C$6)</f>
        <v/>
      </c>
      <c r="I110" s="177" t="str">
        <f t="shared" ref="I110:I111" si="12">IF(OR(D110="",D$6=""),"",D110-D$6)</f>
        <v/>
      </c>
      <c r="J110" s="177" t="str">
        <f t="shared" ref="J110:J111" si="13">IF(OR(E110="",E$6=""),"",E110-E$6)</f>
        <v/>
      </c>
      <c r="K110" s="177" t="str">
        <f t="shared" ref="K110:K111" si="14">IF(OR(F110="",F$6=""),"",F110-F$6)</f>
        <v/>
      </c>
    </row>
    <row r="111" spans="1:11" ht="18" customHeight="1" x14ac:dyDescent="0.3">
      <c r="A111" s="179"/>
      <c r="B111" s="138"/>
      <c r="C111" s="138"/>
      <c r="D111" s="138"/>
      <c r="E111" s="138"/>
      <c r="F111" s="138"/>
      <c r="G111" s="177" t="str">
        <f t="shared" si="10"/>
        <v/>
      </c>
      <c r="H111" s="177" t="str">
        <f t="shared" si="11"/>
        <v/>
      </c>
      <c r="I111" s="177" t="str">
        <f t="shared" si="12"/>
        <v/>
      </c>
      <c r="J111" s="177" t="str">
        <f t="shared" si="13"/>
        <v/>
      </c>
      <c r="K111" s="177" t="str">
        <f t="shared" si="14"/>
        <v/>
      </c>
    </row>
  </sheetData>
  <sheetProtection sheet="1" objects="1" scenarios="1" sort="0" autoFilter="0"/>
  <mergeCells count="2">
    <mergeCell ref="A1:K1"/>
    <mergeCell ref="A2:K2"/>
  </mergeCells>
  <conditionalFormatting sqref="G6:K45">
    <cfRule type="cellIs" dxfId="10" priority="3" operator="greaterThan">
      <formula>0</formula>
    </cfRule>
  </conditionalFormatting>
  <conditionalFormatting sqref="G6:K45">
    <cfRule type="cellIs" dxfId="9" priority="4" operator="lessThan">
      <formula>0</formula>
    </cfRule>
  </conditionalFormatting>
  <conditionalFormatting sqref="G46:K111">
    <cfRule type="cellIs" dxfId="4" priority="1" operator="greaterThan">
      <formula>0</formula>
    </cfRule>
  </conditionalFormatting>
  <conditionalFormatting sqref="G46:K111">
    <cfRule type="cellIs" dxfId="3" priority="2" operator="lessThan">
      <formula>0</formula>
    </cfRule>
  </conditionalFormatting>
  <pageMargins left="0.75" right="0.75" top="1" bottom="1" header="0.511811023622047" footer="0.511811023622047"/>
  <pageSetup paperSize="9" scale="60" fitToHeight="0" orientation="landscape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59E0B"/>
    <pageSetUpPr fitToPage="1"/>
  </sheetPr>
  <dimension ref="A1:N25"/>
  <sheetViews>
    <sheetView showGridLines="0" zoomScaleNormal="100" workbookViewId="0"/>
  </sheetViews>
  <sheetFormatPr defaultColWidth="8.6640625" defaultRowHeight="14.4" outlineLevelCol="1" x14ac:dyDescent="0.3"/>
  <cols>
    <col min="1" max="1" width="13.33203125" style="3" customWidth="1"/>
    <col min="2" max="12" width="9.5546875" style="3" customWidth="1"/>
    <col min="13" max="13" width="13" style="3" hidden="1" customWidth="1" outlineLevel="1"/>
    <col min="14" max="14" width="8.6640625" style="3" collapsed="1"/>
    <col min="15" max="16384" width="8.6640625" style="3"/>
  </cols>
  <sheetData>
    <row r="1" spans="1:13" ht="31.95" customHeight="1" x14ac:dyDescent="0.3">
      <c r="A1" s="180" t="s">
        <v>121</v>
      </c>
      <c r="B1" s="180"/>
      <c r="C1" s="180"/>
      <c r="D1" s="180"/>
      <c r="E1" s="180"/>
      <c r="F1" s="180"/>
      <c r="G1" s="180"/>
      <c r="H1" s="180"/>
      <c r="I1" s="180"/>
      <c r="J1" s="180"/>
      <c r="K1" s="181"/>
      <c r="L1" s="181"/>
    </row>
    <row r="2" spans="1:13" ht="18" customHeight="1" x14ac:dyDescent="0.3">
      <c r="A2" s="182" t="s">
        <v>122</v>
      </c>
      <c r="B2" s="182"/>
      <c r="C2" s="182"/>
      <c r="D2" s="182"/>
      <c r="E2" s="182"/>
      <c r="F2" s="182"/>
      <c r="G2" s="182"/>
      <c r="H2" s="182"/>
      <c r="I2" s="182"/>
      <c r="J2" s="182"/>
      <c r="K2" s="183"/>
      <c r="L2" s="183"/>
      <c r="M2" s="25" cm="1">
        <f t="array" ref="M2">IFERROR(LOOKUP(2,1/('Daily Tracking'!$B$6:$B$735&lt;&gt;""),'Daily Tracking'!$B$6:$B$735),Settings!$B$5)</f>
        <v>157</v>
      </c>
    </row>
    <row r="3" spans="1:13" ht="7.95" customHeight="1" x14ac:dyDescent="0.3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47" cm="1">
        <f t="array" ref="M3">IFERROR(LOOKUP(2,1/('Daily Tracking'!$B$6:$B$735&lt;&gt;""),'Daily Tracking'!$A$6:$A$735),Settings!$B$4)</f>
        <v>46278</v>
      </c>
    </row>
    <row r="4" spans="1:13" ht="18" customHeight="1" x14ac:dyDescent="0.3">
      <c r="A4" s="184" t="s">
        <v>123</v>
      </c>
      <c r="B4" s="185"/>
      <c r="C4" s="185"/>
      <c r="D4" s="184" t="s">
        <v>124</v>
      </c>
      <c r="E4" s="185"/>
      <c r="F4" s="185"/>
      <c r="G4" s="184" t="s">
        <v>125</v>
      </c>
      <c r="H4" s="185"/>
      <c r="I4" s="185"/>
      <c r="J4" s="184" t="s">
        <v>126</v>
      </c>
      <c r="K4" s="185"/>
      <c r="L4" s="186"/>
      <c r="M4" s="3">
        <f ca="1">IF(COUNT('Daily Tracking'!$B$6:$B$735)&lt;3,0,IFERROR(SLOPE(OFFSET('Daily Tracking'!$B$6,MATCH($M$3-28,'Daily Tracking'!$A$6:$A$735,1)-1,0,29,1),OFFSET('Daily Tracking'!$A$6,MATCH($M$3-28,'Daily Tracking'!$A$6:$A$735,1)-1,0,29,1)),IFERROR(SLOPE('Daily Tracking'!$B$6:$B$735,'Daily Tracking'!$A$6:$A$735),0)))</f>
        <v>0</v>
      </c>
    </row>
    <row r="5" spans="1:13" ht="25.95" customHeight="1" x14ac:dyDescent="0.3">
      <c r="A5" s="187">
        <f>$M$2</f>
        <v>157</v>
      </c>
      <c r="B5" s="188"/>
      <c r="C5" s="188"/>
      <c r="D5" s="189">
        <f ca="1">$M$4*7</f>
        <v>0</v>
      </c>
      <c r="E5" s="190"/>
      <c r="F5" s="190"/>
      <c r="G5" s="191">
        <f ca="1">MAX(Settings!$B$6,$M$2+$M$4*7)</f>
        <v>157</v>
      </c>
      <c r="H5" s="192"/>
      <c r="I5" s="192"/>
      <c r="J5" s="191">
        <f ca="1">MAX(Settings!$B$6,$M$2+$M$4*30)</f>
        <v>157</v>
      </c>
      <c r="K5" s="192"/>
      <c r="L5" s="193"/>
      <c r="M5" s="3" t="str">
        <f ca="1">IF(M4&gt;=0,"",IF($M$2&lt;=Settings!$B$6,0,(Settings!$B$6-$M$2)/M4))</f>
        <v/>
      </c>
    </row>
    <row r="6" spans="1:13" ht="12" customHeight="1" x14ac:dyDescent="0.3">
      <c r="A6" s="194"/>
      <c r="B6" s="195"/>
      <c r="C6" s="195"/>
      <c r="D6" s="196"/>
      <c r="E6" s="197"/>
      <c r="F6" s="197"/>
      <c r="G6" s="198"/>
      <c r="H6" s="199"/>
      <c r="I6" s="199"/>
      <c r="J6" s="198"/>
      <c r="K6" s="199"/>
      <c r="L6" s="200"/>
      <c r="M6" s="3" t="str">
        <f ca="1">IF(M5="","",$M$3+M5)</f>
        <v/>
      </c>
    </row>
    <row r="7" spans="1:13" ht="10.050000000000001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3" t="str">
        <f ca="1">IFERROR(SLOPE(OFFSET('Daily Tracking'!$B$6,MATCH($M$3-30,'Daily Tracking'!$A$6:$A$735,1)-1,0,31,1),OFFSET('Daily Tracking'!$A$6,MATCH($M$3-30,'Daily Tracking'!$A$6:$A$735,1)-1,0,31,1)),"")</f>
        <v/>
      </c>
    </row>
    <row r="8" spans="1:13" ht="18" customHeight="1" x14ac:dyDescent="0.3">
      <c r="A8" s="184" t="s">
        <v>127</v>
      </c>
      <c r="B8" s="185"/>
      <c r="C8" s="185"/>
      <c r="D8" s="184" t="s">
        <v>128</v>
      </c>
      <c r="E8" s="185"/>
      <c r="F8" s="185"/>
      <c r="G8" s="184" t="s">
        <v>129</v>
      </c>
      <c r="H8" s="185"/>
      <c r="I8" s="185"/>
      <c r="J8" s="184" t="s">
        <v>130</v>
      </c>
      <c r="K8" s="185"/>
      <c r="L8" s="186"/>
      <c r="M8" s="3" t="str">
        <f ca="1">IFERROR(SLOPE(OFFSET('Daily Tracking'!$B$6,MATCH($M$3-60,'Daily Tracking'!$A$6:$A$735,1)-1,0,31,1),OFFSET('Daily Tracking'!$A$6,MATCH($M$3-60,'Daily Tracking'!$A$6:$A$735,1)-1,0,31,1)),"")</f>
        <v/>
      </c>
    </row>
    <row r="9" spans="1:13" ht="25.95" customHeight="1" x14ac:dyDescent="0.3">
      <c r="A9" s="191">
        <f ca="1">MAX(Settings!$B$6,$M$2+$M$4*90)</f>
        <v>157</v>
      </c>
      <c r="B9" s="192"/>
      <c r="C9" s="192"/>
      <c r="D9" s="201" t="str">
        <f ca="1">IF($M$6="","—",$M$6)</f>
        <v>—</v>
      </c>
      <c r="E9" s="202"/>
      <c r="F9" s="202"/>
      <c r="G9" s="203" t="str">
        <f ca="1">IF($M$5="","Trend not downward yet",IF($M$5=0,"Goal reached!",FIXED($M$5/7,1)&amp;" weeks  ("&amp;ROUND($M$5,0)&amp;" days)"))</f>
        <v>Trend not downward yet</v>
      </c>
      <c r="H9" s="204"/>
      <c r="I9" s="204"/>
      <c r="J9" s="205">
        <f>COUNT('Daily Tracking'!$B$6:$B$735)/7</f>
        <v>0.14285714285714285</v>
      </c>
      <c r="K9" s="206"/>
      <c r="L9" s="207"/>
    </row>
    <row r="10" spans="1:13" ht="12" customHeight="1" x14ac:dyDescent="0.3">
      <c r="A10" s="198"/>
      <c r="B10" s="199"/>
      <c r="C10" s="199"/>
      <c r="D10" s="208"/>
      <c r="E10" s="209"/>
      <c r="F10" s="209"/>
      <c r="G10" s="210"/>
      <c r="H10" s="211"/>
      <c r="I10" s="211"/>
      <c r="J10" s="212"/>
      <c r="K10" s="213"/>
      <c r="L10" s="214"/>
    </row>
    <row r="11" spans="1:13" ht="10.050000000000001" customHeight="1" x14ac:dyDescent="0.3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</row>
    <row r="12" spans="1:13" ht="10.050000000000001" customHeight="1" x14ac:dyDescent="0.3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</row>
    <row r="13" spans="1:13" ht="25.95" customHeight="1" x14ac:dyDescent="0.3">
      <c r="A13" s="122" t="s">
        <v>131</v>
      </c>
      <c r="B13" s="122" t="s">
        <v>67</v>
      </c>
      <c r="C13" s="122" t="s">
        <v>132</v>
      </c>
      <c r="D13" s="122" t="s">
        <v>133</v>
      </c>
    </row>
    <row r="14" spans="1:13" ht="18" customHeight="1" x14ac:dyDescent="0.3">
      <c r="A14" s="136" t="s">
        <v>134</v>
      </c>
      <c r="B14" s="215">
        <f>$M$3+1*7</f>
        <v>46285</v>
      </c>
      <c r="C14" s="133">
        <f ca="1">MAX(Settings!$B$6,$M$2+$M$4*1*7)</f>
        <v>157</v>
      </c>
      <c r="D14" s="133">
        <f>Settings!$B$6</f>
        <v>100</v>
      </c>
    </row>
    <row r="15" spans="1:13" ht="18" customHeight="1" x14ac:dyDescent="0.3">
      <c r="A15" s="136" t="s">
        <v>135</v>
      </c>
      <c r="B15" s="215">
        <f>$M$3+2*7</f>
        <v>46292</v>
      </c>
      <c r="C15" s="133">
        <f ca="1">MAX(Settings!$B$6,$M$2+$M$4*2*7)</f>
        <v>157</v>
      </c>
      <c r="D15" s="133">
        <f>Settings!$B$6</f>
        <v>100</v>
      </c>
    </row>
    <row r="16" spans="1:13" ht="18" customHeight="1" x14ac:dyDescent="0.3">
      <c r="A16" s="136" t="s">
        <v>136</v>
      </c>
      <c r="B16" s="215">
        <f>$M$3+3*7</f>
        <v>46299</v>
      </c>
      <c r="C16" s="133">
        <f ca="1">MAX(Settings!$B$6,$M$2+$M$4*3*7)</f>
        <v>157</v>
      </c>
      <c r="D16" s="133">
        <f>Settings!$B$6</f>
        <v>100</v>
      </c>
    </row>
    <row r="17" spans="1:4" ht="18" customHeight="1" x14ac:dyDescent="0.3">
      <c r="A17" s="136" t="s">
        <v>137</v>
      </c>
      <c r="B17" s="215">
        <f>$M$3+4*7</f>
        <v>46306</v>
      </c>
      <c r="C17" s="133">
        <f ca="1">MAX(Settings!$B$6,$M$2+$M$4*4*7)</f>
        <v>157</v>
      </c>
      <c r="D17" s="133">
        <f>Settings!$B$6</f>
        <v>100</v>
      </c>
    </row>
    <row r="18" spans="1:4" ht="18" customHeight="1" x14ac:dyDescent="0.3">
      <c r="A18" s="136" t="s">
        <v>138</v>
      </c>
      <c r="B18" s="215">
        <f>$M$3+5*7</f>
        <v>46313</v>
      </c>
      <c r="C18" s="133">
        <f ca="1">MAX(Settings!$B$6,$M$2+$M$4*5*7)</f>
        <v>157</v>
      </c>
      <c r="D18" s="133">
        <f>Settings!$B$6</f>
        <v>100</v>
      </c>
    </row>
    <row r="19" spans="1:4" ht="18" customHeight="1" x14ac:dyDescent="0.3">
      <c r="A19" s="136" t="s">
        <v>139</v>
      </c>
      <c r="B19" s="215">
        <f>$M$3+6*7</f>
        <v>46320</v>
      </c>
      <c r="C19" s="133">
        <f ca="1">MAX(Settings!$B$6,$M$2+$M$4*6*7)</f>
        <v>157</v>
      </c>
      <c r="D19" s="133">
        <f>Settings!$B$6</f>
        <v>100</v>
      </c>
    </row>
    <row r="20" spans="1:4" ht="18" customHeight="1" x14ac:dyDescent="0.3">
      <c r="A20" s="136" t="s">
        <v>140</v>
      </c>
      <c r="B20" s="215">
        <f>$M$3+7*7</f>
        <v>46327</v>
      </c>
      <c r="C20" s="133">
        <f ca="1">MAX(Settings!$B$6,$M$2+$M$4*7*7)</f>
        <v>157</v>
      </c>
      <c r="D20" s="133">
        <f>Settings!$B$6</f>
        <v>100</v>
      </c>
    </row>
    <row r="21" spans="1:4" ht="18" customHeight="1" x14ac:dyDescent="0.3">
      <c r="A21" s="136" t="s">
        <v>141</v>
      </c>
      <c r="B21" s="215">
        <f>$M$3+8*7</f>
        <v>46334</v>
      </c>
      <c r="C21" s="133">
        <f ca="1">MAX(Settings!$B$6,$M$2+$M$4*8*7)</f>
        <v>157</v>
      </c>
      <c r="D21" s="133">
        <f>Settings!$B$6</f>
        <v>100</v>
      </c>
    </row>
    <row r="22" spans="1:4" ht="18" customHeight="1" x14ac:dyDescent="0.3">
      <c r="A22" s="136" t="s">
        <v>142</v>
      </c>
      <c r="B22" s="215">
        <f>$M$3+9*7</f>
        <v>46341</v>
      </c>
      <c r="C22" s="133">
        <f ca="1">MAX(Settings!$B$6,$M$2+$M$4*9*7)</f>
        <v>157</v>
      </c>
      <c r="D22" s="133">
        <f>Settings!$B$6</f>
        <v>100</v>
      </c>
    </row>
    <row r="23" spans="1:4" ht="18" customHeight="1" x14ac:dyDescent="0.3">
      <c r="A23" s="136" t="s">
        <v>143</v>
      </c>
      <c r="B23" s="215">
        <f>$M$3+10*7</f>
        <v>46348</v>
      </c>
      <c r="C23" s="133">
        <f ca="1">MAX(Settings!$B$6,$M$2+$M$4*10*7)</f>
        <v>157</v>
      </c>
      <c r="D23" s="133">
        <f>Settings!$B$6</f>
        <v>100</v>
      </c>
    </row>
    <row r="24" spans="1:4" ht="18" customHeight="1" x14ac:dyDescent="0.3">
      <c r="A24" s="136" t="s">
        <v>144</v>
      </c>
      <c r="B24" s="215">
        <f>$M$3+11*7</f>
        <v>46355</v>
      </c>
      <c r="C24" s="133">
        <f ca="1">MAX(Settings!$B$6,$M$2+$M$4*11*7)</f>
        <v>157</v>
      </c>
      <c r="D24" s="133">
        <f>Settings!$B$6</f>
        <v>100</v>
      </c>
    </row>
    <row r="25" spans="1:4" ht="18" customHeight="1" x14ac:dyDescent="0.3">
      <c r="A25" s="136" t="s">
        <v>145</v>
      </c>
      <c r="B25" s="215">
        <f>$M$3+12*7</f>
        <v>46362</v>
      </c>
      <c r="C25" s="133">
        <f ca="1">MAX(Settings!$B$6,$M$2+$M$4*12*7)</f>
        <v>157</v>
      </c>
      <c r="D25" s="133">
        <f>Settings!$B$6</f>
        <v>100</v>
      </c>
    </row>
  </sheetData>
  <sheetProtection sheet="1" objects="1" scenarios="1" sort="0" autoFilter="0"/>
  <mergeCells count="18">
    <mergeCell ref="A1:J1"/>
    <mergeCell ref="A2:J2"/>
    <mergeCell ref="A4:C4"/>
    <mergeCell ref="D4:F4"/>
    <mergeCell ref="G4:I4"/>
    <mergeCell ref="J4:L4"/>
    <mergeCell ref="A9:C10"/>
    <mergeCell ref="D9:F10"/>
    <mergeCell ref="G9:I10"/>
    <mergeCell ref="J9:L10"/>
    <mergeCell ref="A5:C6"/>
    <mergeCell ref="D5:F6"/>
    <mergeCell ref="G5:I6"/>
    <mergeCell ref="J5:L6"/>
    <mergeCell ref="A8:C8"/>
    <mergeCell ref="D8:F8"/>
    <mergeCell ref="G8:I8"/>
    <mergeCell ref="J8:L8"/>
  </mergeCell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3AB9-4EA4-468F-BB50-9350BAE6CFE5}">
  <sheetPr>
    <tabColor rgb="FF10B981"/>
    <pageSetUpPr fitToPage="1"/>
  </sheetPr>
  <dimension ref="A1:H20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16.6640625" style="3" customWidth="1"/>
    <col min="2" max="6" width="17.5546875" style="3" customWidth="1"/>
    <col min="7" max="7" width="31.44140625" style="3" customWidth="1"/>
    <col min="8" max="16384" width="8.88671875" style="3"/>
  </cols>
  <sheetData>
    <row r="1" spans="1:8" ht="31.95" customHeight="1" x14ac:dyDescent="0.4">
      <c r="A1" s="147" t="s">
        <v>207</v>
      </c>
      <c r="B1" s="105"/>
      <c r="C1" s="105"/>
      <c r="D1" s="105"/>
      <c r="E1" s="105"/>
      <c r="F1" s="105"/>
      <c r="G1" s="105"/>
      <c r="H1" s="105"/>
    </row>
    <row r="2" spans="1:8" ht="18" customHeight="1" x14ac:dyDescent="0.3">
      <c r="A2" s="148" t="s">
        <v>208</v>
      </c>
      <c r="B2" s="105"/>
      <c r="C2" s="105"/>
      <c r="D2" s="105"/>
      <c r="E2" s="105"/>
      <c r="F2" s="105"/>
      <c r="G2" s="105"/>
      <c r="H2" s="105"/>
    </row>
    <row r="3" spans="1:8" ht="6" customHeight="1" x14ac:dyDescent="0.3">
      <c r="A3" s="105"/>
      <c r="B3" s="105"/>
      <c r="C3" s="105"/>
      <c r="D3" s="105"/>
      <c r="E3" s="105"/>
      <c r="F3" s="105"/>
      <c r="G3" s="105"/>
      <c r="H3" s="105"/>
    </row>
    <row r="4" spans="1:8" ht="7.95" customHeight="1" x14ac:dyDescent="0.3"/>
    <row r="5" spans="1:8" ht="28.05" customHeight="1" x14ac:dyDescent="0.3">
      <c r="A5" s="216" t="s">
        <v>209</v>
      </c>
      <c r="B5" s="216" t="s">
        <v>210</v>
      </c>
      <c r="C5" s="216" t="s">
        <v>211</v>
      </c>
      <c r="D5" s="216" t="s">
        <v>212</v>
      </c>
      <c r="E5" s="216" t="s">
        <v>213</v>
      </c>
      <c r="F5" s="216" t="s">
        <v>214</v>
      </c>
      <c r="G5" s="216" t="s">
        <v>215</v>
      </c>
      <c r="H5" s="216" t="s">
        <v>216</v>
      </c>
    </row>
    <row r="6" spans="1:8" ht="19.95" customHeight="1" x14ac:dyDescent="0.3">
      <c r="A6" s="217">
        <f>FLOOR(Settings!$B$5,5)</f>
        <v>155</v>
      </c>
      <c r="B6" s="217">
        <f>IF(A6="","",Settings!$B$5-A6)</f>
        <v>2</v>
      </c>
      <c r="C6" s="218">
        <f>IF(A6="","",(Settings!$B$5-A6)/(Settings!$B$5-Settings!$B$6))</f>
        <v>3.5087719298245612E-2</v>
      </c>
      <c r="D6" s="219">
        <f>IF(A6="","",Settings!$B$4+B6/((Settings!$B$5-Settings!$B$6)/104)*7)</f>
        <v>46303.543859649122</v>
      </c>
      <c r="E6" s="219" t="str">
        <f>IF(A6="","",IF(_xlfn.MINIFS('Daily Tracking'!$A$6:$A$735,'Daily Tracking'!$B$6:$B$735,"&lt;="&amp;A6,'Daily Tracking'!$B$6:$B$735,"&gt;0")=0,"",_xlfn.MINIFS('Daily Tracking'!$A$6:$A$735,'Daily Tracking'!$B$6:$B$735,"&lt;="&amp;A6,'Daily Tracking'!$B$6:$B$735,"&gt;0")))</f>
        <v/>
      </c>
      <c r="F6" s="220" t="str">
        <f>IF(E6="","",E6-Settings!$B$4)</f>
        <v/>
      </c>
      <c r="G6" s="221" t="str">
        <f ca="1">IF(A6="","",IF(E6&lt;&gt;"","Achieved",IF(D6&lt;TODAY(),"Overdue","Pending")))</f>
        <v>Pending</v>
      </c>
      <c r="H6" s="227"/>
    </row>
    <row r="7" spans="1:8" ht="19.95" customHeight="1" x14ac:dyDescent="0.3">
      <c r="A7" s="222">
        <f>IF(A6="","",IF(A6&lt;=Settings!$B$6,"",MAX(A6-5,Settings!$B$6)))</f>
        <v>150</v>
      </c>
      <c r="B7" s="222">
        <f>IF(A7="","",Settings!$B$5-A7)</f>
        <v>7</v>
      </c>
      <c r="C7" s="223">
        <f>IF(A7="","",(Settings!$B$5-A7)/(Settings!$B$5-Settings!$B$6))</f>
        <v>0.12280701754385964</v>
      </c>
      <c r="D7" s="224">
        <f>IF(A7="","",Settings!$B$4+B7/((Settings!$B$5-Settings!$B$6)/104)*7)</f>
        <v>46367.403508771931</v>
      </c>
      <c r="E7" s="224" t="str">
        <f>IF(A7="","",IF(_xlfn.MINIFS('Daily Tracking'!$A$6:$A$735,'Daily Tracking'!$B$6:$B$735,"&lt;="&amp;A7,'Daily Tracking'!$B$6:$B$735,"&gt;0")=0,"",_xlfn.MINIFS('Daily Tracking'!$A$6:$A$735,'Daily Tracking'!$B$6:$B$735,"&lt;="&amp;A7,'Daily Tracking'!$B$6:$B$735,"&gt;0")))</f>
        <v/>
      </c>
      <c r="F7" s="225" t="str">
        <f>IF(E7="","",E7-Settings!$B$4)</f>
        <v/>
      </c>
      <c r="G7" s="226" t="str">
        <f t="shared" ref="G7:G20" ca="1" si="0">IF(A7="","",IF(E7&lt;&gt;"","Achieved",IF(D7&lt;TODAY(),"Overdue","Pending")))</f>
        <v>Pending</v>
      </c>
      <c r="H7" s="227"/>
    </row>
    <row r="8" spans="1:8" ht="19.95" customHeight="1" x14ac:dyDescent="0.3">
      <c r="A8" s="217">
        <f>IF(A7="","",IF(A7&lt;=Settings!$B$6,"",MAX(A7-5,Settings!$B$6)))</f>
        <v>145</v>
      </c>
      <c r="B8" s="217">
        <f>IF(A8="","",Settings!$B$5-A8)</f>
        <v>12</v>
      </c>
      <c r="C8" s="218">
        <f>IF(A8="","",(Settings!$B$5-A8)/(Settings!$B$5-Settings!$B$6))</f>
        <v>0.21052631578947367</v>
      </c>
      <c r="D8" s="219">
        <f>IF(A8="","",Settings!$B$4+B8/((Settings!$B$5-Settings!$B$6)/104)*7)</f>
        <v>46431.26315789474</v>
      </c>
      <c r="E8" s="219" t="str">
        <f>IF(A8="","",IF(_xlfn.MINIFS('Daily Tracking'!$A$6:$A$735,'Daily Tracking'!$B$6:$B$735,"&lt;="&amp;A8,'Daily Tracking'!$B$6:$B$735,"&gt;0")=0,"",_xlfn.MINIFS('Daily Tracking'!$A$6:$A$735,'Daily Tracking'!$B$6:$B$735,"&lt;="&amp;A8,'Daily Tracking'!$B$6:$B$735,"&gt;0")))</f>
        <v/>
      </c>
      <c r="F8" s="220" t="str">
        <f>IF(E8="","",E8-Settings!$B$4)</f>
        <v/>
      </c>
      <c r="G8" s="221" t="str">
        <f t="shared" ca="1" si="0"/>
        <v>Pending</v>
      </c>
      <c r="H8" s="227"/>
    </row>
    <row r="9" spans="1:8" ht="19.95" customHeight="1" x14ac:dyDescent="0.3">
      <c r="A9" s="222">
        <f>IF(A8="","",IF(A8&lt;=Settings!$B$6,"",MAX(A8-5,Settings!$B$6)))</f>
        <v>140</v>
      </c>
      <c r="B9" s="222">
        <f>IF(A9="","",Settings!$B$5-A9)</f>
        <v>17</v>
      </c>
      <c r="C9" s="223">
        <f>IF(A9="","",(Settings!$B$5-A9)/(Settings!$B$5-Settings!$B$6))</f>
        <v>0.2982456140350877</v>
      </c>
      <c r="D9" s="224">
        <f>IF(A9="","",Settings!$B$4+B9/((Settings!$B$5-Settings!$B$6)/104)*7)</f>
        <v>46495.122807017542</v>
      </c>
      <c r="E9" s="224" t="str">
        <f>IF(A9="","",IF(_xlfn.MINIFS('Daily Tracking'!$A$6:$A$735,'Daily Tracking'!$B$6:$B$735,"&lt;="&amp;A9,'Daily Tracking'!$B$6:$B$735,"&gt;0")=0,"",_xlfn.MINIFS('Daily Tracking'!$A$6:$A$735,'Daily Tracking'!$B$6:$B$735,"&lt;="&amp;A9,'Daily Tracking'!$B$6:$B$735,"&gt;0")))</f>
        <v/>
      </c>
      <c r="F9" s="225" t="str">
        <f>IF(E9="","",E9-Settings!$B$4)</f>
        <v/>
      </c>
      <c r="G9" s="226" t="str">
        <f t="shared" ca="1" si="0"/>
        <v>Pending</v>
      </c>
      <c r="H9" s="227"/>
    </row>
    <row r="10" spans="1:8" ht="19.95" customHeight="1" x14ac:dyDescent="0.3">
      <c r="A10" s="217">
        <f>IF(A9="","",IF(A9&lt;=Settings!$B$6,"",MAX(A9-5,Settings!$B$6)))</f>
        <v>135</v>
      </c>
      <c r="B10" s="217">
        <f>IF(A10="","",Settings!$B$5-A10)</f>
        <v>22</v>
      </c>
      <c r="C10" s="218">
        <f>IF(A10="","",(Settings!$B$5-A10)/(Settings!$B$5-Settings!$B$6))</f>
        <v>0.38596491228070173</v>
      </c>
      <c r="D10" s="219">
        <f>IF(A10="","",Settings!$B$4+B10/((Settings!$B$5-Settings!$B$6)/104)*7)</f>
        <v>46558.982456140351</v>
      </c>
      <c r="E10" s="219" t="str">
        <f>IF(A10="","",IF(_xlfn.MINIFS('Daily Tracking'!$A$6:$A$735,'Daily Tracking'!$B$6:$B$735,"&lt;="&amp;A10,'Daily Tracking'!$B$6:$B$735,"&gt;0")=0,"",_xlfn.MINIFS('Daily Tracking'!$A$6:$A$735,'Daily Tracking'!$B$6:$B$735,"&lt;="&amp;A10,'Daily Tracking'!$B$6:$B$735,"&gt;0")))</f>
        <v/>
      </c>
      <c r="F10" s="220" t="str">
        <f>IF(E10="","",E10-Settings!$B$4)</f>
        <v/>
      </c>
      <c r="G10" s="221" t="str">
        <f t="shared" ca="1" si="0"/>
        <v>Pending</v>
      </c>
      <c r="H10" s="227"/>
    </row>
    <row r="11" spans="1:8" ht="19.95" customHeight="1" x14ac:dyDescent="0.3">
      <c r="A11" s="222">
        <f>IF(A10="","",IF(A10&lt;=Settings!$B$6,"",MAX(A10-5,Settings!$B$6)))</f>
        <v>130</v>
      </c>
      <c r="B11" s="222">
        <f>IF(A11="","",Settings!$B$5-A11)</f>
        <v>27</v>
      </c>
      <c r="C11" s="223">
        <f>IF(A11="","",(Settings!$B$5-A11)/(Settings!$B$5-Settings!$B$6))</f>
        <v>0.47368421052631576</v>
      </c>
      <c r="D11" s="224">
        <f>IF(A11="","",Settings!$B$4+B11/((Settings!$B$5-Settings!$B$6)/104)*7)</f>
        <v>46622.84210526316</v>
      </c>
      <c r="E11" s="224" t="str">
        <f>IF(A11="","",IF(_xlfn.MINIFS('Daily Tracking'!$A$6:$A$735,'Daily Tracking'!$B$6:$B$735,"&lt;="&amp;A11,'Daily Tracking'!$B$6:$B$735,"&gt;0")=0,"",_xlfn.MINIFS('Daily Tracking'!$A$6:$A$735,'Daily Tracking'!$B$6:$B$735,"&lt;="&amp;A11,'Daily Tracking'!$B$6:$B$735,"&gt;0")))</f>
        <v/>
      </c>
      <c r="F11" s="225" t="str">
        <f>IF(E11="","",E11-Settings!$B$4)</f>
        <v/>
      </c>
      <c r="G11" s="226" t="str">
        <f t="shared" ca="1" si="0"/>
        <v>Pending</v>
      </c>
      <c r="H11" s="227"/>
    </row>
    <row r="12" spans="1:8" ht="19.95" customHeight="1" x14ac:dyDescent="0.3">
      <c r="A12" s="217">
        <f>IF(A11="","",IF(A11&lt;=Settings!$B$6,"",MAX(A11-5,Settings!$B$6)))</f>
        <v>125</v>
      </c>
      <c r="B12" s="217">
        <f>IF(A12="","",Settings!$B$5-A12)</f>
        <v>32</v>
      </c>
      <c r="C12" s="218">
        <f>IF(A12="","",(Settings!$B$5-A12)/(Settings!$B$5-Settings!$B$6))</f>
        <v>0.56140350877192979</v>
      </c>
      <c r="D12" s="219">
        <f>IF(A12="","",Settings!$B$4+B12/((Settings!$B$5-Settings!$B$6)/104)*7)</f>
        <v>46686.701754385962</v>
      </c>
      <c r="E12" s="219" t="str">
        <f>IF(A12="","",IF(_xlfn.MINIFS('Daily Tracking'!$A$6:$A$735,'Daily Tracking'!$B$6:$B$735,"&lt;="&amp;A12,'Daily Tracking'!$B$6:$B$735,"&gt;0")=0,"",_xlfn.MINIFS('Daily Tracking'!$A$6:$A$735,'Daily Tracking'!$B$6:$B$735,"&lt;="&amp;A12,'Daily Tracking'!$B$6:$B$735,"&gt;0")))</f>
        <v/>
      </c>
      <c r="F12" s="220" t="str">
        <f>IF(E12="","",E12-Settings!$B$4)</f>
        <v/>
      </c>
      <c r="G12" s="221" t="str">
        <f t="shared" ca="1" si="0"/>
        <v>Pending</v>
      </c>
      <c r="H12" s="227"/>
    </row>
    <row r="13" spans="1:8" ht="19.95" customHeight="1" x14ac:dyDescent="0.3">
      <c r="A13" s="222">
        <f>IF(A12="","",IF(A12&lt;=Settings!$B$6,"",MAX(A12-5,Settings!$B$6)))</f>
        <v>120</v>
      </c>
      <c r="B13" s="222">
        <f>IF(A13="","",Settings!$B$5-A13)</f>
        <v>37</v>
      </c>
      <c r="C13" s="223">
        <f>IF(A13="","",(Settings!$B$5-A13)/(Settings!$B$5-Settings!$B$6))</f>
        <v>0.64912280701754388</v>
      </c>
      <c r="D13" s="224">
        <f>IF(A13="","",Settings!$B$4+B13/((Settings!$B$5-Settings!$B$6)/104)*7)</f>
        <v>46750.561403508771</v>
      </c>
      <c r="E13" s="224" t="str">
        <f>IF(A13="","",IF(_xlfn.MINIFS('Daily Tracking'!$A$6:$A$735,'Daily Tracking'!$B$6:$B$735,"&lt;="&amp;A13,'Daily Tracking'!$B$6:$B$735,"&gt;0")=0,"",_xlfn.MINIFS('Daily Tracking'!$A$6:$A$735,'Daily Tracking'!$B$6:$B$735,"&lt;="&amp;A13,'Daily Tracking'!$B$6:$B$735,"&gt;0")))</f>
        <v/>
      </c>
      <c r="F13" s="225" t="str">
        <f>IF(E13="","",E13-Settings!$B$4)</f>
        <v/>
      </c>
      <c r="G13" s="226" t="str">
        <f t="shared" ca="1" si="0"/>
        <v>Pending</v>
      </c>
      <c r="H13" s="227"/>
    </row>
    <row r="14" spans="1:8" ht="19.95" customHeight="1" x14ac:dyDescent="0.3">
      <c r="A14" s="217">
        <f>IF(A13="","",IF(A13&lt;=Settings!$B$6,"",MAX(A13-5,Settings!$B$6)))</f>
        <v>115</v>
      </c>
      <c r="B14" s="217">
        <f>IF(A14="","",Settings!$B$5-A14)</f>
        <v>42</v>
      </c>
      <c r="C14" s="218">
        <f>IF(A14="","",(Settings!$B$5-A14)/(Settings!$B$5-Settings!$B$6))</f>
        <v>0.73684210526315785</v>
      </c>
      <c r="D14" s="219">
        <f>IF(A14="","",Settings!$B$4+B14/((Settings!$B$5-Settings!$B$6)/104)*7)</f>
        <v>46814.42105263158</v>
      </c>
      <c r="E14" s="219" t="str">
        <f>IF(A14="","",IF(_xlfn.MINIFS('Daily Tracking'!$A$6:$A$735,'Daily Tracking'!$B$6:$B$735,"&lt;="&amp;A14,'Daily Tracking'!$B$6:$B$735,"&gt;0")=0,"",_xlfn.MINIFS('Daily Tracking'!$A$6:$A$735,'Daily Tracking'!$B$6:$B$735,"&lt;="&amp;A14,'Daily Tracking'!$B$6:$B$735,"&gt;0")))</f>
        <v/>
      </c>
      <c r="F14" s="220" t="str">
        <f>IF(E14="","",E14-Settings!$B$4)</f>
        <v/>
      </c>
      <c r="G14" s="221" t="str">
        <f t="shared" ca="1" si="0"/>
        <v>Pending</v>
      </c>
      <c r="H14" s="227"/>
    </row>
    <row r="15" spans="1:8" ht="19.95" customHeight="1" x14ac:dyDescent="0.3">
      <c r="A15" s="222">
        <f>IF(A14="","",IF(A14&lt;=Settings!$B$6,"",MAX(A14-5,Settings!$B$6)))</f>
        <v>110</v>
      </c>
      <c r="B15" s="222">
        <f>IF(A15="","",Settings!$B$5-A15)</f>
        <v>47</v>
      </c>
      <c r="C15" s="223">
        <f>IF(A15="","",(Settings!$B$5-A15)/(Settings!$B$5-Settings!$B$6))</f>
        <v>0.82456140350877194</v>
      </c>
      <c r="D15" s="224">
        <f>IF(A15="","",Settings!$B$4+B15/((Settings!$B$5-Settings!$B$6)/104)*7)</f>
        <v>46878.280701754389</v>
      </c>
      <c r="E15" s="224" t="str">
        <f>IF(A15="","",IF(_xlfn.MINIFS('Daily Tracking'!$A$6:$A$735,'Daily Tracking'!$B$6:$B$735,"&lt;="&amp;A15,'Daily Tracking'!$B$6:$B$735,"&gt;0")=0,"",_xlfn.MINIFS('Daily Tracking'!$A$6:$A$735,'Daily Tracking'!$B$6:$B$735,"&lt;="&amp;A15,'Daily Tracking'!$B$6:$B$735,"&gt;0")))</f>
        <v/>
      </c>
      <c r="F15" s="225" t="str">
        <f>IF(E15="","",E15-Settings!$B$4)</f>
        <v/>
      </c>
      <c r="G15" s="226" t="str">
        <f t="shared" ca="1" si="0"/>
        <v>Pending</v>
      </c>
      <c r="H15" s="227"/>
    </row>
    <row r="16" spans="1:8" ht="19.95" customHeight="1" x14ac:dyDescent="0.3">
      <c r="A16" s="217">
        <f>IF(A15="","",IF(A15&lt;=Settings!$B$6,"",MAX(A15-5,Settings!$B$6)))</f>
        <v>105</v>
      </c>
      <c r="B16" s="217">
        <f>IF(A16="","",Settings!$B$5-A16)</f>
        <v>52</v>
      </c>
      <c r="C16" s="218">
        <f>IF(A16="","",(Settings!$B$5-A16)/(Settings!$B$5-Settings!$B$6))</f>
        <v>0.91228070175438591</v>
      </c>
      <c r="D16" s="219">
        <f>IF(A16="","",Settings!$B$4+B16/((Settings!$B$5-Settings!$B$6)/104)*7)</f>
        <v>46942.140350877191</v>
      </c>
      <c r="E16" s="219" t="str">
        <f>IF(A16="","",IF(_xlfn.MINIFS('Daily Tracking'!$A$6:$A$735,'Daily Tracking'!$B$6:$B$735,"&lt;="&amp;A16,'Daily Tracking'!$B$6:$B$735,"&gt;0")=0,"",_xlfn.MINIFS('Daily Tracking'!$A$6:$A$735,'Daily Tracking'!$B$6:$B$735,"&lt;="&amp;A16,'Daily Tracking'!$B$6:$B$735,"&gt;0")))</f>
        <v/>
      </c>
      <c r="F16" s="220" t="str">
        <f>IF(E16="","",E16-Settings!$B$4)</f>
        <v/>
      </c>
      <c r="G16" s="221" t="str">
        <f t="shared" ca="1" si="0"/>
        <v>Pending</v>
      </c>
      <c r="H16" s="227"/>
    </row>
    <row r="17" spans="1:8" ht="19.95" customHeight="1" x14ac:dyDescent="0.3">
      <c r="A17" s="222">
        <f>IF(A16="","",IF(A16&lt;=Settings!$B$6,"",MAX(A16-5,Settings!$B$6)))</f>
        <v>100</v>
      </c>
      <c r="B17" s="222">
        <f>IF(A17="","",Settings!$B$5-A17)</f>
        <v>57</v>
      </c>
      <c r="C17" s="223">
        <f>IF(A17="","",(Settings!$B$5-A17)/(Settings!$B$5-Settings!$B$6))</f>
        <v>1</v>
      </c>
      <c r="D17" s="224">
        <f>IF(A17="","",Settings!$B$4+B17/((Settings!$B$5-Settings!$B$6)/104)*7)</f>
        <v>47006</v>
      </c>
      <c r="E17" s="224" t="str">
        <f>IF(A17="","",IF(_xlfn.MINIFS('Daily Tracking'!$A$6:$A$735,'Daily Tracking'!$B$6:$B$735,"&lt;="&amp;A17,'Daily Tracking'!$B$6:$B$735,"&gt;0")=0,"",_xlfn.MINIFS('Daily Tracking'!$A$6:$A$735,'Daily Tracking'!$B$6:$B$735,"&lt;="&amp;A17,'Daily Tracking'!$B$6:$B$735,"&gt;0")))</f>
        <v/>
      </c>
      <c r="F17" s="225" t="str">
        <f>IF(E17="","",E17-Settings!$B$4)</f>
        <v/>
      </c>
      <c r="G17" s="226" t="str">
        <f t="shared" ca="1" si="0"/>
        <v>Pending</v>
      </c>
      <c r="H17" s="227"/>
    </row>
    <row r="18" spans="1:8" ht="19.95" customHeight="1" x14ac:dyDescent="0.3">
      <c r="A18" s="217" t="str">
        <f>IF(A17="","",IF(A17&lt;=Settings!$B$6,"",MAX(A17-5,Settings!$B$6)))</f>
        <v/>
      </c>
      <c r="B18" s="217" t="str">
        <f>IF(A18="","",Settings!$B$5-A18)</f>
        <v/>
      </c>
      <c r="C18" s="218" t="str">
        <f>IF(A18="","",(Settings!$B$5-A18)/(Settings!$B$5-Settings!$B$6))</f>
        <v/>
      </c>
      <c r="D18" s="219" t="str">
        <f>IF(A18="","",Settings!$B$4+B18/((Settings!$B$5-Settings!$B$6)/104)*7)</f>
        <v/>
      </c>
      <c r="E18" s="219" t="str">
        <f>IF(A18="","",IF(_xlfn.MINIFS('Daily Tracking'!$A$6:$A$735,'Daily Tracking'!$B$6:$B$735,"&lt;="&amp;A18,'Daily Tracking'!$B$6:$B$735,"&gt;0")=0,"",_xlfn.MINIFS('Daily Tracking'!$A$6:$A$735,'Daily Tracking'!$B$6:$B$735,"&lt;="&amp;A18,'Daily Tracking'!$B$6:$B$735,"&gt;0")))</f>
        <v/>
      </c>
      <c r="F18" s="220" t="str">
        <f>IF(E18="","",E18-Settings!$B$4)</f>
        <v/>
      </c>
      <c r="G18" s="221" t="str">
        <f t="shared" ca="1" si="0"/>
        <v/>
      </c>
      <c r="H18" s="227"/>
    </row>
    <row r="19" spans="1:8" ht="19.95" customHeight="1" x14ac:dyDescent="0.3">
      <c r="A19" s="222" t="str">
        <f>IF(A18="","",IF(A18&lt;=Settings!$B$6,"",MAX(A18-5,Settings!$B$6)))</f>
        <v/>
      </c>
      <c r="B19" s="222" t="str">
        <f>IF(A19="","",Settings!$B$5-A19)</f>
        <v/>
      </c>
      <c r="C19" s="223" t="str">
        <f>IF(A19="","",(Settings!$B$5-A19)/(Settings!$B$5-Settings!$B$6))</f>
        <v/>
      </c>
      <c r="D19" s="224" t="str">
        <f>IF(A19="","",Settings!$B$4+B19/((Settings!$B$5-Settings!$B$6)/104)*7)</f>
        <v/>
      </c>
      <c r="E19" s="224" t="str">
        <f>IF(A19="","",IF(_xlfn.MINIFS('Daily Tracking'!$A$6:$A$735,'Daily Tracking'!$B$6:$B$735,"&lt;="&amp;A19,'Daily Tracking'!$B$6:$B$735,"&gt;0")=0,"",_xlfn.MINIFS('Daily Tracking'!$A$6:$A$735,'Daily Tracking'!$B$6:$B$735,"&lt;="&amp;A19,'Daily Tracking'!$B$6:$B$735,"&gt;0")))</f>
        <v/>
      </c>
      <c r="F19" s="225" t="str">
        <f>IF(E19="","",E19-Settings!$B$4)</f>
        <v/>
      </c>
      <c r="G19" s="226" t="str">
        <f t="shared" ca="1" si="0"/>
        <v/>
      </c>
      <c r="H19" s="227"/>
    </row>
    <row r="20" spans="1:8" ht="19.95" customHeight="1" x14ac:dyDescent="0.3">
      <c r="A20" s="217" t="str">
        <f>IF(A19="","",IF(A19&lt;=Settings!$B$6,"",MAX(A19-5,Settings!$B$6)))</f>
        <v/>
      </c>
      <c r="B20" s="217" t="str">
        <f>IF(A20="","",Settings!$B$5-A20)</f>
        <v/>
      </c>
      <c r="C20" s="218" t="str">
        <f>IF(A20="","",(Settings!$B$5-A20)/(Settings!$B$5-Settings!$B$6))</f>
        <v/>
      </c>
      <c r="D20" s="219" t="str">
        <f>IF(A20="","",Settings!$B$4+B20/((Settings!$B$5-Settings!$B$6)/104)*7)</f>
        <v/>
      </c>
      <c r="E20" s="219" t="str">
        <f>IF(A20="","",IF(_xlfn.MINIFS('Daily Tracking'!$A$6:$A$735,'Daily Tracking'!$B$6:$B$735,"&lt;="&amp;A20,'Daily Tracking'!$B$6:$B$735,"&gt;0")=0,"",_xlfn.MINIFS('Daily Tracking'!$A$6:$A$735,'Daily Tracking'!$B$6:$B$735,"&lt;="&amp;A20,'Daily Tracking'!$B$6:$B$735,"&gt;0")))</f>
        <v/>
      </c>
      <c r="F20" s="220" t="str">
        <f>IF(E20="","",E20-Settings!$B$4)</f>
        <v/>
      </c>
      <c r="G20" s="221" t="str">
        <f t="shared" ca="1" si="0"/>
        <v/>
      </c>
      <c r="H20" s="227"/>
    </row>
  </sheetData>
  <sheetProtection sheet="1" objects="1" scenarios="1" sort="0" autoFilter="0"/>
  <conditionalFormatting sqref="G6:G20">
    <cfRule type="containsText" dxfId="2" priority="1" operator="containsText" text="Achieved">
      <formula>NOT(ISERROR(SEARCH("Achieved",G6)))</formula>
    </cfRule>
  </conditionalFormatting>
  <conditionalFormatting sqref="G6:G20">
    <cfRule type="containsText" dxfId="1" priority="2" operator="containsText" text="Overdue">
      <formula>NOT(ISERROR(SEARCH("Overdue",G6)))</formula>
    </cfRule>
  </conditionalFormatting>
  <conditionalFormatting sqref="G6:G20">
    <cfRule type="containsText" dxfId="0" priority="3" operator="containsText" text="Pending">
      <formula>NOT(ISERROR(SEARCH("Pending",G6)))</formula>
    </cfRule>
  </conditionalFormatting>
  <pageMargins left="0.7" right="0.7" top="0.75" bottom="0.75" header="0.3" footer="0.3"/>
  <pageSetup paperSize="9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B5CF6"/>
    <pageSetUpPr fitToPage="1"/>
  </sheetPr>
  <dimension ref="A1:M735"/>
  <sheetViews>
    <sheetView showGridLines="0" zoomScaleNormal="100" workbookViewId="0">
      <pane ySplit="5" topLeftCell="A6" activePane="bottomLeft" state="frozen"/>
      <selection pane="bottomLeft" activeCell="D7" sqref="D7"/>
    </sheetView>
  </sheetViews>
  <sheetFormatPr defaultColWidth="8.6640625" defaultRowHeight="14.4" x14ac:dyDescent="0.3"/>
  <cols>
    <col min="1" max="1" width="13" style="3" customWidth="1"/>
    <col min="2" max="2" width="12" style="3" customWidth="1"/>
    <col min="3" max="3" width="13" style="3" customWidth="1"/>
    <col min="4" max="5" width="11" style="3" customWidth="1"/>
    <col min="6" max="6" width="12" style="3" customWidth="1"/>
    <col min="7" max="8" width="11" style="3" customWidth="1"/>
    <col min="9" max="9" width="10" style="3" customWidth="1"/>
    <col min="10" max="10" width="8.6640625" style="3"/>
    <col min="11" max="13" width="9.5546875" style="3" customWidth="1"/>
    <col min="14" max="16384" width="8.6640625" style="3"/>
  </cols>
  <sheetData>
    <row r="1" spans="1:13" ht="31.95" customHeight="1" x14ac:dyDescent="0.3">
      <c r="A1" s="106" t="s">
        <v>146</v>
      </c>
      <c r="B1" s="106"/>
      <c r="C1" s="106"/>
      <c r="D1" s="106"/>
      <c r="E1" s="106"/>
      <c r="F1" s="106"/>
      <c r="G1" s="106"/>
      <c r="H1" s="106"/>
      <c r="I1" s="106"/>
    </row>
    <row r="2" spans="1:13" ht="18" customHeight="1" x14ac:dyDescent="0.3">
      <c r="A2" s="23" t="s">
        <v>147</v>
      </c>
      <c r="B2" s="23"/>
      <c r="C2" s="23"/>
      <c r="D2" s="23"/>
      <c r="E2" s="23"/>
      <c r="F2" s="23"/>
      <c r="G2" s="23"/>
      <c r="H2" s="23"/>
      <c r="I2" s="23"/>
    </row>
    <row r="3" spans="1:13" ht="6" customHeight="1" x14ac:dyDescent="0.3"/>
    <row r="4" spans="1:13" ht="7.95" customHeight="1" x14ac:dyDescent="0.3"/>
    <row r="5" spans="1:13" ht="28.05" customHeight="1" x14ac:dyDescent="0.3">
      <c r="A5" s="122" t="s">
        <v>67</v>
      </c>
      <c r="B5" s="122" t="s">
        <v>148</v>
      </c>
      <c r="C5" s="122" t="s">
        <v>149</v>
      </c>
      <c r="D5" s="122" t="s">
        <v>150</v>
      </c>
      <c r="E5" s="122" t="s">
        <v>151</v>
      </c>
      <c r="F5" s="122" t="s">
        <v>152</v>
      </c>
      <c r="G5" s="122" t="s">
        <v>153</v>
      </c>
      <c r="H5" s="122" t="s">
        <v>154</v>
      </c>
      <c r="I5" s="122" t="s">
        <v>155</v>
      </c>
      <c r="J5" s="228"/>
      <c r="K5" s="229" t="s">
        <v>156</v>
      </c>
      <c r="L5" s="229"/>
      <c r="M5" s="229"/>
    </row>
    <row r="6" spans="1:13" ht="18" customHeight="1" x14ac:dyDescent="0.3">
      <c r="A6" s="132">
        <f>'Daily Tracking'!A6</f>
        <v>46278</v>
      </c>
      <c r="B6" s="230">
        <f ca="1">IF(A6&gt;TODAY(),"",IF('Daily Tracking'!B6&lt;&gt;"",1,0))</f>
        <v>1</v>
      </c>
      <c r="C6" s="230">
        <f ca="1">IF(A6&gt;TODAY(),"",IF('Daily Tracking'!E6&lt;&gt;"",1,0))</f>
        <v>0</v>
      </c>
      <c r="D6" s="230">
        <f ca="1">IF(A6&gt;TODAY(),"",IF(N('Daily Tracking'!G6)&gt;=Settings!$B$13,1,0))</f>
        <v>0</v>
      </c>
      <c r="E6" s="230">
        <f ca="1">IF(A6&gt;TODAY(),"",IF(N('Daily Tracking'!H6)&gt;=Settings!$B$14,1,0))</f>
        <v>0</v>
      </c>
      <c r="F6" s="230">
        <f ca="1">IF(A6&gt;TODAY(),"",IF(OR(N('Daily Tracking'!I6)&gt;0,'Daily Tracking'!J6="Yes"),1,0))</f>
        <v>0</v>
      </c>
      <c r="G6" s="230">
        <f ca="1">IF(A6&gt;TODAY(),"",IF(N('Daily Tracking'!K6)&gt;=Settings!$B$15,1,0))</f>
        <v>0</v>
      </c>
      <c r="H6" s="231">
        <f ca="1">IF(B6="","",AVERAGE(B6:G6))</f>
        <v>0.16666666666666666</v>
      </c>
      <c r="I6" s="136">
        <f ca="1">IF(B6="","",IF(B6=1,0+1,0))</f>
        <v>1</v>
      </c>
      <c r="J6" s="232"/>
      <c r="K6" s="233">
        <f ca="1">IFERROR(AVERAGEIFS($H$6:$H$735,$A$6:$A$735,"&gt;"&amp;TODAY()-7,$A$6:$A$735,"&lt;="&amp;TODAY()),"")</f>
        <v>0.16666666666666666</v>
      </c>
      <c r="L6" s="233"/>
      <c r="M6" s="233"/>
    </row>
    <row r="7" spans="1:13" ht="18" customHeight="1" x14ac:dyDescent="0.3">
      <c r="A7" s="132">
        <f>'Daily Tracking'!A7</f>
        <v>46279</v>
      </c>
      <c r="B7" s="230" t="str">
        <f ca="1">IF(A7&gt;TODAY(),"",IF('Daily Tracking'!B7&lt;&gt;"",1,0))</f>
        <v/>
      </c>
      <c r="C7" s="230" t="str">
        <f ca="1">IF(A7&gt;TODAY(),"",IF('Daily Tracking'!E7&lt;&gt;"",1,0))</f>
        <v/>
      </c>
      <c r="D7" s="230" t="str">
        <f ca="1">IF(A7&gt;TODAY(),"",IF(N('Daily Tracking'!G7)&gt;=Settings!$B$13,1,0))</f>
        <v/>
      </c>
      <c r="E7" s="230" t="str">
        <f ca="1">IF(A7&gt;TODAY(),"",IF(N('Daily Tracking'!H7)&gt;=Settings!$B$14,1,0))</f>
        <v/>
      </c>
      <c r="F7" s="230" t="str">
        <f ca="1">IF(A7&gt;TODAY(),"",IF(OR(N('Daily Tracking'!I7)&gt;0,'Daily Tracking'!J7="Yes"),1,0))</f>
        <v/>
      </c>
      <c r="G7" s="230" t="str">
        <f ca="1">IF(A7&gt;TODAY(),"",IF(N('Daily Tracking'!K7)&gt;=Settings!$B$15,1,0))</f>
        <v/>
      </c>
      <c r="H7" s="231" t="str">
        <f ca="1">IF(B7="","",AVERAGE(B7:G7))</f>
        <v/>
      </c>
      <c r="I7" s="136" t="str">
        <f ca="1">IF(B7="","",IF(B7=1,N(I6)+1,0))</f>
        <v/>
      </c>
      <c r="J7" s="232"/>
      <c r="K7" s="233"/>
      <c r="L7" s="233"/>
      <c r="M7" s="233"/>
    </row>
    <row r="8" spans="1:13" ht="18" customHeight="1" x14ac:dyDescent="0.3">
      <c r="A8" s="132">
        <f>'Daily Tracking'!A8</f>
        <v>46280</v>
      </c>
      <c r="B8" s="230" t="str">
        <f ca="1">IF(A8&gt;TODAY(),"",IF('Daily Tracking'!B8&lt;&gt;"",1,0))</f>
        <v/>
      </c>
      <c r="C8" s="230" t="str">
        <f ca="1">IF(A8&gt;TODAY(),"",IF('Daily Tracking'!E8&lt;&gt;"",1,0))</f>
        <v/>
      </c>
      <c r="D8" s="230" t="str">
        <f ca="1">IF(A8&gt;TODAY(),"",IF(N('Daily Tracking'!G8)&gt;=Settings!$B$13,1,0))</f>
        <v/>
      </c>
      <c r="E8" s="230" t="str">
        <f ca="1">IF(A8&gt;TODAY(),"",IF(N('Daily Tracking'!H8)&gt;=Settings!$B$14,1,0))</f>
        <v/>
      </c>
      <c r="F8" s="230" t="str">
        <f ca="1">IF(A8&gt;TODAY(),"",IF(OR(N('Daily Tracking'!I8)&gt;0,'Daily Tracking'!J8="Yes"),1,0))</f>
        <v/>
      </c>
      <c r="G8" s="230" t="str">
        <f ca="1">IF(A8&gt;TODAY(),"",IF(N('Daily Tracking'!K8)&gt;=Settings!$B$15,1,0))</f>
        <v/>
      </c>
      <c r="H8" s="231" t="str">
        <f ca="1">IF(B8="","",AVERAGE(B8:G8))</f>
        <v/>
      </c>
      <c r="I8" s="136" t="str">
        <f ca="1">IF(B8="","",IF(B8=1,N(I7)+1,0))</f>
        <v/>
      </c>
      <c r="J8" s="232"/>
      <c r="K8" s="232"/>
      <c r="L8" s="232"/>
      <c r="M8" s="232"/>
    </row>
    <row r="9" spans="1:13" ht="18" customHeight="1" x14ac:dyDescent="0.3">
      <c r="A9" s="132">
        <f>'Daily Tracking'!A9</f>
        <v>46281</v>
      </c>
      <c r="B9" s="230" t="str">
        <f ca="1">IF(A9&gt;TODAY(),"",IF('Daily Tracking'!B9&lt;&gt;"",1,0))</f>
        <v/>
      </c>
      <c r="C9" s="230" t="str">
        <f ca="1">IF(A9&gt;TODAY(),"",IF('Daily Tracking'!E9&lt;&gt;"",1,0))</f>
        <v/>
      </c>
      <c r="D9" s="230" t="str">
        <f ca="1">IF(A9&gt;TODAY(),"",IF(N('Daily Tracking'!G9)&gt;=Settings!$B$13,1,0))</f>
        <v/>
      </c>
      <c r="E9" s="230" t="str">
        <f ca="1">IF(A9&gt;TODAY(),"",IF(N('Daily Tracking'!H9)&gt;=Settings!$B$14,1,0))</f>
        <v/>
      </c>
      <c r="F9" s="230" t="str">
        <f ca="1">IF(A9&gt;TODAY(),"",IF(OR(N('Daily Tracking'!I9)&gt;0,'Daily Tracking'!J9="Yes"),1,0))</f>
        <v/>
      </c>
      <c r="G9" s="230" t="str">
        <f ca="1">IF(A9&gt;TODAY(),"",IF(N('Daily Tracking'!K9)&gt;=Settings!$B$15,1,0))</f>
        <v/>
      </c>
      <c r="H9" s="231" t="str">
        <f ca="1">IF(B9="","",AVERAGE(B9:G9))</f>
        <v/>
      </c>
      <c r="I9" s="136" t="str">
        <f ca="1">IF(B9="","",IF(B9=1,N(I8)+1,0))</f>
        <v/>
      </c>
      <c r="J9" s="232"/>
      <c r="K9" s="229" t="s">
        <v>157</v>
      </c>
      <c r="L9" s="229"/>
      <c r="M9" s="229"/>
    </row>
    <row r="10" spans="1:13" ht="18" customHeight="1" x14ac:dyDescent="0.3">
      <c r="A10" s="132">
        <f>'Daily Tracking'!A10</f>
        <v>46282</v>
      </c>
      <c r="B10" s="230" t="str">
        <f ca="1">IF(A10&gt;TODAY(),"",IF('Daily Tracking'!B10&lt;&gt;"",1,0))</f>
        <v/>
      </c>
      <c r="C10" s="230" t="str">
        <f ca="1">IF(A10&gt;TODAY(),"",IF('Daily Tracking'!E10&lt;&gt;"",1,0))</f>
        <v/>
      </c>
      <c r="D10" s="230" t="str">
        <f ca="1">IF(A10&gt;TODAY(),"",IF(N('Daily Tracking'!G10)&gt;=Settings!$B$13,1,0))</f>
        <v/>
      </c>
      <c r="E10" s="230" t="str">
        <f ca="1">IF(A10&gt;TODAY(),"",IF(N('Daily Tracking'!H10)&gt;=Settings!$B$14,1,0))</f>
        <v/>
      </c>
      <c r="F10" s="230" t="str">
        <f ca="1">IF(A10&gt;TODAY(),"",IF(OR(N('Daily Tracking'!I10)&gt;0,'Daily Tracking'!J10="Yes"),1,0))</f>
        <v/>
      </c>
      <c r="G10" s="230" t="str">
        <f ca="1">IF(A10&gt;TODAY(),"",IF(N('Daily Tracking'!K10)&gt;=Settings!$B$15,1,0))</f>
        <v/>
      </c>
      <c r="H10" s="231" t="str">
        <f ca="1">IF(B10="","",AVERAGE(B10:G10))</f>
        <v/>
      </c>
      <c r="I10" s="136" t="str">
        <f ca="1">IF(B10="","",IF(B10=1,N(I9)+1,0))</f>
        <v/>
      </c>
      <c r="J10" s="232"/>
      <c r="K10" s="234">
        <f ca="1">IFERROR(AVERAGEIFS($H$6:$H$735,$A$6:$A$735,"&gt;"&amp;TODAY()-30,$A$6:$A$735,"&lt;="&amp;TODAY()),"")</f>
        <v>0.16666666666666666</v>
      </c>
      <c r="L10" s="234"/>
      <c r="M10" s="234"/>
    </row>
    <row r="11" spans="1:13" ht="18" customHeight="1" x14ac:dyDescent="0.3">
      <c r="A11" s="132">
        <f>'Daily Tracking'!A11</f>
        <v>46283</v>
      </c>
      <c r="B11" s="230" t="str">
        <f ca="1">IF(A11&gt;TODAY(),"",IF('Daily Tracking'!B11&lt;&gt;"",1,0))</f>
        <v/>
      </c>
      <c r="C11" s="230" t="str">
        <f ca="1">IF(A11&gt;TODAY(),"",IF('Daily Tracking'!E11&lt;&gt;"",1,0))</f>
        <v/>
      </c>
      <c r="D11" s="230" t="str">
        <f ca="1">IF(A11&gt;TODAY(),"",IF(N('Daily Tracking'!G11)&gt;=Settings!$B$13,1,0))</f>
        <v/>
      </c>
      <c r="E11" s="230" t="str">
        <f ca="1">IF(A11&gt;TODAY(),"",IF(N('Daily Tracking'!H11)&gt;=Settings!$B$14,1,0))</f>
        <v/>
      </c>
      <c r="F11" s="230" t="str">
        <f ca="1">IF(A11&gt;TODAY(),"",IF(OR(N('Daily Tracking'!I11)&gt;0,'Daily Tracking'!J11="Yes"),1,0))</f>
        <v/>
      </c>
      <c r="G11" s="230" t="str">
        <f ca="1">IF(A11&gt;TODAY(),"",IF(N('Daily Tracking'!K11)&gt;=Settings!$B$15,1,0))</f>
        <v/>
      </c>
      <c r="H11" s="231" t="str">
        <f ca="1">IF(B11="","",AVERAGE(B11:G11))</f>
        <v/>
      </c>
      <c r="I11" s="136" t="str">
        <f ca="1">IF(B11="","",IF(B11=1,N(I10)+1,0))</f>
        <v/>
      </c>
      <c r="J11" s="232"/>
      <c r="K11" s="234"/>
      <c r="L11" s="234"/>
      <c r="M11" s="234"/>
    </row>
    <row r="12" spans="1:13" ht="18" customHeight="1" x14ac:dyDescent="0.3">
      <c r="A12" s="132">
        <f>'Daily Tracking'!A12</f>
        <v>46284</v>
      </c>
      <c r="B12" s="230" t="str">
        <f ca="1">IF(A12&gt;TODAY(),"",IF('Daily Tracking'!B12&lt;&gt;"",1,0))</f>
        <v/>
      </c>
      <c r="C12" s="230" t="str">
        <f ca="1">IF(A12&gt;TODAY(),"",IF('Daily Tracking'!E12&lt;&gt;"",1,0))</f>
        <v/>
      </c>
      <c r="D12" s="230" t="str">
        <f ca="1">IF(A12&gt;TODAY(),"",IF(N('Daily Tracking'!G12)&gt;=Settings!$B$13,1,0))</f>
        <v/>
      </c>
      <c r="E12" s="230" t="str">
        <f ca="1">IF(A12&gt;TODAY(),"",IF(N('Daily Tracking'!H12)&gt;=Settings!$B$14,1,0))</f>
        <v/>
      </c>
      <c r="F12" s="230" t="str">
        <f ca="1">IF(A12&gt;TODAY(),"",IF(OR(N('Daily Tracking'!I12)&gt;0,'Daily Tracking'!J12="Yes"),1,0))</f>
        <v/>
      </c>
      <c r="G12" s="230" t="str">
        <f ca="1">IF(A12&gt;TODAY(),"",IF(N('Daily Tracking'!K12)&gt;=Settings!$B$15,1,0))</f>
        <v/>
      </c>
      <c r="H12" s="231" t="str">
        <f ca="1">IF(B12="","",AVERAGE(B12:G12))</f>
        <v/>
      </c>
      <c r="I12" s="136" t="str">
        <f ca="1">IF(B12="","",IF(B12=1,N(I11)+1,0))</f>
        <v/>
      </c>
      <c r="J12" s="232"/>
      <c r="K12" s="232"/>
      <c r="L12" s="232"/>
      <c r="M12" s="232"/>
    </row>
    <row r="13" spans="1:13" ht="18" customHeight="1" x14ac:dyDescent="0.3">
      <c r="A13" s="132">
        <f>'Daily Tracking'!A13</f>
        <v>46285</v>
      </c>
      <c r="B13" s="230" t="str">
        <f ca="1">IF(A13&gt;TODAY(),"",IF('Daily Tracking'!B13&lt;&gt;"",1,0))</f>
        <v/>
      </c>
      <c r="C13" s="230" t="str">
        <f ca="1">IF(A13&gt;TODAY(),"",IF('Daily Tracking'!E13&lt;&gt;"",1,0))</f>
        <v/>
      </c>
      <c r="D13" s="230" t="str">
        <f ca="1">IF(A13&gt;TODAY(),"",IF(N('Daily Tracking'!G13)&gt;=Settings!$B$13,1,0))</f>
        <v/>
      </c>
      <c r="E13" s="230" t="str">
        <f ca="1">IF(A13&gt;TODAY(),"",IF(N('Daily Tracking'!H13)&gt;=Settings!$B$14,1,0))</f>
        <v/>
      </c>
      <c r="F13" s="230" t="str">
        <f ca="1">IF(A13&gt;TODAY(),"",IF(OR(N('Daily Tracking'!I13)&gt;0,'Daily Tracking'!J13="Yes"),1,0))</f>
        <v/>
      </c>
      <c r="G13" s="230" t="str">
        <f ca="1">IF(A13&gt;TODAY(),"",IF(N('Daily Tracking'!K13)&gt;=Settings!$B$15,1,0))</f>
        <v/>
      </c>
      <c r="H13" s="231" t="str">
        <f ca="1">IF(B13="","",AVERAGE(B13:G13))</f>
        <v/>
      </c>
      <c r="I13" s="136" t="str">
        <f ca="1">IF(B13="","",IF(B13=1,N(I12)+1,0))</f>
        <v/>
      </c>
      <c r="J13" s="232"/>
      <c r="K13" s="229" t="s">
        <v>158</v>
      </c>
      <c r="L13" s="229"/>
      <c r="M13" s="229"/>
    </row>
    <row r="14" spans="1:13" ht="18" customHeight="1" x14ac:dyDescent="0.3">
      <c r="A14" s="132">
        <f>'Daily Tracking'!A14</f>
        <v>46286</v>
      </c>
      <c r="B14" s="230" t="str">
        <f ca="1">IF(A14&gt;TODAY(),"",IF('Daily Tracking'!B14&lt;&gt;"",1,0))</f>
        <v/>
      </c>
      <c r="C14" s="230" t="str">
        <f ca="1">IF(A14&gt;TODAY(),"",IF('Daily Tracking'!E14&lt;&gt;"",1,0))</f>
        <v/>
      </c>
      <c r="D14" s="230" t="str">
        <f ca="1">IF(A14&gt;TODAY(),"",IF(N('Daily Tracking'!G14)&gt;=Settings!$B$13,1,0))</f>
        <v/>
      </c>
      <c r="E14" s="230" t="str">
        <f ca="1">IF(A14&gt;TODAY(),"",IF(N('Daily Tracking'!H14)&gt;=Settings!$B$14,1,0))</f>
        <v/>
      </c>
      <c r="F14" s="230" t="str">
        <f ca="1">IF(A14&gt;TODAY(),"",IF(OR(N('Daily Tracking'!I14)&gt;0,'Daily Tracking'!J14="Yes"),1,0))</f>
        <v/>
      </c>
      <c r="G14" s="230" t="str">
        <f ca="1">IF(A14&gt;TODAY(),"",IF(N('Daily Tracking'!K14)&gt;=Settings!$B$15,1,0))</f>
        <v/>
      </c>
      <c r="H14" s="231" t="str">
        <f ca="1">IF(B14="","",AVERAGE(B14:G14))</f>
        <v/>
      </c>
      <c r="I14" s="136" t="str">
        <f ca="1">IF(B14="","",IF(B14=1,N(I13)+1,0))</f>
        <v/>
      </c>
      <c r="J14" s="232"/>
      <c r="K14" s="235">
        <f ca="1">IFERROR(AVERAGEIFS($H$6:$H$735,$A$6:$A$735,"&lt;="&amp;TODAY()),"")</f>
        <v>0.16666666666666666</v>
      </c>
      <c r="L14" s="235"/>
      <c r="M14" s="235"/>
    </row>
    <row r="15" spans="1:13" ht="18" customHeight="1" x14ac:dyDescent="0.3">
      <c r="A15" s="132">
        <f>'Daily Tracking'!A15</f>
        <v>46287</v>
      </c>
      <c r="B15" s="230" t="str">
        <f ca="1">IF(A15&gt;TODAY(),"",IF('Daily Tracking'!B15&lt;&gt;"",1,0))</f>
        <v/>
      </c>
      <c r="C15" s="230" t="str">
        <f ca="1">IF(A15&gt;TODAY(),"",IF('Daily Tracking'!E15&lt;&gt;"",1,0))</f>
        <v/>
      </c>
      <c r="D15" s="230" t="str">
        <f ca="1">IF(A15&gt;TODAY(),"",IF(N('Daily Tracking'!G15)&gt;=Settings!$B$13,1,0))</f>
        <v/>
      </c>
      <c r="E15" s="230" t="str">
        <f ca="1">IF(A15&gt;TODAY(),"",IF(N('Daily Tracking'!H15)&gt;=Settings!$B$14,1,0))</f>
        <v/>
      </c>
      <c r="F15" s="230" t="str">
        <f ca="1">IF(A15&gt;TODAY(),"",IF(OR(N('Daily Tracking'!I15)&gt;0,'Daily Tracking'!J15="Yes"),1,0))</f>
        <v/>
      </c>
      <c r="G15" s="230" t="str">
        <f ca="1">IF(A15&gt;TODAY(),"",IF(N('Daily Tracking'!K15)&gt;=Settings!$B$15,1,0))</f>
        <v/>
      </c>
      <c r="H15" s="231" t="str">
        <f ca="1">IF(B15="","",AVERAGE(B15:G15))</f>
        <v/>
      </c>
      <c r="I15" s="136" t="str">
        <f ca="1">IF(B15="","",IF(B15=1,N(I14)+1,0))</f>
        <v/>
      </c>
      <c r="J15" s="232"/>
      <c r="K15" s="235"/>
      <c r="L15" s="235"/>
      <c r="M15" s="235"/>
    </row>
    <row r="16" spans="1:13" ht="18" customHeight="1" x14ac:dyDescent="0.3">
      <c r="A16" s="132">
        <f>'Daily Tracking'!A16</f>
        <v>46288</v>
      </c>
      <c r="B16" s="230" t="str">
        <f ca="1">IF(A16&gt;TODAY(),"",IF('Daily Tracking'!B16&lt;&gt;"",1,0))</f>
        <v/>
      </c>
      <c r="C16" s="230" t="str">
        <f ca="1">IF(A16&gt;TODAY(),"",IF('Daily Tracking'!E16&lt;&gt;"",1,0))</f>
        <v/>
      </c>
      <c r="D16" s="230" t="str">
        <f ca="1">IF(A16&gt;TODAY(),"",IF(N('Daily Tracking'!G16)&gt;=Settings!$B$13,1,0))</f>
        <v/>
      </c>
      <c r="E16" s="230" t="str">
        <f ca="1">IF(A16&gt;TODAY(),"",IF(N('Daily Tracking'!H16)&gt;=Settings!$B$14,1,0))</f>
        <v/>
      </c>
      <c r="F16" s="230" t="str">
        <f ca="1">IF(A16&gt;TODAY(),"",IF(OR(N('Daily Tracking'!I16)&gt;0,'Daily Tracking'!J16="Yes"),1,0))</f>
        <v/>
      </c>
      <c r="G16" s="230" t="str">
        <f ca="1">IF(A16&gt;TODAY(),"",IF(N('Daily Tracking'!K16)&gt;=Settings!$B$15,1,0))</f>
        <v/>
      </c>
      <c r="H16" s="231" t="str">
        <f ca="1">IF(B16="","",AVERAGE(B16:G16))</f>
        <v/>
      </c>
      <c r="I16" s="136" t="str">
        <f ca="1">IF(B16="","",IF(B16=1,N(I15)+1,0))</f>
        <v/>
      </c>
      <c r="J16" s="232"/>
      <c r="K16" s="232"/>
      <c r="L16" s="232"/>
      <c r="M16" s="232"/>
    </row>
    <row r="17" spans="1:13" ht="18" customHeight="1" x14ac:dyDescent="0.3">
      <c r="A17" s="132">
        <f>'Daily Tracking'!A17</f>
        <v>46289</v>
      </c>
      <c r="B17" s="230" t="str">
        <f ca="1">IF(A17&gt;TODAY(),"",IF('Daily Tracking'!B17&lt;&gt;"",1,0))</f>
        <v/>
      </c>
      <c r="C17" s="230" t="str">
        <f ca="1">IF(A17&gt;TODAY(),"",IF('Daily Tracking'!E17&lt;&gt;"",1,0))</f>
        <v/>
      </c>
      <c r="D17" s="230" t="str">
        <f ca="1">IF(A17&gt;TODAY(),"",IF(N('Daily Tracking'!G17)&gt;=Settings!$B$13,1,0))</f>
        <v/>
      </c>
      <c r="E17" s="230" t="str">
        <f ca="1">IF(A17&gt;TODAY(),"",IF(N('Daily Tracking'!H17)&gt;=Settings!$B$14,1,0))</f>
        <v/>
      </c>
      <c r="F17" s="230" t="str">
        <f ca="1">IF(A17&gt;TODAY(),"",IF(OR(N('Daily Tracking'!I17)&gt;0,'Daily Tracking'!J17="Yes"),1,0))</f>
        <v/>
      </c>
      <c r="G17" s="230" t="str">
        <f ca="1">IF(A17&gt;TODAY(),"",IF(N('Daily Tracking'!K17)&gt;=Settings!$B$15,1,0))</f>
        <v/>
      </c>
      <c r="H17" s="231" t="str">
        <f ca="1">IF(B17="","",AVERAGE(B17:G17))</f>
        <v/>
      </c>
      <c r="I17" s="136" t="str">
        <f ca="1">IF(B17="","",IF(B17=1,N(I16)+1,0))</f>
        <v/>
      </c>
      <c r="J17" s="232"/>
      <c r="K17" s="229" t="s">
        <v>159</v>
      </c>
      <c r="L17" s="229"/>
      <c r="M17" s="229"/>
    </row>
    <row r="18" spans="1:13" ht="18" customHeight="1" x14ac:dyDescent="0.3">
      <c r="A18" s="132">
        <f>'Daily Tracking'!A18</f>
        <v>46290</v>
      </c>
      <c r="B18" s="230" t="str">
        <f ca="1">IF(A18&gt;TODAY(),"",IF('Daily Tracking'!B18&lt;&gt;"",1,0))</f>
        <v/>
      </c>
      <c r="C18" s="230" t="str">
        <f ca="1">IF(A18&gt;TODAY(),"",IF('Daily Tracking'!E18&lt;&gt;"",1,0))</f>
        <v/>
      </c>
      <c r="D18" s="230" t="str">
        <f ca="1">IF(A18&gt;TODAY(),"",IF(N('Daily Tracking'!G18)&gt;=Settings!$B$13,1,0))</f>
        <v/>
      </c>
      <c r="E18" s="230" t="str">
        <f ca="1">IF(A18&gt;TODAY(),"",IF(N('Daily Tracking'!H18)&gt;=Settings!$B$14,1,0))</f>
        <v/>
      </c>
      <c r="F18" s="230" t="str">
        <f ca="1">IF(A18&gt;TODAY(),"",IF(OR(N('Daily Tracking'!I18)&gt;0,'Daily Tracking'!J18="Yes"),1,0))</f>
        <v/>
      </c>
      <c r="G18" s="230" t="str">
        <f ca="1">IF(A18&gt;TODAY(),"",IF(N('Daily Tracking'!K18)&gt;=Settings!$B$15,1,0))</f>
        <v/>
      </c>
      <c r="H18" s="231" t="str">
        <f ca="1">IF(B18="","",AVERAGE(B18:G18))</f>
        <v/>
      </c>
      <c r="I18" s="136" t="str">
        <f ca="1">IF(B18="","",IF(B18=1,N(I17)+1,0))</f>
        <v/>
      </c>
      <c r="J18" s="232"/>
      <c r="K18" s="236" cm="1">
        <f t="array" aca="1" ref="K18" ca="1">IFERROR(LOOKUP(2,1/($I$6:$I$735&lt;&gt;""),$I$6:$I$735),0)</f>
        <v>1</v>
      </c>
      <c r="L18" s="236"/>
      <c r="M18" s="236"/>
    </row>
    <row r="19" spans="1:13" ht="18" customHeight="1" x14ac:dyDescent="0.3">
      <c r="A19" s="132">
        <f>'Daily Tracking'!A19</f>
        <v>46291</v>
      </c>
      <c r="B19" s="230" t="str">
        <f ca="1">IF(A19&gt;TODAY(),"",IF('Daily Tracking'!B19&lt;&gt;"",1,0))</f>
        <v/>
      </c>
      <c r="C19" s="230" t="str">
        <f ca="1">IF(A19&gt;TODAY(),"",IF('Daily Tracking'!E19&lt;&gt;"",1,0))</f>
        <v/>
      </c>
      <c r="D19" s="230" t="str">
        <f ca="1">IF(A19&gt;TODAY(),"",IF(N('Daily Tracking'!G19)&gt;=Settings!$B$13,1,0))</f>
        <v/>
      </c>
      <c r="E19" s="230" t="str">
        <f ca="1">IF(A19&gt;TODAY(),"",IF(N('Daily Tracking'!H19)&gt;=Settings!$B$14,1,0))</f>
        <v/>
      </c>
      <c r="F19" s="230" t="str">
        <f ca="1">IF(A19&gt;TODAY(),"",IF(OR(N('Daily Tracking'!I19)&gt;0,'Daily Tracking'!J19="Yes"),1,0))</f>
        <v/>
      </c>
      <c r="G19" s="230" t="str">
        <f ca="1">IF(A19&gt;TODAY(),"",IF(N('Daily Tracking'!K19)&gt;=Settings!$B$15,1,0))</f>
        <v/>
      </c>
      <c r="H19" s="231" t="str">
        <f ca="1">IF(B19="","",AVERAGE(B19:G19))</f>
        <v/>
      </c>
      <c r="I19" s="136" t="str">
        <f ca="1">IF(B19="","",IF(B19=1,N(I18)+1,0))</f>
        <v/>
      </c>
      <c r="J19" s="232"/>
      <c r="K19" s="236"/>
      <c r="L19" s="236"/>
      <c r="M19" s="236"/>
    </row>
    <row r="20" spans="1:13" ht="18" customHeight="1" x14ac:dyDescent="0.3">
      <c r="A20" s="132">
        <f>'Daily Tracking'!A20</f>
        <v>46292</v>
      </c>
      <c r="B20" s="230" t="str">
        <f ca="1">IF(A20&gt;TODAY(),"",IF('Daily Tracking'!B20&lt;&gt;"",1,0))</f>
        <v/>
      </c>
      <c r="C20" s="230" t="str">
        <f ca="1">IF(A20&gt;TODAY(),"",IF('Daily Tracking'!E20&lt;&gt;"",1,0))</f>
        <v/>
      </c>
      <c r="D20" s="230" t="str">
        <f ca="1">IF(A20&gt;TODAY(),"",IF(N('Daily Tracking'!G20)&gt;=Settings!$B$13,1,0))</f>
        <v/>
      </c>
      <c r="E20" s="230" t="str">
        <f ca="1">IF(A20&gt;TODAY(),"",IF(N('Daily Tracking'!H20)&gt;=Settings!$B$14,1,0))</f>
        <v/>
      </c>
      <c r="F20" s="230" t="str">
        <f ca="1">IF(A20&gt;TODAY(),"",IF(OR(N('Daily Tracking'!I20)&gt;0,'Daily Tracking'!J20="Yes"),1,0))</f>
        <v/>
      </c>
      <c r="G20" s="230" t="str">
        <f ca="1">IF(A20&gt;TODAY(),"",IF(N('Daily Tracking'!K20)&gt;=Settings!$B$15,1,0))</f>
        <v/>
      </c>
      <c r="H20" s="231" t="str">
        <f ca="1">IF(B20="","",AVERAGE(B20:G20))</f>
        <v/>
      </c>
      <c r="I20" s="136" t="str">
        <f ca="1">IF(B20="","",IF(B20=1,N(I19)+1,0))</f>
        <v/>
      </c>
      <c r="J20" s="232"/>
      <c r="K20" s="232"/>
      <c r="L20" s="232"/>
      <c r="M20" s="232"/>
    </row>
    <row r="21" spans="1:13" ht="18" customHeight="1" x14ac:dyDescent="0.3">
      <c r="A21" s="132">
        <f>'Daily Tracking'!A21</f>
        <v>46293</v>
      </c>
      <c r="B21" s="230" t="str">
        <f ca="1">IF(A21&gt;TODAY(),"",IF('Daily Tracking'!B21&lt;&gt;"",1,0))</f>
        <v/>
      </c>
      <c r="C21" s="230" t="str">
        <f ca="1">IF(A21&gt;TODAY(),"",IF('Daily Tracking'!E21&lt;&gt;"",1,0))</f>
        <v/>
      </c>
      <c r="D21" s="230" t="str">
        <f ca="1">IF(A21&gt;TODAY(),"",IF(N('Daily Tracking'!G21)&gt;=Settings!$B$13,1,0))</f>
        <v/>
      </c>
      <c r="E21" s="230" t="str">
        <f ca="1">IF(A21&gt;TODAY(),"",IF(N('Daily Tracking'!H21)&gt;=Settings!$B$14,1,0))</f>
        <v/>
      </c>
      <c r="F21" s="230" t="str">
        <f ca="1">IF(A21&gt;TODAY(),"",IF(OR(N('Daily Tracking'!I21)&gt;0,'Daily Tracking'!J21="Yes"),1,0))</f>
        <v/>
      </c>
      <c r="G21" s="230" t="str">
        <f ca="1">IF(A21&gt;TODAY(),"",IF(N('Daily Tracking'!K21)&gt;=Settings!$B$15,1,0))</f>
        <v/>
      </c>
      <c r="H21" s="231" t="str">
        <f ca="1">IF(B21="","",AVERAGE(B21:G21))</f>
        <v/>
      </c>
      <c r="I21" s="136" t="str">
        <f ca="1">IF(B21="","",IF(B21=1,N(I20)+1,0))</f>
        <v/>
      </c>
      <c r="J21" s="232"/>
      <c r="K21" s="229" t="s">
        <v>160</v>
      </c>
      <c r="L21" s="229"/>
      <c r="M21" s="229"/>
    </row>
    <row r="22" spans="1:13" ht="18" customHeight="1" x14ac:dyDescent="0.3">
      <c r="A22" s="132">
        <f>'Daily Tracking'!A22</f>
        <v>46294</v>
      </c>
      <c r="B22" s="230" t="str">
        <f ca="1">IF(A22&gt;TODAY(),"",IF('Daily Tracking'!B22&lt;&gt;"",1,0))</f>
        <v/>
      </c>
      <c r="C22" s="230" t="str">
        <f ca="1">IF(A22&gt;TODAY(),"",IF('Daily Tracking'!E22&lt;&gt;"",1,0))</f>
        <v/>
      </c>
      <c r="D22" s="230" t="str">
        <f ca="1">IF(A22&gt;TODAY(),"",IF(N('Daily Tracking'!G22)&gt;=Settings!$B$13,1,0))</f>
        <v/>
      </c>
      <c r="E22" s="230" t="str">
        <f ca="1">IF(A22&gt;TODAY(),"",IF(N('Daily Tracking'!H22)&gt;=Settings!$B$14,1,0))</f>
        <v/>
      </c>
      <c r="F22" s="230" t="str">
        <f ca="1">IF(A22&gt;TODAY(),"",IF(OR(N('Daily Tracking'!I22)&gt;0,'Daily Tracking'!J22="Yes"),1,0))</f>
        <v/>
      </c>
      <c r="G22" s="230" t="str">
        <f ca="1">IF(A22&gt;TODAY(),"",IF(N('Daily Tracking'!K22)&gt;=Settings!$B$15,1,0))</f>
        <v/>
      </c>
      <c r="H22" s="231" t="str">
        <f ca="1">IF(B22="","",AVERAGE(B22:G22))</f>
        <v/>
      </c>
      <c r="I22" s="136" t="str">
        <f ca="1">IF(B22="","",IF(B22=1,N(I21)+1,0))</f>
        <v/>
      </c>
      <c r="J22" s="232"/>
      <c r="K22" s="237">
        <f ca="1">IFERROR(MAX($I$6:$I$735),0)</f>
        <v>1</v>
      </c>
      <c r="L22" s="237"/>
      <c r="M22" s="237"/>
    </row>
    <row r="23" spans="1:13" ht="18" customHeight="1" x14ac:dyDescent="0.3">
      <c r="A23" s="132">
        <f>'Daily Tracking'!A23</f>
        <v>46295</v>
      </c>
      <c r="B23" s="230" t="str">
        <f ca="1">IF(A23&gt;TODAY(),"",IF('Daily Tracking'!B23&lt;&gt;"",1,0))</f>
        <v/>
      </c>
      <c r="C23" s="230" t="str">
        <f ca="1">IF(A23&gt;TODAY(),"",IF('Daily Tracking'!E23&lt;&gt;"",1,0))</f>
        <v/>
      </c>
      <c r="D23" s="230" t="str">
        <f ca="1">IF(A23&gt;TODAY(),"",IF(N('Daily Tracking'!G23)&gt;=Settings!$B$13,1,0))</f>
        <v/>
      </c>
      <c r="E23" s="230" t="str">
        <f ca="1">IF(A23&gt;TODAY(),"",IF(N('Daily Tracking'!H23)&gt;=Settings!$B$14,1,0))</f>
        <v/>
      </c>
      <c r="F23" s="230" t="str">
        <f ca="1">IF(A23&gt;TODAY(),"",IF(OR(N('Daily Tracking'!I23)&gt;0,'Daily Tracking'!J23="Yes"),1,0))</f>
        <v/>
      </c>
      <c r="G23" s="230" t="str">
        <f ca="1">IF(A23&gt;TODAY(),"",IF(N('Daily Tracking'!K23)&gt;=Settings!$B$15,1,0))</f>
        <v/>
      </c>
      <c r="H23" s="231" t="str">
        <f ca="1">IF(B23="","",AVERAGE(B23:G23))</f>
        <v/>
      </c>
      <c r="I23" s="136" t="str">
        <f ca="1">IF(B23="","",IF(B23=1,N(I22)+1,0))</f>
        <v/>
      </c>
      <c r="J23" s="232"/>
      <c r="K23" s="237"/>
      <c r="L23" s="237"/>
      <c r="M23" s="237"/>
    </row>
    <row r="24" spans="1:13" ht="18" customHeight="1" x14ac:dyDescent="0.3">
      <c r="A24" s="132">
        <f>'Daily Tracking'!A24</f>
        <v>46296</v>
      </c>
      <c r="B24" s="230" t="str">
        <f ca="1">IF(A24&gt;TODAY(),"",IF('Daily Tracking'!B24&lt;&gt;"",1,0))</f>
        <v/>
      </c>
      <c r="C24" s="230" t="str">
        <f ca="1">IF(A24&gt;TODAY(),"",IF('Daily Tracking'!E24&lt;&gt;"",1,0))</f>
        <v/>
      </c>
      <c r="D24" s="230" t="str">
        <f ca="1">IF(A24&gt;TODAY(),"",IF(N('Daily Tracking'!G24)&gt;=Settings!$B$13,1,0))</f>
        <v/>
      </c>
      <c r="E24" s="230" t="str">
        <f ca="1">IF(A24&gt;TODAY(),"",IF(N('Daily Tracking'!H24)&gt;=Settings!$B$14,1,0))</f>
        <v/>
      </c>
      <c r="F24" s="230" t="str">
        <f ca="1">IF(A24&gt;TODAY(),"",IF(OR(N('Daily Tracking'!I24)&gt;0,'Daily Tracking'!J24="Yes"),1,0))</f>
        <v/>
      </c>
      <c r="G24" s="230" t="str">
        <f ca="1">IF(A24&gt;TODAY(),"",IF(N('Daily Tracking'!K24)&gt;=Settings!$B$15,1,0))</f>
        <v/>
      </c>
      <c r="H24" s="231" t="str">
        <f ca="1">IF(B24="","",AVERAGE(B24:G24))</f>
        <v/>
      </c>
      <c r="I24" s="136" t="str">
        <f ca="1">IF(B24="","",IF(B24=1,N(I23)+1,0))</f>
        <v/>
      </c>
      <c r="J24" s="232"/>
      <c r="K24" s="232"/>
      <c r="L24" s="232"/>
      <c r="M24" s="232"/>
    </row>
    <row r="25" spans="1:13" ht="18" customHeight="1" x14ac:dyDescent="0.3">
      <c r="A25" s="132">
        <f>'Daily Tracking'!A25</f>
        <v>46297</v>
      </c>
      <c r="B25" s="230" t="str">
        <f ca="1">IF(A25&gt;TODAY(),"",IF('Daily Tracking'!B25&lt;&gt;"",1,0))</f>
        <v/>
      </c>
      <c r="C25" s="230" t="str">
        <f ca="1">IF(A25&gt;TODAY(),"",IF('Daily Tracking'!E25&lt;&gt;"",1,0))</f>
        <v/>
      </c>
      <c r="D25" s="230" t="str">
        <f ca="1">IF(A25&gt;TODAY(),"",IF(N('Daily Tracking'!G25)&gt;=Settings!$B$13,1,0))</f>
        <v/>
      </c>
      <c r="E25" s="230" t="str">
        <f ca="1">IF(A25&gt;TODAY(),"",IF(N('Daily Tracking'!H25)&gt;=Settings!$B$14,1,0))</f>
        <v/>
      </c>
      <c r="F25" s="230" t="str">
        <f ca="1">IF(A25&gt;TODAY(),"",IF(OR(N('Daily Tracking'!I25)&gt;0,'Daily Tracking'!J25="Yes"),1,0))</f>
        <v/>
      </c>
      <c r="G25" s="230" t="str">
        <f ca="1">IF(A25&gt;TODAY(),"",IF(N('Daily Tracking'!K25)&gt;=Settings!$B$15,1,0))</f>
        <v/>
      </c>
      <c r="H25" s="231" t="str">
        <f ca="1">IF(B25="","",AVERAGE(B25:G25))</f>
        <v/>
      </c>
      <c r="I25" s="136" t="str">
        <f ca="1">IF(B25="","",IF(B25=1,N(I24)+1,0))</f>
        <v/>
      </c>
      <c r="J25" s="232"/>
      <c r="K25" s="232"/>
      <c r="L25" s="232"/>
      <c r="M25" s="232"/>
    </row>
    <row r="26" spans="1:13" ht="18" customHeight="1" x14ac:dyDescent="0.3">
      <c r="A26" s="132">
        <f>'Daily Tracking'!A26</f>
        <v>46298</v>
      </c>
      <c r="B26" s="230" t="str">
        <f ca="1">IF(A26&gt;TODAY(),"",IF('Daily Tracking'!B26&lt;&gt;"",1,0))</f>
        <v/>
      </c>
      <c r="C26" s="230" t="str">
        <f ca="1">IF(A26&gt;TODAY(),"",IF('Daily Tracking'!E26&lt;&gt;"",1,0))</f>
        <v/>
      </c>
      <c r="D26" s="230" t="str">
        <f ca="1">IF(A26&gt;TODAY(),"",IF(N('Daily Tracking'!G26)&gt;=Settings!$B$13,1,0))</f>
        <v/>
      </c>
      <c r="E26" s="230" t="str">
        <f ca="1">IF(A26&gt;TODAY(),"",IF(N('Daily Tracking'!H26)&gt;=Settings!$B$14,1,0))</f>
        <v/>
      </c>
      <c r="F26" s="230" t="str">
        <f ca="1">IF(A26&gt;TODAY(),"",IF(OR(N('Daily Tracking'!I26)&gt;0,'Daily Tracking'!J26="Yes"),1,0))</f>
        <v/>
      </c>
      <c r="G26" s="230" t="str">
        <f ca="1">IF(A26&gt;TODAY(),"",IF(N('Daily Tracking'!K26)&gt;=Settings!$B$15,1,0))</f>
        <v/>
      </c>
      <c r="H26" s="231" t="str">
        <f ca="1">IF(B26="","",AVERAGE(B26:G26))</f>
        <v/>
      </c>
      <c r="I26" s="136" t="str">
        <f ca="1">IF(B26="","",IF(B26=1,N(I25)+1,0))</f>
        <v/>
      </c>
      <c r="J26" s="232"/>
      <c r="K26" s="232"/>
      <c r="L26" s="232"/>
      <c r="M26" s="232"/>
    </row>
    <row r="27" spans="1:13" ht="18" customHeight="1" x14ac:dyDescent="0.3">
      <c r="A27" s="132">
        <f>'Daily Tracking'!A27</f>
        <v>46299</v>
      </c>
      <c r="B27" s="230" t="str">
        <f ca="1">IF(A27&gt;TODAY(),"",IF('Daily Tracking'!B27&lt;&gt;"",1,0))</f>
        <v/>
      </c>
      <c r="C27" s="230" t="str">
        <f ca="1">IF(A27&gt;TODAY(),"",IF('Daily Tracking'!E27&lt;&gt;"",1,0))</f>
        <v/>
      </c>
      <c r="D27" s="230" t="str">
        <f ca="1">IF(A27&gt;TODAY(),"",IF(N('Daily Tracking'!G27)&gt;=Settings!$B$13,1,0))</f>
        <v/>
      </c>
      <c r="E27" s="230" t="str">
        <f ca="1">IF(A27&gt;TODAY(),"",IF(N('Daily Tracking'!H27)&gt;=Settings!$B$14,1,0))</f>
        <v/>
      </c>
      <c r="F27" s="230" t="str">
        <f ca="1">IF(A27&gt;TODAY(),"",IF(OR(N('Daily Tracking'!I27)&gt;0,'Daily Tracking'!J27="Yes"),1,0))</f>
        <v/>
      </c>
      <c r="G27" s="230" t="str">
        <f ca="1">IF(A27&gt;TODAY(),"",IF(N('Daily Tracking'!K27)&gt;=Settings!$B$15,1,0))</f>
        <v/>
      </c>
      <c r="H27" s="231" t="str">
        <f ca="1">IF(B27="","",AVERAGE(B27:G27))</f>
        <v/>
      </c>
      <c r="I27" s="136" t="str">
        <f ca="1">IF(B27="","",IF(B27=1,N(I26)+1,0))</f>
        <v/>
      </c>
      <c r="J27" s="232"/>
      <c r="K27" s="232"/>
      <c r="L27" s="232"/>
      <c r="M27" s="232"/>
    </row>
    <row r="28" spans="1:13" ht="18" customHeight="1" x14ac:dyDescent="0.3">
      <c r="A28" s="132">
        <f>'Daily Tracking'!A28</f>
        <v>46300</v>
      </c>
      <c r="B28" s="230" t="str">
        <f ca="1">IF(A28&gt;TODAY(),"",IF('Daily Tracking'!B28&lt;&gt;"",1,0))</f>
        <v/>
      </c>
      <c r="C28" s="230" t="str">
        <f ca="1">IF(A28&gt;TODAY(),"",IF('Daily Tracking'!E28&lt;&gt;"",1,0))</f>
        <v/>
      </c>
      <c r="D28" s="230" t="str">
        <f ca="1">IF(A28&gt;TODAY(),"",IF(N('Daily Tracking'!G28)&gt;=Settings!$B$13,1,0))</f>
        <v/>
      </c>
      <c r="E28" s="230" t="str">
        <f ca="1">IF(A28&gt;TODAY(),"",IF(N('Daily Tracking'!H28)&gt;=Settings!$B$14,1,0))</f>
        <v/>
      </c>
      <c r="F28" s="230" t="str">
        <f ca="1">IF(A28&gt;TODAY(),"",IF(OR(N('Daily Tracking'!I28)&gt;0,'Daily Tracking'!J28="Yes"),1,0))</f>
        <v/>
      </c>
      <c r="G28" s="230" t="str">
        <f ca="1">IF(A28&gt;TODAY(),"",IF(N('Daily Tracking'!K28)&gt;=Settings!$B$15,1,0))</f>
        <v/>
      </c>
      <c r="H28" s="231" t="str">
        <f ca="1">IF(B28="","",AVERAGE(B28:G28))</f>
        <v/>
      </c>
      <c r="I28" s="136" t="str">
        <f ca="1">IF(B28="","",IF(B28=1,N(I27)+1,0))</f>
        <v/>
      </c>
      <c r="J28" s="232"/>
      <c r="K28" s="232"/>
      <c r="L28" s="232"/>
      <c r="M28" s="232"/>
    </row>
    <row r="29" spans="1:13" ht="18" customHeight="1" x14ac:dyDescent="0.3">
      <c r="A29" s="132">
        <f>'Daily Tracking'!A29</f>
        <v>46301</v>
      </c>
      <c r="B29" s="230" t="str">
        <f ca="1">IF(A29&gt;TODAY(),"",IF('Daily Tracking'!B29&lt;&gt;"",1,0))</f>
        <v/>
      </c>
      <c r="C29" s="230" t="str">
        <f ca="1">IF(A29&gt;TODAY(),"",IF('Daily Tracking'!E29&lt;&gt;"",1,0))</f>
        <v/>
      </c>
      <c r="D29" s="230" t="str">
        <f ca="1">IF(A29&gt;TODAY(),"",IF(N('Daily Tracking'!G29)&gt;=Settings!$B$13,1,0))</f>
        <v/>
      </c>
      <c r="E29" s="230" t="str">
        <f ca="1">IF(A29&gt;TODAY(),"",IF(N('Daily Tracking'!H29)&gt;=Settings!$B$14,1,0))</f>
        <v/>
      </c>
      <c r="F29" s="230" t="str">
        <f ca="1">IF(A29&gt;TODAY(),"",IF(OR(N('Daily Tracking'!I29)&gt;0,'Daily Tracking'!J29="Yes"),1,0))</f>
        <v/>
      </c>
      <c r="G29" s="230" t="str">
        <f ca="1">IF(A29&gt;TODAY(),"",IF(N('Daily Tracking'!K29)&gt;=Settings!$B$15,1,0))</f>
        <v/>
      </c>
      <c r="H29" s="231" t="str">
        <f ca="1">IF(B29="","",AVERAGE(B29:G29))</f>
        <v/>
      </c>
      <c r="I29" s="136" t="str">
        <f ca="1">IF(B29="","",IF(B29=1,N(I28)+1,0))</f>
        <v/>
      </c>
      <c r="J29" s="232"/>
      <c r="K29" s="232"/>
      <c r="L29" s="232"/>
      <c r="M29" s="232"/>
    </row>
    <row r="30" spans="1:13" ht="18" customHeight="1" x14ac:dyDescent="0.3">
      <c r="A30" s="132">
        <f>'Daily Tracking'!A30</f>
        <v>46302</v>
      </c>
      <c r="B30" s="230" t="str">
        <f ca="1">IF(A30&gt;TODAY(),"",IF('Daily Tracking'!B30&lt;&gt;"",1,0))</f>
        <v/>
      </c>
      <c r="C30" s="230" t="str">
        <f ca="1">IF(A30&gt;TODAY(),"",IF('Daily Tracking'!E30&lt;&gt;"",1,0))</f>
        <v/>
      </c>
      <c r="D30" s="230" t="str">
        <f ca="1">IF(A30&gt;TODAY(),"",IF(N('Daily Tracking'!G30)&gt;=Settings!$B$13,1,0))</f>
        <v/>
      </c>
      <c r="E30" s="230" t="str">
        <f ca="1">IF(A30&gt;TODAY(),"",IF(N('Daily Tracking'!H30)&gt;=Settings!$B$14,1,0))</f>
        <v/>
      </c>
      <c r="F30" s="230" t="str">
        <f ca="1">IF(A30&gt;TODAY(),"",IF(OR(N('Daily Tracking'!I30)&gt;0,'Daily Tracking'!J30="Yes"),1,0))</f>
        <v/>
      </c>
      <c r="G30" s="230" t="str">
        <f ca="1">IF(A30&gt;TODAY(),"",IF(N('Daily Tracking'!K30)&gt;=Settings!$B$15,1,0))</f>
        <v/>
      </c>
      <c r="H30" s="231" t="str">
        <f ca="1">IF(B30="","",AVERAGE(B30:G30))</f>
        <v/>
      </c>
      <c r="I30" s="136" t="str">
        <f ca="1">IF(B30="","",IF(B30=1,N(I29)+1,0))</f>
        <v/>
      </c>
      <c r="J30" s="232"/>
      <c r="K30" s="232"/>
      <c r="L30" s="232"/>
      <c r="M30" s="232"/>
    </row>
    <row r="31" spans="1:13" ht="18" customHeight="1" x14ac:dyDescent="0.3">
      <c r="A31" s="132">
        <f>'Daily Tracking'!A31</f>
        <v>46303</v>
      </c>
      <c r="B31" s="230" t="str">
        <f ca="1">IF(A31&gt;TODAY(),"",IF('Daily Tracking'!B31&lt;&gt;"",1,0))</f>
        <v/>
      </c>
      <c r="C31" s="230" t="str">
        <f ca="1">IF(A31&gt;TODAY(),"",IF('Daily Tracking'!E31&lt;&gt;"",1,0))</f>
        <v/>
      </c>
      <c r="D31" s="230" t="str">
        <f ca="1">IF(A31&gt;TODAY(),"",IF(N('Daily Tracking'!G31)&gt;=Settings!$B$13,1,0))</f>
        <v/>
      </c>
      <c r="E31" s="230" t="str">
        <f ca="1">IF(A31&gt;TODAY(),"",IF(N('Daily Tracking'!H31)&gt;=Settings!$B$14,1,0))</f>
        <v/>
      </c>
      <c r="F31" s="230" t="str">
        <f ca="1">IF(A31&gt;TODAY(),"",IF(OR(N('Daily Tracking'!I31)&gt;0,'Daily Tracking'!J31="Yes"),1,0))</f>
        <v/>
      </c>
      <c r="G31" s="230" t="str">
        <f ca="1">IF(A31&gt;TODAY(),"",IF(N('Daily Tracking'!K31)&gt;=Settings!$B$15,1,0))</f>
        <v/>
      </c>
      <c r="H31" s="231" t="str">
        <f ca="1">IF(B31="","",AVERAGE(B31:G31))</f>
        <v/>
      </c>
      <c r="I31" s="136" t="str">
        <f ca="1">IF(B31="","",IF(B31=1,N(I30)+1,0))</f>
        <v/>
      </c>
      <c r="J31" s="232"/>
      <c r="K31" s="232"/>
      <c r="L31" s="232"/>
      <c r="M31" s="232"/>
    </row>
    <row r="32" spans="1:13" ht="18" customHeight="1" x14ac:dyDescent="0.3">
      <c r="A32" s="132">
        <f>'Daily Tracking'!A32</f>
        <v>46304</v>
      </c>
      <c r="B32" s="230" t="str">
        <f ca="1">IF(A32&gt;TODAY(),"",IF('Daily Tracking'!B32&lt;&gt;"",1,0))</f>
        <v/>
      </c>
      <c r="C32" s="230" t="str">
        <f ca="1">IF(A32&gt;TODAY(),"",IF('Daily Tracking'!E32&lt;&gt;"",1,0))</f>
        <v/>
      </c>
      <c r="D32" s="230" t="str">
        <f ca="1">IF(A32&gt;TODAY(),"",IF(N('Daily Tracking'!G32)&gt;=Settings!$B$13,1,0))</f>
        <v/>
      </c>
      <c r="E32" s="230" t="str">
        <f ca="1">IF(A32&gt;TODAY(),"",IF(N('Daily Tracking'!H32)&gt;=Settings!$B$14,1,0))</f>
        <v/>
      </c>
      <c r="F32" s="230" t="str">
        <f ca="1">IF(A32&gt;TODAY(),"",IF(OR(N('Daily Tracking'!I32)&gt;0,'Daily Tracking'!J32="Yes"),1,0))</f>
        <v/>
      </c>
      <c r="G32" s="230" t="str">
        <f ca="1">IF(A32&gt;TODAY(),"",IF(N('Daily Tracking'!K32)&gt;=Settings!$B$15,1,0))</f>
        <v/>
      </c>
      <c r="H32" s="231" t="str">
        <f ca="1">IF(B32="","",AVERAGE(B32:G32))</f>
        <v/>
      </c>
      <c r="I32" s="136" t="str">
        <f ca="1">IF(B32="","",IF(B32=1,N(I31)+1,0))</f>
        <v/>
      </c>
      <c r="J32" s="232"/>
      <c r="K32" s="232"/>
      <c r="L32" s="232"/>
      <c r="M32" s="232"/>
    </row>
    <row r="33" spans="1:13" ht="18" customHeight="1" x14ac:dyDescent="0.3">
      <c r="A33" s="132">
        <f>'Daily Tracking'!A33</f>
        <v>46305</v>
      </c>
      <c r="B33" s="230" t="str">
        <f ca="1">IF(A33&gt;TODAY(),"",IF('Daily Tracking'!B33&lt;&gt;"",1,0))</f>
        <v/>
      </c>
      <c r="C33" s="230" t="str">
        <f ca="1">IF(A33&gt;TODAY(),"",IF('Daily Tracking'!E33&lt;&gt;"",1,0))</f>
        <v/>
      </c>
      <c r="D33" s="230" t="str">
        <f ca="1">IF(A33&gt;TODAY(),"",IF(N('Daily Tracking'!G33)&gt;=Settings!$B$13,1,0))</f>
        <v/>
      </c>
      <c r="E33" s="230" t="str">
        <f ca="1">IF(A33&gt;TODAY(),"",IF(N('Daily Tracking'!H33)&gt;=Settings!$B$14,1,0))</f>
        <v/>
      </c>
      <c r="F33" s="230" t="str">
        <f ca="1">IF(A33&gt;TODAY(),"",IF(OR(N('Daily Tracking'!I33)&gt;0,'Daily Tracking'!J33="Yes"),1,0))</f>
        <v/>
      </c>
      <c r="G33" s="230" t="str">
        <f ca="1">IF(A33&gt;TODAY(),"",IF(N('Daily Tracking'!K33)&gt;=Settings!$B$15,1,0))</f>
        <v/>
      </c>
      <c r="H33" s="231" t="str">
        <f ca="1">IF(B33="","",AVERAGE(B33:G33))</f>
        <v/>
      </c>
      <c r="I33" s="136" t="str">
        <f ca="1">IF(B33="","",IF(B33=1,N(I32)+1,0))</f>
        <v/>
      </c>
      <c r="J33" s="232"/>
      <c r="K33" s="232"/>
      <c r="L33" s="232"/>
      <c r="M33" s="232"/>
    </row>
    <row r="34" spans="1:13" ht="18" customHeight="1" x14ac:dyDescent="0.3">
      <c r="A34" s="132">
        <f>'Daily Tracking'!A34</f>
        <v>46306</v>
      </c>
      <c r="B34" s="230" t="str">
        <f ca="1">IF(A34&gt;TODAY(),"",IF('Daily Tracking'!B34&lt;&gt;"",1,0))</f>
        <v/>
      </c>
      <c r="C34" s="230" t="str">
        <f ca="1">IF(A34&gt;TODAY(),"",IF('Daily Tracking'!E34&lt;&gt;"",1,0))</f>
        <v/>
      </c>
      <c r="D34" s="230" t="str">
        <f ca="1">IF(A34&gt;TODAY(),"",IF(N('Daily Tracking'!G34)&gt;=Settings!$B$13,1,0))</f>
        <v/>
      </c>
      <c r="E34" s="230" t="str">
        <f ca="1">IF(A34&gt;TODAY(),"",IF(N('Daily Tracking'!H34)&gt;=Settings!$B$14,1,0))</f>
        <v/>
      </c>
      <c r="F34" s="230" t="str">
        <f ca="1">IF(A34&gt;TODAY(),"",IF(OR(N('Daily Tracking'!I34)&gt;0,'Daily Tracking'!J34="Yes"),1,0))</f>
        <v/>
      </c>
      <c r="G34" s="230" t="str">
        <f ca="1">IF(A34&gt;TODAY(),"",IF(N('Daily Tracking'!K34)&gt;=Settings!$B$15,1,0))</f>
        <v/>
      </c>
      <c r="H34" s="231" t="str">
        <f ca="1">IF(B34="","",AVERAGE(B34:G34))</f>
        <v/>
      </c>
      <c r="I34" s="136" t="str">
        <f ca="1">IF(B34="","",IF(B34=1,N(I33)+1,0))</f>
        <v/>
      </c>
      <c r="J34" s="232"/>
      <c r="K34" s="232"/>
      <c r="L34" s="232"/>
      <c r="M34" s="232"/>
    </row>
    <row r="35" spans="1:13" ht="18" customHeight="1" x14ac:dyDescent="0.3">
      <c r="A35" s="132">
        <f>'Daily Tracking'!A35</f>
        <v>46307</v>
      </c>
      <c r="B35" s="230" t="str">
        <f ca="1">IF(A35&gt;TODAY(),"",IF('Daily Tracking'!B35&lt;&gt;"",1,0))</f>
        <v/>
      </c>
      <c r="C35" s="230" t="str">
        <f ca="1">IF(A35&gt;TODAY(),"",IF('Daily Tracking'!E35&lt;&gt;"",1,0))</f>
        <v/>
      </c>
      <c r="D35" s="230" t="str">
        <f ca="1">IF(A35&gt;TODAY(),"",IF(N('Daily Tracking'!G35)&gt;=Settings!$B$13,1,0))</f>
        <v/>
      </c>
      <c r="E35" s="230" t="str">
        <f ca="1">IF(A35&gt;TODAY(),"",IF(N('Daily Tracking'!H35)&gt;=Settings!$B$14,1,0))</f>
        <v/>
      </c>
      <c r="F35" s="230" t="str">
        <f ca="1">IF(A35&gt;TODAY(),"",IF(OR(N('Daily Tracking'!I35)&gt;0,'Daily Tracking'!J35="Yes"),1,0))</f>
        <v/>
      </c>
      <c r="G35" s="230" t="str">
        <f ca="1">IF(A35&gt;TODAY(),"",IF(N('Daily Tracking'!K35)&gt;=Settings!$B$15,1,0))</f>
        <v/>
      </c>
      <c r="H35" s="231" t="str">
        <f ca="1">IF(B35="","",AVERAGE(B35:G35))</f>
        <v/>
      </c>
      <c r="I35" s="136" t="str">
        <f ca="1">IF(B35="","",IF(B35=1,N(I34)+1,0))</f>
        <v/>
      </c>
      <c r="J35" s="232"/>
      <c r="K35" s="232"/>
      <c r="L35" s="232"/>
      <c r="M35" s="232"/>
    </row>
    <row r="36" spans="1:13" ht="18" customHeight="1" x14ac:dyDescent="0.3">
      <c r="A36" s="132">
        <f>'Daily Tracking'!A36</f>
        <v>46308</v>
      </c>
      <c r="B36" s="230" t="str">
        <f ca="1">IF(A36&gt;TODAY(),"",IF('Daily Tracking'!B36&lt;&gt;"",1,0))</f>
        <v/>
      </c>
      <c r="C36" s="230" t="str">
        <f ca="1">IF(A36&gt;TODAY(),"",IF('Daily Tracking'!E36&lt;&gt;"",1,0))</f>
        <v/>
      </c>
      <c r="D36" s="230" t="str">
        <f ca="1">IF(A36&gt;TODAY(),"",IF(N('Daily Tracking'!G36)&gt;=Settings!$B$13,1,0))</f>
        <v/>
      </c>
      <c r="E36" s="230" t="str">
        <f ca="1">IF(A36&gt;TODAY(),"",IF(N('Daily Tracking'!H36)&gt;=Settings!$B$14,1,0))</f>
        <v/>
      </c>
      <c r="F36" s="230" t="str">
        <f ca="1">IF(A36&gt;TODAY(),"",IF(OR(N('Daily Tracking'!I36)&gt;0,'Daily Tracking'!J36="Yes"),1,0))</f>
        <v/>
      </c>
      <c r="G36" s="230" t="str">
        <f ca="1">IF(A36&gt;TODAY(),"",IF(N('Daily Tracking'!K36)&gt;=Settings!$B$15,1,0))</f>
        <v/>
      </c>
      <c r="H36" s="231" t="str">
        <f ca="1">IF(B36="","",AVERAGE(B36:G36))</f>
        <v/>
      </c>
      <c r="I36" s="136" t="str">
        <f ca="1">IF(B36="","",IF(B36=1,N(I35)+1,0))</f>
        <v/>
      </c>
      <c r="J36" s="232"/>
      <c r="K36" s="232"/>
      <c r="L36" s="232"/>
      <c r="M36" s="232"/>
    </row>
    <row r="37" spans="1:13" ht="18" customHeight="1" x14ac:dyDescent="0.3">
      <c r="A37" s="132">
        <f>'Daily Tracking'!A37</f>
        <v>46309</v>
      </c>
      <c r="B37" s="230" t="str">
        <f ca="1">IF(A37&gt;TODAY(),"",IF('Daily Tracking'!B37&lt;&gt;"",1,0))</f>
        <v/>
      </c>
      <c r="C37" s="230" t="str">
        <f ca="1">IF(A37&gt;TODAY(),"",IF('Daily Tracking'!E37&lt;&gt;"",1,0))</f>
        <v/>
      </c>
      <c r="D37" s="230" t="str">
        <f ca="1">IF(A37&gt;TODAY(),"",IF(N('Daily Tracking'!G37)&gt;=Settings!$B$13,1,0))</f>
        <v/>
      </c>
      <c r="E37" s="230" t="str">
        <f ca="1">IF(A37&gt;TODAY(),"",IF(N('Daily Tracking'!H37)&gt;=Settings!$B$14,1,0))</f>
        <v/>
      </c>
      <c r="F37" s="230" t="str">
        <f ca="1">IF(A37&gt;TODAY(),"",IF(OR(N('Daily Tracking'!I37)&gt;0,'Daily Tracking'!J37="Yes"),1,0))</f>
        <v/>
      </c>
      <c r="G37" s="230" t="str">
        <f ca="1">IF(A37&gt;TODAY(),"",IF(N('Daily Tracking'!K37)&gt;=Settings!$B$15,1,0))</f>
        <v/>
      </c>
      <c r="H37" s="231" t="str">
        <f ca="1">IF(B37="","",AVERAGE(B37:G37))</f>
        <v/>
      </c>
      <c r="I37" s="136" t="str">
        <f ca="1">IF(B37="","",IF(B37=1,N(I36)+1,0))</f>
        <v/>
      </c>
      <c r="J37" s="232"/>
      <c r="K37" s="232"/>
      <c r="L37" s="232"/>
      <c r="M37" s="232"/>
    </row>
    <row r="38" spans="1:13" ht="18" customHeight="1" x14ac:dyDescent="0.3">
      <c r="A38" s="132">
        <f>'Daily Tracking'!A38</f>
        <v>46310</v>
      </c>
      <c r="B38" s="230" t="str">
        <f ca="1">IF(A38&gt;TODAY(),"",IF('Daily Tracking'!B38&lt;&gt;"",1,0))</f>
        <v/>
      </c>
      <c r="C38" s="230" t="str">
        <f ca="1">IF(A38&gt;TODAY(),"",IF('Daily Tracking'!E38&lt;&gt;"",1,0))</f>
        <v/>
      </c>
      <c r="D38" s="230" t="str">
        <f ca="1">IF(A38&gt;TODAY(),"",IF(N('Daily Tracking'!G38)&gt;=Settings!$B$13,1,0))</f>
        <v/>
      </c>
      <c r="E38" s="230" t="str">
        <f ca="1">IF(A38&gt;TODAY(),"",IF(N('Daily Tracking'!H38)&gt;=Settings!$B$14,1,0))</f>
        <v/>
      </c>
      <c r="F38" s="230" t="str">
        <f ca="1">IF(A38&gt;TODAY(),"",IF(OR(N('Daily Tracking'!I38)&gt;0,'Daily Tracking'!J38="Yes"),1,0))</f>
        <v/>
      </c>
      <c r="G38" s="230" t="str">
        <f ca="1">IF(A38&gt;TODAY(),"",IF(N('Daily Tracking'!K38)&gt;=Settings!$B$15,1,0))</f>
        <v/>
      </c>
      <c r="H38" s="231" t="str">
        <f ca="1">IF(B38="","",AVERAGE(B38:G38))</f>
        <v/>
      </c>
      <c r="I38" s="136" t="str">
        <f ca="1">IF(B38="","",IF(B38=1,N(I37)+1,0))</f>
        <v/>
      </c>
      <c r="J38" s="232"/>
      <c r="K38" s="232"/>
      <c r="L38" s="232"/>
      <c r="M38" s="232"/>
    </row>
    <row r="39" spans="1:13" ht="18" customHeight="1" x14ac:dyDescent="0.3">
      <c r="A39" s="132">
        <f>'Daily Tracking'!A39</f>
        <v>46311</v>
      </c>
      <c r="B39" s="230" t="str">
        <f ca="1">IF(A39&gt;TODAY(),"",IF('Daily Tracking'!B39&lt;&gt;"",1,0))</f>
        <v/>
      </c>
      <c r="C39" s="230" t="str">
        <f ca="1">IF(A39&gt;TODAY(),"",IF('Daily Tracking'!E39&lt;&gt;"",1,0))</f>
        <v/>
      </c>
      <c r="D39" s="230" t="str">
        <f ca="1">IF(A39&gt;TODAY(),"",IF(N('Daily Tracking'!G39)&gt;=Settings!$B$13,1,0))</f>
        <v/>
      </c>
      <c r="E39" s="230" t="str">
        <f ca="1">IF(A39&gt;TODAY(),"",IF(N('Daily Tracking'!H39)&gt;=Settings!$B$14,1,0))</f>
        <v/>
      </c>
      <c r="F39" s="230" t="str">
        <f ca="1">IF(A39&gt;TODAY(),"",IF(OR(N('Daily Tracking'!I39)&gt;0,'Daily Tracking'!J39="Yes"),1,0))</f>
        <v/>
      </c>
      <c r="G39" s="230" t="str">
        <f ca="1">IF(A39&gt;TODAY(),"",IF(N('Daily Tracking'!K39)&gt;=Settings!$B$15,1,0))</f>
        <v/>
      </c>
      <c r="H39" s="231" t="str">
        <f ca="1">IF(B39="","",AVERAGE(B39:G39))</f>
        <v/>
      </c>
      <c r="I39" s="136" t="str">
        <f ca="1">IF(B39="","",IF(B39=1,N(I38)+1,0))</f>
        <v/>
      </c>
      <c r="J39" s="232"/>
      <c r="K39" s="232"/>
      <c r="L39" s="232"/>
      <c r="M39" s="232"/>
    </row>
    <row r="40" spans="1:13" ht="18" customHeight="1" x14ac:dyDescent="0.3">
      <c r="A40" s="132">
        <f>'Daily Tracking'!A40</f>
        <v>46312</v>
      </c>
      <c r="B40" s="230" t="str">
        <f ca="1">IF(A40&gt;TODAY(),"",IF('Daily Tracking'!B40&lt;&gt;"",1,0))</f>
        <v/>
      </c>
      <c r="C40" s="230" t="str">
        <f ca="1">IF(A40&gt;TODAY(),"",IF('Daily Tracking'!E40&lt;&gt;"",1,0))</f>
        <v/>
      </c>
      <c r="D40" s="230" t="str">
        <f ca="1">IF(A40&gt;TODAY(),"",IF(N('Daily Tracking'!G40)&gt;=Settings!$B$13,1,0))</f>
        <v/>
      </c>
      <c r="E40" s="230" t="str">
        <f ca="1">IF(A40&gt;TODAY(),"",IF(N('Daily Tracking'!H40)&gt;=Settings!$B$14,1,0))</f>
        <v/>
      </c>
      <c r="F40" s="230" t="str">
        <f ca="1">IF(A40&gt;TODAY(),"",IF(OR(N('Daily Tracking'!I40)&gt;0,'Daily Tracking'!J40="Yes"),1,0))</f>
        <v/>
      </c>
      <c r="G40" s="230" t="str">
        <f ca="1">IF(A40&gt;TODAY(),"",IF(N('Daily Tracking'!K40)&gt;=Settings!$B$15,1,0))</f>
        <v/>
      </c>
      <c r="H40" s="231" t="str">
        <f ca="1">IF(B40="","",AVERAGE(B40:G40))</f>
        <v/>
      </c>
      <c r="I40" s="136" t="str">
        <f ca="1">IF(B40="","",IF(B40=1,N(I39)+1,0))</f>
        <v/>
      </c>
      <c r="J40" s="232"/>
      <c r="K40" s="232"/>
      <c r="L40" s="232"/>
      <c r="M40" s="232"/>
    </row>
    <row r="41" spans="1:13" ht="18" customHeight="1" x14ac:dyDescent="0.3">
      <c r="A41" s="132">
        <f>'Daily Tracking'!A41</f>
        <v>46313</v>
      </c>
      <c r="B41" s="230" t="str">
        <f ca="1">IF(A41&gt;TODAY(),"",IF('Daily Tracking'!B41&lt;&gt;"",1,0))</f>
        <v/>
      </c>
      <c r="C41" s="230" t="str">
        <f ca="1">IF(A41&gt;TODAY(),"",IF('Daily Tracking'!E41&lt;&gt;"",1,0))</f>
        <v/>
      </c>
      <c r="D41" s="230" t="str">
        <f ca="1">IF(A41&gt;TODAY(),"",IF(N('Daily Tracking'!G41)&gt;=Settings!$B$13,1,0))</f>
        <v/>
      </c>
      <c r="E41" s="230" t="str">
        <f ca="1">IF(A41&gt;TODAY(),"",IF(N('Daily Tracking'!H41)&gt;=Settings!$B$14,1,0))</f>
        <v/>
      </c>
      <c r="F41" s="230" t="str">
        <f ca="1">IF(A41&gt;TODAY(),"",IF(OR(N('Daily Tracking'!I41)&gt;0,'Daily Tracking'!J41="Yes"),1,0))</f>
        <v/>
      </c>
      <c r="G41" s="230" t="str">
        <f ca="1">IF(A41&gt;TODAY(),"",IF(N('Daily Tracking'!K41)&gt;=Settings!$B$15,1,0))</f>
        <v/>
      </c>
      <c r="H41" s="231" t="str">
        <f ca="1">IF(B41="","",AVERAGE(B41:G41))</f>
        <v/>
      </c>
      <c r="I41" s="136" t="str">
        <f ca="1">IF(B41="","",IF(B41=1,N(I40)+1,0))</f>
        <v/>
      </c>
      <c r="J41" s="232"/>
      <c r="K41" s="232"/>
      <c r="L41" s="232"/>
      <c r="M41" s="232"/>
    </row>
    <row r="42" spans="1:13" ht="18" customHeight="1" x14ac:dyDescent="0.3">
      <c r="A42" s="132">
        <f>'Daily Tracking'!A42</f>
        <v>46314</v>
      </c>
      <c r="B42" s="230" t="str">
        <f ca="1">IF(A42&gt;TODAY(),"",IF('Daily Tracking'!B42&lt;&gt;"",1,0))</f>
        <v/>
      </c>
      <c r="C42" s="230" t="str">
        <f ca="1">IF(A42&gt;TODAY(),"",IF('Daily Tracking'!E42&lt;&gt;"",1,0))</f>
        <v/>
      </c>
      <c r="D42" s="230" t="str">
        <f ca="1">IF(A42&gt;TODAY(),"",IF(N('Daily Tracking'!G42)&gt;=Settings!$B$13,1,0))</f>
        <v/>
      </c>
      <c r="E42" s="230" t="str">
        <f ca="1">IF(A42&gt;TODAY(),"",IF(N('Daily Tracking'!H42)&gt;=Settings!$B$14,1,0))</f>
        <v/>
      </c>
      <c r="F42" s="230" t="str">
        <f ca="1">IF(A42&gt;TODAY(),"",IF(OR(N('Daily Tracking'!I42)&gt;0,'Daily Tracking'!J42="Yes"),1,0))</f>
        <v/>
      </c>
      <c r="G42" s="230" t="str">
        <f ca="1">IF(A42&gt;TODAY(),"",IF(N('Daily Tracking'!K42)&gt;=Settings!$B$15,1,0))</f>
        <v/>
      </c>
      <c r="H42" s="231" t="str">
        <f ca="1">IF(B42="","",AVERAGE(B42:G42))</f>
        <v/>
      </c>
      <c r="I42" s="136" t="str">
        <f ca="1">IF(B42="","",IF(B42=1,N(I41)+1,0))</f>
        <v/>
      </c>
      <c r="J42" s="232"/>
      <c r="K42" s="232"/>
      <c r="L42" s="232"/>
      <c r="M42" s="232"/>
    </row>
    <row r="43" spans="1:13" ht="18" customHeight="1" x14ac:dyDescent="0.3">
      <c r="A43" s="132">
        <f>'Daily Tracking'!A43</f>
        <v>46315</v>
      </c>
      <c r="B43" s="230" t="str">
        <f ca="1">IF(A43&gt;TODAY(),"",IF('Daily Tracking'!B43&lt;&gt;"",1,0))</f>
        <v/>
      </c>
      <c r="C43" s="230" t="str">
        <f ca="1">IF(A43&gt;TODAY(),"",IF('Daily Tracking'!E43&lt;&gt;"",1,0))</f>
        <v/>
      </c>
      <c r="D43" s="230" t="str">
        <f ca="1">IF(A43&gt;TODAY(),"",IF(N('Daily Tracking'!G43)&gt;=Settings!$B$13,1,0))</f>
        <v/>
      </c>
      <c r="E43" s="230" t="str">
        <f ca="1">IF(A43&gt;TODAY(),"",IF(N('Daily Tracking'!H43)&gt;=Settings!$B$14,1,0))</f>
        <v/>
      </c>
      <c r="F43" s="230" t="str">
        <f ca="1">IF(A43&gt;TODAY(),"",IF(OR(N('Daily Tracking'!I43)&gt;0,'Daily Tracking'!J43="Yes"),1,0))</f>
        <v/>
      </c>
      <c r="G43" s="230" t="str">
        <f ca="1">IF(A43&gt;TODAY(),"",IF(N('Daily Tracking'!K43)&gt;=Settings!$B$15,1,0))</f>
        <v/>
      </c>
      <c r="H43" s="231" t="str">
        <f ca="1">IF(B43="","",AVERAGE(B43:G43))</f>
        <v/>
      </c>
      <c r="I43" s="136" t="str">
        <f ca="1">IF(B43="","",IF(B43=1,N(I42)+1,0))</f>
        <v/>
      </c>
      <c r="J43" s="232"/>
      <c r="K43" s="232"/>
      <c r="L43" s="232"/>
      <c r="M43" s="232"/>
    </row>
    <row r="44" spans="1:13" ht="18" customHeight="1" x14ac:dyDescent="0.3">
      <c r="A44" s="132">
        <f>'Daily Tracking'!A44</f>
        <v>46316</v>
      </c>
      <c r="B44" s="230" t="str">
        <f ca="1">IF(A44&gt;TODAY(),"",IF('Daily Tracking'!B44&lt;&gt;"",1,0))</f>
        <v/>
      </c>
      <c r="C44" s="230" t="str">
        <f ca="1">IF(A44&gt;TODAY(),"",IF('Daily Tracking'!E44&lt;&gt;"",1,0))</f>
        <v/>
      </c>
      <c r="D44" s="230" t="str">
        <f ca="1">IF(A44&gt;TODAY(),"",IF(N('Daily Tracking'!G44)&gt;=Settings!$B$13,1,0))</f>
        <v/>
      </c>
      <c r="E44" s="230" t="str">
        <f ca="1">IF(A44&gt;TODAY(),"",IF(N('Daily Tracking'!H44)&gt;=Settings!$B$14,1,0))</f>
        <v/>
      </c>
      <c r="F44" s="230" t="str">
        <f ca="1">IF(A44&gt;TODAY(),"",IF(OR(N('Daily Tracking'!I44)&gt;0,'Daily Tracking'!J44="Yes"),1,0))</f>
        <v/>
      </c>
      <c r="G44" s="230" t="str">
        <f ca="1">IF(A44&gt;TODAY(),"",IF(N('Daily Tracking'!K44)&gt;=Settings!$B$15,1,0))</f>
        <v/>
      </c>
      <c r="H44" s="231" t="str">
        <f ca="1">IF(B44="","",AVERAGE(B44:G44))</f>
        <v/>
      </c>
      <c r="I44" s="136" t="str">
        <f ca="1">IF(B44="","",IF(B44=1,N(I43)+1,0))</f>
        <v/>
      </c>
      <c r="J44" s="232"/>
      <c r="K44" s="232"/>
      <c r="L44" s="232"/>
      <c r="M44" s="232"/>
    </row>
    <row r="45" spans="1:13" ht="18" customHeight="1" x14ac:dyDescent="0.3">
      <c r="A45" s="132">
        <f>'Daily Tracking'!A45</f>
        <v>46317</v>
      </c>
      <c r="B45" s="230" t="str">
        <f ca="1">IF(A45&gt;TODAY(),"",IF('Daily Tracking'!B45&lt;&gt;"",1,0))</f>
        <v/>
      </c>
      <c r="C45" s="230" t="str">
        <f ca="1">IF(A45&gt;TODAY(),"",IF('Daily Tracking'!E45&lt;&gt;"",1,0))</f>
        <v/>
      </c>
      <c r="D45" s="230" t="str">
        <f ca="1">IF(A45&gt;TODAY(),"",IF(N('Daily Tracking'!G45)&gt;=Settings!$B$13,1,0))</f>
        <v/>
      </c>
      <c r="E45" s="230" t="str">
        <f ca="1">IF(A45&gt;TODAY(),"",IF(N('Daily Tracking'!H45)&gt;=Settings!$B$14,1,0))</f>
        <v/>
      </c>
      <c r="F45" s="230" t="str">
        <f ca="1">IF(A45&gt;TODAY(),"",IF(OR(N('Daily Tracking'!I45)&gt;0,'Daily Tracking'!J45="Yes"),1,0))</f>
        <v/>
      </c>
      <c r="G45" s="230" t="str">
        <f ca="1">IF(A45&gt;TODAY(),"",IF(N('Daily Tracking'!K45)&gt;=Settings!$B$15,1,0))</f>
        <v/>
      </c>
      <c r="H45" s="231" t="str">
        <f ca="1">IF(B45="","",AVERAGE(B45:G45))</f>
        <v/>
      </c>
      <c r="I45" s="136" t="str">
        <f ca="1">IF(B45="","",IF(B45=1,N(I44)+1,0))</f>
        <v/>
      </c>
      <c r="J45" s="232"/>
      <c r="K45" s="232"/>
      <c r="L45" s="232"/>
      <c r="M45" s="232"/>
    </row>
    <row r="46" spans="1:13" ht="18" customHeight="1" x14ac:dyDescent="0.3">
      <c r="A46" s="132">
        <f>'Daily Tracking'!A46</f>
        <v>46318</v>
      </c>
      <c r="B46" s="230" t="str">
        <f ca="1">IF(A46&gt;TODAY(),"",IF('Daily Tracking'!B46&lt;&gt;"",1,0))</f>
        <v/>
      </c>
      <c r="C46" s="230" t="str">
        <f ca="1">IF(A46&gt;TODAY(),"",IF('Daily Tracking'!E46&lt;&gt;"",1,0))</f>
        <v/>
      </c>
      <c r="D46" s="230" t="str">
        <f ca="1">IF(A46&gt;TODAY(),"",IF(N('Daily Tracking'!G46)&gt;=Settings!$B$13,1,0))</f>
        <v/>
      </c>
      <c r="E46" s="230" t="str">
        <f ca="1">IF(A46&gt;TODAY(),"",IF(N('Daily Tracking'!H46)&gt;=Settings!$B$14,1,0))</f>
        <v/>
      </c>
      <c r="F46" s="230" t="str">
        <f ca="1">IF(A46&gt;TODAY(),"",IF(OR(N('Daily Tracking'!I46)&gt;0,'Daily Tracking'!J46="Yes"),1,0))</f>
        <v/>
      </c>
      <c r="G46" s="230" t="str">
        <f ca="1">IF(A46&gt;TODAY(),"",IF(N('Daily Tracking'!K46)&gt;=Settings!$B$15,1,0))</f>
        <v/>
      </c>
      <c r="H46" s="231" t="str">
        <f ca="1">IF(B46="","",AVERAGE(B46:G46))</f>
        <v/>
      </c>
      <c r="I46" s="136" t="str">
        <f ca="1">IF(B46="","",IF(B46=1,N(I45)+1,0))</f>
        <v/>
      </c>
      <c r="J46" s="232"/>
      <c r="K46" s="232"/>
      <c r="L46" s="232"/>
      <c r="M46" s="232"/>
    </row>
    <row r="47" spans="1:13" ht="18" customHeight="1" x14ac:dyDescent="0.3">
      <c r="A47" s="132">
        <f>'Daily Tracking'!A47</f>
        <v>46319</v>
      </c>
      <c r="B47" s="230" t="str">
        <f ca="1">IF(A47&gt;TODAY(),"",IF('Daily Tracking'!B47&lt;&gt;"",1,0))</f>
        <v/>
      </c>
      <c r="C47" s="230" t="str">
        <f ca="1">IF(A47&gt;TODAY(),"",IF('Daily Tracking'!E47&lt;&gt;"",1,0))</f>
        <v/>
      </c>
      <c r="D47" s="230" t="str">
        <f ca="1">IF(A47&gt;TODAY(),"",IF(N('Daily Tracking'!G47)&gt;=Settings!$B$13,1,0))</f>
        <v/>
      </c>
      <c r="E47" s="230" t="str">
        <f ca="1">IF(A47&gt;TODAY(),"",IF(N('Daily Tracking'!H47)&gt;=Settings!$B$14,1,0))</f>
        <v/>
      </c>
      <c r="F47" s="230" t="str">
        <f ca="1">IF(A47&gt;TODAY(),"",IF(OR(N('Daily Tracking'!I47)&gt;0,'Daily Tracking'!J47="Yes"),1,0))</f>
        <v/>
      </c>
      <c r="G47" s="230" t="str">
        <f ca="1">IF(A47&gt;TODAY(),"",IF(N('Daily Tracking'!K47)&gt;=Settings!$B$15,1,0))</f>
        <v/>
      </c>
      <c r="H47" s="231" t="str">
        <f ca="1">IF(B47="","",AVERAGE(B47:G47))</f>
        <v/>
      </c>
      <c r="I47" s="136" t="str">
        <f ca="1">IF(B47="","",IF(B47=1,N(I46)+1,0))</f>
        <v/>
      </c>
      <c r="J47" s="232"/>
      <c r="K47" s="232"/>
      <c r="L47" s="232"/>
      <c r="M47" s="232"/>
    </row>
    <row r="48" spans="1:13" ht="18" customHeight="1" x14ac:dyDescent="0.3">
      <c r="A48" s="132">
        <f>'Daily Tracking'!A48</f>
        <v>46320</v>
      </c>
      <c r="B48" s="230" t="str">
        <f ca="1">IF(A48&gt;TODAY(),"",IF('Daily Tracking'!B48&lt;&gt;"",1,0))</f>
        <v/>
      </c>
      <c r="C48" s="230" t="str">
        <f ca="1">IF(A48&gt;TODAY(),"",IF('Daily Tracking'!E48&lt;&gt;"",1,0))</f>
        <v/>
      </c>
      <c r="D48" s="230" t="str">
        <f ca="1">IF(A48&gt;TODAY(),"",IF(N('Daily Tracking'!G48)&gt;=Settings!$B$13,1,0))</f>
        <v/>
      </c>
      <c r="E48" s="230" t="str">
        <f ca="1">IF(A48&gt;TODAY(),"",IF(N('Daily Tracking'!H48)&gt;=Settings!$B$14,1,0))</f>
        <v/>
      </c>
      <c r="F48" s="230" t="str">
        <f ca="1">IF(A48&gt;TODAY(),"",IF(OR(N('Daily Tracking'!I48)&gt;0,'Daily Tracking'!J48="Yes"),1,0))</f>
        <v/>
      </c>
      <c r="G48" s="230" t="str">
        <f ca="1">IF(A48&gt;TODAY(),"",IF(N('Daily Tracking'!K48)&gt;=Settings!$B$15,1,0))</f>
        <v/>
      </c>
      <c r="H48" s="231" t="str">
        <f ca="1">IF(B48="","",AVERAGE(B48:G48))</f>
        <v/>
      </c>
      <c r="I48" s="136" t="str">
        <f ca="1">IF(B48="","",IF(B48=1,N(I47)+1,0))</f>
        <v/>
      </c>
      <c r="J48" s="232"/>
      <c r="K48" s="232"/>
      <c r="L48" s="232"/>
      <c r="M48" s="232"/>
    </row>
    <row r="49" spans="1:13" ht="18" customHeight="1" x14ac:dyDescent="0.3">
      <c r="A49" s="132">
        <f>'Daily Tracking'!A49</f>
        <v>46321</v>
      </c>
      <c r="B49" s="230" t="str">
        <f ca="1">IF(A49&gt;TODAY(),"",IF('Daily Tracking'!B49&lt;&gt;"",1,0))</f>
        <v/>
      </c>
      <c r="C49" s="230" t="str">
        <f ca="1">IF(A49&gt;TODAY(),"",IF('Daily Tracking'!E49&lt;&gt;"",1,0))</f>
        <v/>
      </c>
      <c r="D49" s="230" t="str">
        <f ca="1">IF(A49&gt;TODAY(),"",IF(N('Daily Tracking'!G49)&gt;=Settings!$B$13,1,0))</f>
        <v/>
      </c>
      <c r="E49" s="230" t="str">
        <f ca="1">IF(A49&gt;TODAY(),"",IF(N('Daily Tracking'!H49)&gt;=Settings!$B$14,1,0))</f>
        <v/>
      </c>
      <c r="F49" s="230" t="str">
        <f ca="1">IF(A49&gt;TODAY(),"",IF(OR(N('Daily Tracking'!I49)&gt;0,'Daily Tracking'!J49="Yes"),1,0))</f>
        <v/>
      </c>
      <c r="G49" s="230" t="str">
        <f ca="1">IF(A49&gt;TODAY(),"",IF(N('Daily Tracking'!K49)&gt;=Settings!$B$15,1,0))</f>
        <v/>
      </c>
      <c r="H49" s="231" t="str">
        <f ca="1">IF(B49="","",AVERAGE(B49:G49))</f>
        <v/>
      </c>
      <c r="I49" s="136" t="str">
        <f ca="1">IF(B49="","",IF(B49=1,N(I48)+1,0))</f>
        <v/>
      </c>
      <c r="J49" s="232"/>
      <c r="K49" s="232"/>
      <c r="L49" s="232"/>
      <c r="M49" s="232"/>
    </row>
    <row r="50" spans="1:13" ht="18" customHeight="1" x14ac:dyDescent="0.3">
      <c r="A50" s="132">
        <f>'Daily Tracking'!A50</f>
        <v>46322</v>
      </c>
      <c r="B50" s="230" t="str">
        <f ca="1">IF(A50&gt;TODAY(),"",IF('Daily Tracking'!B50&lt;&gt;"",1,0))</f>
        <v/>
      </c>
      <c r="C50" s="230" t="str">
        <f ca="1">IF(A50&gt;TODAY(),"",IF('Daily Tracking'!E50&lt;&gt;"",1,0))</f>
        <v/>
      </c>
      <c r="D50" s="230" t="str">
        <f ca="1">IF(A50&gt;TODAY(),"",IF(N('Daily Tracking'!G50)&gt;=Settings!$B$13,1,0))</f>
        <v/>
      </c>
      <c r="E50" s="230" t="str">
        <f ca="1">IF(A50&gt;TODAY(),"",IF(N('Daily Tracking'!H50)&gt;=Settings!$B$14,1,0))</f>
        <v/>
      </c>
      <c r="F50" s="230" t="str">
        <f ca="1">IF(A50&gt;TODAY(),"",IF(OR(N('Daily Tracking'!I50)&gt;0,'Daily Tracking'!J50="Yes"),1,0))</f>
        <v/>
      </c>
      <c r="G50" s="230" t="str">
        <f ca="1">IF(A50&gt;TODAY(),"",IF(N('Daily Tracking'!K50)&gt;=Settings!$B$15,1,0))</f>
        <v/>
      </c>
      <c r="H50" s="231" t="str">
        <f ca="1">IF(B50="","",AVERAGE(B50:G50))</f>
        <v/>
      </c>
      <c r="I50" s="136" t="str">
        <f ca="1">IF(B50="","",IF(B50=1,N(I49)+1,0))</f>
        <v/>
      </c>
      <c r="J50" s="232"/>
      <c r="K50" s="232"/>
      <c r="L50" s="232"/>
      <c r="M50" s="232"/>
    </row>
    <row r="51" spans="1:13" ht="18" customHeight="1" x14ac:dyDescent="0.3">
      <c r="A51" s="132">
        <f>'Daily Tracking'!A51</f>
        <v>46323</v>
      </c>
      <c r="B51" s="230" t="str">
        <f ca="1">IF(A51&gt;TODAY(),"",IF('Daily Tracking'!B51&lt;&gt;"",1,0))</f>
        <v/>
      </c>
      <c r="C51" s="230" t="str">
        <f ca="1">IF(A51&gt;TODAY(),"",IF('Daily Tracking'!E51&lt;&gt;"",1,0))</f>
        <v/>
      </c>
      <c r="D51" s="230" t="str">
        <f ca="1">IF(A51&gt;TODAY(),"",IF(N('Daily Tracking'!G51)&gt;=Settings!$B$13,1,0))</f>
        <v/>
      </c>
      <c r="E51" s="230" t="str">
        <f ca="1">IF(A51&gt;TODAY(),"",IF(N('Daily Tracking'!H51)&gt;=Settings!$B$14,1,0))</f>
        <v/>
      </c>
      <c r="F51" s="230" t="str">
        <f ca="1">IF(A51&gt;TODAY(),"",IF(OR(N('Daily Tracking'!I51)&gt;0,'Daily Tracking'!J51="Yes"),1,0))</f>
        <v/>
      </c>
      <c r="G51" s="230" t="str">
        <f ca="1">IF(A51&gt;TODAY(),"",IF(N('Daily Tracking'!K51)&gt;=Settings!$B$15,1,0))</f>
        <v/>
      </c>
      <c r="H51" s="231" t="str">
        <f ca="1">IF(B51="","",AVERAGE(B51:G51))</f>
        <v/>
      </c>
      <c r="I51" s="136" t="str">
        <f ca="1">IF(B51="","",IF(B51=1,N(I50)+1,0))</f>
        <v/>
      </c>
      <c r="J51" s="232"/>
      <c r="K51" s="232"/>
      <c r="L51" s="232"/>
      <c r="M51" s="232"/>
    </row>
    <row r="52" spans="1:13" ht="18" customHeight="1" x14ac:dyDescent="0.3">
      <c r="A52" s="132">
        <f>'Daily Tracking'!A52</f>
        <v>46324</v>
      </c>
      <c r="B52" s="230" t="str">
        <f ca="1">IF(A52&gt;TODAY(),"",IF('Daily Tracking'!B52&lt;&gt;"",1,0))</f>
        <v/>
      </c>
      <c r="C52" s="230" t="str">
        <f ca="1">IF(A52&gt;TODAY(),"",IF('Daily Tracking'!E52&lt;&gt;"",1,0))</f>
        <v/>
      </c>
      <c r="D52" s="230" t="str">
        <f ca="1">IF(A52&gt;TODAY(),"",IF(N('Daily Tracking'!G52)&gt;=Settings!$B$13,1,0))</f>
        <v/>
      </c>
      <c r="E52" s="230" t="str">
        <f ca="1">IF(A52&gt;TODAY(),"",IF(N('Daily Tracking'!H52)&gt;=Settings!$B$14,1,0))</f>
        <v/>
      </c>
      <c r="F52" s="230" t="str">
        <f ca="1">IF(A52&gt;TODAY(),"",IF(OR(N('Daily Tracking'!I52)&gt;0,'Daily Tracking'!J52="Yes"),1,0))</f>
        <v/>
      </c>
      <c r="G52" s="230" t="str">
        <f ca="1">IF(A52&gt;TODAY(),"",IF(N('Daily Tracking'!K52)&gt;=Settings!$B$15,1,0))</f>
        <v/>
      </c>
      <c r="H52" s="231" t="str">
        <f ca="1">IF(B52="","",AVERAGE(B52:G52))</f>
        <v/>
      </c>
      <c r="I52" s="136" t="str">
        <f ca="1">IF(B52="","",IF(B52=1,N(I51)+1,0))</f>
        <v/>
      </c>
      <c r="J52" s="232"/>
      <c r="K52" s="232"/>
      <c r="L52" s="232"/>
      <c r="M52" s="232"/>
    </row>
    <row r="53" spans="1:13" ht="18" customHeight="1" x14ac:dyDescent="0.3">
      <c r="A53" s="132">
        <f>'Daily Tracking'!A53</f>
        <v>46325</v>
      </c>
      <c r="B53" s="230" t="str">
        <f ca="1">IF(A53&gt;TODAY(),"",IF('Daily Tracking'!B53&lt;&gt;"",1,0))</f>
        <v/>
      </c>
      <c r="C53" s="230" t="str">
        <f ca="1">IF(A53&gt;TODAY(),"",IF('Daily Tracking'!E53&lt;&gt;"",1,0))</f>
        <v/>
      </c>
      <c r="D53" s="230" t="str">
        <f ca="1">IF(A53&gt;TODAY(),"",IF(N('Daily Tracking'!G53)&gt;=Settings!$B$13,1,0))</f>
        <v/>
      </c>
      <c r="E53" s="230" t="str">
        <f ca="1">IF(A53&gt;TODAY(),"",IF(N('Daily Tracking'!H53)&gt;=Settings!$B$14,1,0))</f>
        <v/>
      </c>
      <c r="F53" s="230" t="str">
        <f ca="1">IF(A53&gt;TODAY(),"",IF(OR(N('Daily Tracking'!I53)&gt;0,'Daily Tracking'!J53="Yes"),1,0))</f>
        <v/>
      </c>
      <c r="G53" s="230" t="str">
        <f ca="1">IF(A53&gt;TODAY(),"",IF(N('Daily Tracking'!K53)&gt;=Settings!$B$15,1,0))</f>
        <v/>
      </c>
      <c r="H53" s="231" t="str">
        <f ca="1">IF(B53="","",AVERAGE(B53:G53))</f>
        <v/>
      </c>
      <c r="I53" s="136" t="str">
        <f ca="1">IF(B53="","",IF(B53=1,N(I52)+1,0))</f>
        <v/>
      </c>
      <c r="J53" s="232"/>
      <c r="K53" s="232"/>
      <c r="L53" s="232"/>
      <c r="M53" s="232"/>
    </row>
    <row r="54" spans="1:13" ht="18" customHeight="1" x14ac:dyDescent="0.3">
      <c r="A54" s="132">
        <f>'Daily Tracking'!A54</f>
        <v>46326</v>
      </c>
      <c r="B54" s="230" t="str">
        <f ca="1">IF(A54&gt;TODAY(),"",IF('Daily Tracking'!B54&lt;&gt;"",1,0))</f>
        <v/>
      </c>
      <c r="C54" s="230" t="str">
        <f ca="1">IF(A54&gt;TODAY(),"",IF('Daily Tracking'!E54&lt;&gt;"",1,0))</f>
        <v/>
      </c>
      <c r="D54" s="230" t="str">
        <f ca="1">IF(A54&gt;TODAY(),"",IF(N('Daily Tracking'!G54)&gt;=Settings!$B$13,1,0))</f>
        <v/>
      </c>
      <c r="E54" s="230" t="str">
        <f ca="1">IF(A54&gt;TODAY(),"",IF(N('Daily Tracking'!H54)&gt;=Settings!$B$14,1,0))</f>
        <v/>
      </c>
      <c r="F54" s="230" t="str">
        <f ca="1">IF(A54&gt;TODAY(),"",IF(OR(N('Daily Tracking'!I54)&gt;0,'Daily Tracking'!J54="Yes"),1,0))</f>
        <v/>
      </c>
      <c r="G54" s="230" t="str">
        <f ca="1">IF(A54&gt;TODAY(),"",IF(N('Daily Tracking'!K54)&gt;=Settings!$B$15,1,0))</f>
        <v/>
      </c>
      <c r="H54" s="231" t="str">
        <f ca="1">IF(B54="","",AVERAGE(B54:G54))</f>
        <v/>
      </c>
      <c r="I54" s="136" t="str">
        <f ca="1">IF(B54="","",IF(B54=1,N(I53)+1,0))</f>
        <v/>
      </c>
      <c r="J54" s="232"/>
      <c r="K54" s="232"/>
      <c r="L54" s="232"/>
      <c r="M54" s="232"/>
    </row>
    <row r="55" spans="1:13" ht="18" customHeight="1" x14ac:dyDescent="0.3">
      <c r="A55" s="132">
        <f>'Daily Tracking'!A55</f>
        <v>46327</v>
      </c>
      <c r="B55" s="230" t="str">
        <f ca="1">IF(A55&gt;TODAY(),"",IF('Daily Tracking'!B55&lt;&gt;"",1,0))</f>
        <v/>
      </c>
      <c r="C55" s="230" t="str">
        <f ca="1">IF(A55&gt;TODAY(),"",IF('Daily Tracking'!E55&lt;&gt;"",1,0))</f>
        <v/>
      </c>
      <c r="D55" s="230" t="str">
        <f ca="1">IF(A55&gt;TODAY(),"",IF(N('Daily Tracking'!G55)&gt;=Settings!$B$13,1,0))</f>
        <v/>
      </c>
      <c r="E55" s="230" t="str">
        <f ca="1">IF(A55&gt;TODAY(),"",IF(N('Daily Tracking'!H55)&gt;=Settings!$B$14,1,0))</f>
        <v/>
      </c>
      <c r="F55" s="230" t="str">
        <f ca="1">IF(A55&gt;TODAY(),"",IF(OR(N('Daily Tracking'!I55)&gt;0,'Daily Tracking'!J55="Yes"),1,0))</f>
        <v/>
      </c>
      <c r="G55" s="230" t="str">
        <f ca="1">IF(A55&gt;TODAY(),"",IF(N('Daily Tracking'!K55)&gt;=Settings!$B$15,1,0))</f>
        <v/>
      </c>
      <c r="H55" s="231" t="str">
        <f ca="1">IF(B55="","",AVERAGE(B55:G55))</f>
        <v/>
      </c>
      <c r="I55" s="136" t="str">
        <f ca="1">IF(B55="","",IF(B55=1,N(I54)+1,0))</f>
        <v/>
      </c>
      <c r="J55" s="232"/>
      <c r="K55" s="232"/>
      <c r="L55" s="232"/>
      <c r="M55" s="232"/>
    </row>
    <row r="56" spans="1:13" ht="18" customHeight="1" x14ac:dyDescent="0.3">
      <c r="A56" s="132">
        <f>'Daily Tracking'!A56</f>
        <v>46328</v>
      </c>
      <c r="B56" s="230" t="str">
        <f ca="1">IF(A56&gt;TODAY(),"",IF('Daily Tracking'!B56&lt;&gt;"",1,0))</f>
        <v/>
      </c>
      <c r="C56" s="230" t="str">
        <f ca="1">IF(A56&gt;TODAY(),"",IF('Daily Tracking'!E56&lt;&gt;"",1,0))</f>
        <v/>
      </c>
      <c r="D56" s="230" t="str">
        <f ca="1">IF(A56&gt;TODAY(),"",IF(N('Daily Tracking'!G56)&gt;=Settings!$B$13,1,0))</f>
        <v/>
      </c>
      <c r="E56" s="230" t="str">
        <f ca="1">IF(A56&gt;TODAY(),"",IF(N('Daily Tracking'!H56)&gt;=Settings!$B$14,1,0))</f>
        <v/>
      </c>
      <c r="F56" s="230" t="str">
        <f ca="1">IF(A56&gt;TODAY(),"",IF(OR(N('Daily Tracking'!I56)&gt;0,'Daily Tracking'!J56="Yes"),1,0))</f>
        <v/>
      </c>
      <c r="G56" s="230" t="str">
        <f ca="1">IF(A56&gt;TODAY(),"",IF(N('Daily Tracking'!K56)&gt;=Settings!$B$15,1,0))</f>
        <v/>
      </c>
      <c r="H56" s="231" t="str">
        <f ca="1">IF(B56="","",AVERAGE(B56:G56))</f>
        <v/>
      </c>
      <c r="I56" s="136" t="str">
        <f ca="1">IF(B56="","",IF(B56=1,N(I55)+1,0))</f>
        <v/>
      </c>
      <c r="J56" s="232"/>
      <c r="K56" s="232"/>
      <c r="L56" s="232"/>
      <c r="M56" s="232"/>
    </row>
    <row r="57" spans="1:13" ht="18" customHeight="1" x14ac:dyDescent="0.3">
      <c r="A57" s="132">
        <f>'Daily Tracking'!A57</f>
        <v>46329</v>
      </c>
      <c r="B57" s="230" t="str">
        <f ca="1">IF(A57&gt;TODAY(),"",IF('Daily Tracking'!B57&lt;&gt;"",1,0))</f>
        <v/>
      </c>
      <c r="C57" s="230" t="str">
        <f ca="1">IF(A57&gt;TODAY(),"",IF('Daily Tracking'!E57&lt;&gt;"",1,0))</f>
        <v/>
      </c>
      <c r="D57" s="230" t="str">
        <f ca="1">IF(A57&gt;TODAY(),"",IF(N('Daily Tracking'!G57)&gt;=Settings!$B$13,1,0))</f>
        <v/>
      </c>
      <c r="E57" s="230" t="str">
        <f ca="1">IF(A57&gt;TODAY(),"",IF(N('Daily Tracking'!H57)&gt;=Settings!$B$14,1,0))</f>
        <v/>
      </c>
      <c r="F57" s="230" t="str">
        <f ca="1">IF(A57&gt;TODAY(),"",IF(OR(N('Daily Tracking'!I57)&gt;0,'Daily Tracking'!J57="Yes"),1,0))</f>
        <v/>
      </c>
      <c r="G57" s="230" t="str">
        <f ca="1">IF(A57&gt;TODAY(),"",IF(N('Daily Tracking'!K57)&gt;=Settings!$B$15,1,0))</f>
        <v/>
      </c>
      <c r="H57" s="231" t="str">
        <f ca="1">IF(B57="","",AVERAGE(B57:G57))</f>
        <v/>
      </c>
      <c r="I57" s="136" t="str">
        <f ca="1">IF(B57="","",IF(B57=1,N(I56)+1,0))</f>
        <v/>
      </c>
      <c r="J57" s="232"/>
      <c r="K57" s="232"/>
      <c r="L57" s="232"/>
      <c r="M57" s="232"/>
    </row>
    <row r="58" spans="1:13" ht="18" customHeight="1" x14ac:dyDescent="0.3">
      <c r="A58" s="132">
        <f>'Daily Tracking'!A58</f>
        <v>46330</v>
      </c>
      <c r="B58" s="230" t="str">
        <f ca="1">IF(A58&gt;TODAY(),"",IF('Daily Tracking'!B58&lt;&gt;"",1,0))</f>
        <v/>
      </c>
      <c r="C58" s="230" t="str">
        <f ca="1">IF(A58&gt;TODAY(),"",IF('Daily Tracking'!E58&lt;&gt;"",1,0))</f>
        <v/>
      </c>
      <c r="D58" s="230" t="str">
        <f ca="1">IF(A58&gt;TODAY(),"",IF(N('Daily Tracking'!G58)&gt;=Settings!$B$13,1,0))</f>
        <v/>
      </c>
      <c r="E58" s="230" t="str">
        <f ca="1">IF(A58&gt;TODAY(),"",IF(N('Daily Tracking'!H58)&gt;=Settings!$B$14,1,0))</f>
        <v/>
      </c>
      <c r="F58" s="230" t="str">
        <f ca="1">IF(A58&gt;TODAY(),"",IF(OR(N('Daily Tracking'!I58)&gt;0,'Daily Tracking'!J58="Yes"),1,0))</f>
        <v/>
      </c>
      <c r="G58" s="230" t="str">
        <f ca="1">IF(A58&gt;TODAY(),"",IF(N('Daily Tracking'!K58)&gt;=Settings!$B$15,1,0))</f>
        <v/>
      </c>
      <c r="H58" s="231" t="str">
        <f ca="1">IF(B58="","",AVERAGE(B58:G58))</f>
        <v/>
      </c>
      <c r="I58" s="136" t="str">
        <f ca="1">IF(B58="","",IF(B58=1,N(I57)+1,0))</f>
        <v/>
      </c>
      <c r="J58" s="232"/>
      <c r="K58" s="232"/>
      <c r="L58" s="232"/>
      <c r="M58" s="232"/>
    </row>
    <row r="59" spans="1:13" ht="18" customHeight="1" x14ac:dyDescent="0.3">
      <c r="A59" s="132">
        <f>'Daily Tracking'!A59</f>
        <v>46331</v>
      </c>
      <c r="B59" s="230" t="str">
        <f ca="1">IF(A59&gt;TODAY(),"",IF('Daily Tracking'!B59&lt;&gt;"",1,0))</f>
        <v/>
      </c>
      <c r="C59" s="230" t="str">
        <f ca="1">IF(A59&gt;TODAY(),"",IF('Daily Tracking'!E59&lt;&gt;"",1,0))</f>
        <v/>
      </c>
      <c r="D59" s="230" t="str">
        <f ca="1">IF(A59&gt;TODAY(),"",IF(N('Daily Tracking'!G59)&gt;=Settings!$B$13,1,0))</f>
        <v/>
      </c>
      <c r="E59" s="230" t="str">
        <f ca="1">IF(A59&gt;TODAY(),"",IF(N('Daily Tracking'!H59)&gt;=Settings!$B$14,1,0))</f>
        <v/>
      </c>
      <c r="F59" s="230" t="str">
        <f ca="1">IF(A59&gt;TODAY(),"",IF(OR(N('Daily Tracking'!I59)&gt;0,'Daily Tracking'!J59="Yes"),1,0))</f>
        <v/>
      </c>
      <c r="G59" s="230" t="str">
        <f ca="1">IF(A59&gt;TODAY(),"",IF(N('Daily Tracking'!K59)&gt;=Settings!$B$15,1,0))</f>
        <v/>
      </c>
      <c r="H59" s="231" t="str">
        <f ca="1">IF(B59="","",AVERAGE(B59:G59))</f>
        <v/>
      </c>
      <c r="I59" s="136" t="str">
        <f ca="1">IF(B59="","",IF(B59=1,N(I58)+1,0))</f>
        <v/>
      </c>
      <c r="J59" s="232"/>
      <c r="K59" s="232"/>
      <c r="L59" s="232"/>
      <c r="M59" s="232"/>
    </row>
    <row r="60" spans="1:13" ht="18" customHeight="1" x14ac:dyDescent="0.3">
      <c r="A60" s="132">
        <f>'Daily Tracking'!A60</f>
        <v>46332</v>
      </c>
      <c r="B60" s="230" t="str">
        <f ca="1">IF(A60&gt;TODAY(),"",IF('Daily Tracking'!B60&lt;&gt;"",1,0))</f>
        <v/>
      </c>
      <c r="C60" s="230" t="str">
        <f ca="1">IF(A60&gt;TODAY(),"",IF('Daily Tracking'!E60&lt;&gt;"",1,0))</f>
        <v/>
      </c>
      <c r="D60" s="230" t="str">
        <f ca="1">IF(A60&gt;TODAY(),"",IF(N('Daily Tracking'!G60)&gt;=Settings!$B$13,1,0))</f>
        <v/>
      </c>
      <c r="E60" s="230" t="str">
        <f ca="1">IF(A60&gt;TODAY(),"",IF(N('Daily Tracking'!H60)&gt;=Settings!$B$14,1,0))</f>
        <v/>
      </c>
      <c r="F60" s="230" t="str">
        <f ca="1">IF(A60&gt;TODAY(),"",IF(OR(N('Daily Tracking'!I60)&gt;0,'Daily Tracking'!J60="Yes"),1,0))</f>
        <v/>
      </c>
      <c r="G60" s="230" t="str">
        <f ca="1">IF(A60&gt;TODAY(),"",IF(N('Daily Tracking'!K60)&gt;=Settings!$B$15,1,0))</f>
        <v/>
      </c>
      <c r="H60" s="231" t="str">
        <f ca="1">IF(B60="","",AVERAGE(B60:G60))</f>
        <v/>
      </c>
      <c r="I60" s="136" t="str">
        <f ca="1">IF(B60="","",IF(B60=1,N(I59)+1,0))</f>
        <v/>
      </c>
      <c r="J60" s="232"/>
      <c r="K60" s="232"/>
      <c r="L60" s="232"/>
      <c r="M60" s="232"/>
    </row>
    <row r="61" spans="1:13" ht="18" customHeight="1" x14ac:dyDescent="0.3">
      <c r="A61" s="132">
        <f>'Daily Tracking'!A61</f>
        <v>46333</v>
      </c>
      <c r="B61" s="230" t="str">
        <f ca="1">IF(A61&gt;TODAY(),"",IF('Daily Tracking'!B61&lt;&gt;"",1,0))</f>
        <v/>
      </c>
      <c r="C61" s="230" t="str">
        <f ca="1">IF(A61&gt;TODAY(),"",IF('Daily Tracking'!E61&lt;&gt;"",1,0))</f>
        <v/>
      </c>
      <c r="D61" s="230" t="str">
        <f ca="1">IF(A61&gt;TODAY(),"",IF(N('Daily Tracking'!G61)&gt;=Settings!$B$13,1,0))</f>
        <v/>
      </c>
      <c r="E61" s="230" t="str">
        <f ca="1">IF(A61&gt;TODAY(),"",IF(N('Daily Tracking'!H61)&gt;=Settings!$B$14,1,0))</f>
        <v/>
      </c>
      <c r="F61" s="230" t="str">
        <f ca="1">IF(A61&gt;TODAY(),"",IF(OR(N('Daily Tracking'!I61)&gt;0,'Daily Tracking'!J61="Yes"),1,0))</f>
        <v/>
      </c>
      <c r="G61" s="230" t="str">
        <f ca="1">IF(A61&gt;TODAY(),"",IF(N('Daily Tracking'!K61)&gt;=Settings!$B$15,1,0))</f>
        <v/>
      </c>
      <c r="H61" s="231" t="str">
        <f ca="1">IF(B61="","",AVERAGE(B61:G61))</f>
        <v/>
      </c>
      <c r="I61" s="136" t="str">
        <f ca="1">IF(B61="","",IF(B61=1,N(I60)+1,0))</f>
        <v/>
      </c>
      <c r="J61" s="232"/>
      <c r="K61" s="232"/>
      <c r="L61" s="232"/>
      <c r="M61" s="232"/>
    </row>
    <row r="62" spans="1:13" ht="18" customHeight="1" x14ac:dyDescent="0.3">
      <c r="A62" s="132">
        <f>'Daily Tracking'!A62</f>
        <v>46334</v>
      </c>
      <c r="B62" s="230" t="str">
        <f ca="1">IF(A62&gt;TODAY(),"",IF('Daily Tracking'!B62&lt;&gt;"",1,0))</f>
        <v/>
      </c>
      <c r="C62" s="230" t="str">
        <f ca="1">IF(A62&gt;TODAY(),"",IF('Daily Tracking'!E62&lt;&gt;"",1,0))</f>
        <v/>
      </c>
      <c r="D62" s="230" t="str">
        <f ca="1">IF(A62&gt;TODAY(),"",IF(N('Daily Tracking'!G62)&gt;=Settings!$B$13,1,0))</f>
        <v/>
      </c>
      <c r="E62" s="230" t="str">
        <f ca="1">IF(A62&gt;TODAY(),"",IF(N('Daily Tracking'!H62)&gt;=Settings!$B$14,1,0))</f>
        <v/>
      </c>
      <c r="F62" s="230" t="str">
        <f ca="1">IF(A62&gt;TODAY(),"",IF(OR(N('Daily Tracking'!I62)&gt;0,'Daily Tracking'!J62="Yes"),1,0))</f>
        <v/>
      </c>
      <c r="G62" s="230" t="str">
        <f ca="1">IF(A62&gt;TODAY(),"",IF(N('Daily Tracking'!K62)&gt;=Settings!$B$15,1,0))</f>
        <v/>
      </c>
      <c r="H62" s="231" t="str">
        <f ca="1">IF(B62="","",AVERAGE(B62:G62))</f>
        <v/>
      </c>
      <c r="I62" s="136" t="str">
        <f ca="1">IF(B62="","",IF(B62=1,N(I61)+1,0))</f>
        <v/>
      </c>
      <c r="J62" s="232"/>
      <c r="K62" s="232"/>
      <c r="L62" s="232"/>
      <c r="M62" s="232"/>
    </row>
    <row r="63" spans="1:13" ht="18" customHeight="1" x14ac:dyDescent="0.3">
      <c r="A63" s="132">
        <f>'Daily Tracking'!A63</f>
        <v>46335</v>
      </c>
      <c r="B63" s="230" t="str">
        <f ca="1">IF(A63&gt;TODAY(),"",IF('Daily Tracking'!B63&lt;&gt;"",1,0))</f>
        <v/>
      </c>
      <c r="C63" s="230" t="str">
        <f ca="1">IF(A63&gt;TODAY(),"",IF('Daily Tracking'!E63&lt;&gt;"",1,0))</f>
        <v/>
      </c>
      <c r="D63" s="230" t="str">
        <f ca="1">IF(A63&gt;TODAY(),"",IF(N('Daily Tracking'!G63)&gt;=Settings!$B$13,1,0))</f>
        <v/>
      </c>
      <c r="E63" s="230" t="str">
        <f ca="1">IF(A63&gt;TODAY(),"",IF(N('Daily Tracking'!H63)&gt;=Settings!$B$14,1,0))</f>
        <v/>
      </c>
      <c r="F63" s="230" t="str">
        <f ca="1">IF(A63&gt;TODAY(),"",IF(OR(N('Daily Tracking'!I63)&gt;0,'Daily Tracking'!J63="Yes"),1,0))</f>
        <v/>
      </c>
      <c r="G63" s="230" t="str">
        <f ca="1">IF(A63&gt;TODAY(),"",IF(N('Daily Tracking'!K63)&gt;=Settings!$B$15,1,0))</f>
        <v/>
      </c>
      <c r="H63" s="231" t="str">
        <f ca="1">IF(B63="","",AVERAGE(B63:G63))</f>
        <v/>
      </c>
      <c r="I63" s="136" t="str">
        <f ca="1">IF(B63="","",IF(B63=1,N(I62)+1,0))</f>
        <v/>
      </c>
      <c r="J63" s="232"/>
      <c r="K63" s="232"/>
      <c r="L63" s="232"/>
      <c r="M63" s="232"/>
    </row>
    <row r="64" spans="1:13" ht="18" customHeight="1" x14ac:dyDescent="0.3">
      <c r="A64" s="132">
        <f>'Daily Tracking'!A64</f>
        <v>46336</v>
      </c>
      <c r="B64" s="230" t="str">
        <f ca="1">IF(A64&gt;TODAY(),"",IF('Daily Tracking'!B64&lt;&gt;"",1,0))</f>
        <v/>
      </c>
      <c r="C64" s="230" t="str">
        <f ca="1">IF(A64&gt;TODAY(),"",IF('Daily Tracking'!E64&lt;&gt;"",1,0))</f>
        <v/>
      </c>
      <c r="D64" s="230" t="str">
        <f ca="1">IF(A64&gt;TODAY(),"",IF(N('Daily Tracking'!G64)&gt;=Settings!$B$13,1,0))</f>
        <v/>
      </c>
      <c r="E64" s="230" t="str">
        <f ca="1">IF(A64&gt;TODAY(),"",IF(N('Daily Tracking'!H64)&gt;=Settings!$B$14,1,0))</f>
        <v/>
      </c>
      <c r="F64" s="230" t="str">
        <f ca="1">IF(A64&gt;TODAY(),"",IF(OR(N('Daily Tracking'!I64)&gt;0,'Daily Tracking'!J64="Yes"),1,0))</f>
        <v/>
      </c>
      <c r="G64" s="230" t="str">
        <f ca="1">IF(A64&gt;TODAY(),"",IF(N('Daily Tracking'!K64)&gt;=Settings!$B$15,1,0))</f>
        <v/>
      </c>
      <c r="H64" s="231" t="str">
        <f ca="1">IF(B64="","",AVERAGE(B64:G64))</f>
        <v/>
      </c>
      <c r="I64" s="136" t="str">
        <f ca="1">IF(B64="","",IF(B64=1,N(I63)+1,0))</f>
        <v/>
      </c>
      <c r="J64" s="232"/>
      <c r="K64" s="232"/>
      <c r="L64" s="232"/>
      <c r="M64" s="232"/>
    </row>
    <row r="65" spans="1:13" ht="18" customHeight="1" x14ac:dyDescent="0.3">
      <c r="A65" s="132">
        <f>'Daily Tracking'!A65</f>
        <v>46337</v>
      </c>
      <c r="B65" s="230" t="str">
        <f ca="1">IF(A65&gt;TODAY(),"",IF('Daily Tracking'!B65&lt;&gt;"",1,0))</f>
        <v/>
      </c>
      <c r="C65" s="230" t="str">
        <f ca="1">IF(A65&gt;TODAY(),"",IF('Daily Tracking'!E65&lt;&gt;"",1,0))</f>
        <v/>
      </c>
      <c r="D65" s="230" t="str">
        <f ca="1">IF(A65&gt;TODAY(),"",IF(N('Daily Tracking'!G65)&gt;=Settings!$B$13,1,0))</f>
        <v/>
      </c>
      <c r="E65" s="230" t="str">
        <f ca="1">IF(A65&gt;TODAY(),"",IF(N('Daily Tracking'!H65)&gt;=Settings!$B$14,1,0))</f>
        <v/>
      </c>
      <c r="F65" s="230" t="str">
        <f ca="1">IF(A65&gt;TODAY(),"",IF(OR(N('Daily Tracking'!I65)&gt;0,'Daily Tracking'!J65="Yes"),1,0))</f>
        <v/>
      </c>
      <c r="G65" s="230" t="str">
        <f ca="1">IF(A65&gt;TODAY(),"",IF(N('Daily Tracking'!K65)&gt;=Settings!$B$15,1,0))</f>
        <v/>
      </c>
      <c r="H65" s="231" t="str">
        <f ca="1">IF(B65="","",AVERAGE(B65:G65))</f>
        <v/>
      </c>
      <c r="I65" s="136" t="str">
        <f ca="1">IF(B65="","",IF(B65=1,N(I64)+1,0))</f>
        <v/>
      </c>
      <c r="J65" s="232"/>
      <c r="K65" s="232"/>
      <c r="L65" s="232"/>
      <c r="M65" s="232"/>
    </row>
    <row r="66" spans="1:13" ht="18" customHeight="1" x14ac:dyDescent="0.3">
      <c r="A66" s="132">
        <f>'Daily Tracking'!A66</f>
        <v>46338</v>
      </c>
      <c r="B66" s="230" t="str">
        <f ca="1">IF(A66&gt;TODAY(),"",IF('Daily Tracking'!B66&lt;&gt;"",1,0))</f>
        <v/>
      </c>
      <c r="C66" s="230" t="str">
        <f ca="1">IF(A66&gt;TODAY(),"",IF('Daily Tracking'!E66&lt;&gt;"",1,0))</f>
        <v/>
      </c>
      <c r="D66" s="230" t="str">
        <f ca="1">IF(A66&gt;TODAY(),"",IF(N('Daily Tracking'!G66)&gt;=Settings!$B$13,1,0))</f>
        <v/>
      </c>
      <c r="E66" s="230" t="str">
        <f ca="1">IF(A66&gt;TODAY(),"",IF(N('Daily Tracking'!H66)&gt;=Settings!$B$14,1,0))</f>
        <v/>
      </c>
      <c r="F66" s="230" t="str">
        <f ca="1">IF(A66&gt;TODAY(),"",IF(OR(N('Daily Tracking'!I66)&gt;0,'Daily Tracking'!J66="Yes"),1,0))</f>
        <v/>
      </c>
      <c r="G66" s="230" t="str">
        <f ca="1">IF(A66&gt;TODAY(),"",IF(N('Daily Tracking'!K66)&gt;=Settings!$B$15,1,0))</f>
        <v/>
      </c>
      <c r="H66" s="231" t="str">
        <f ca="1">IF(B66="","",AVERAGE(B66:G66))</f>
        <v/>
      </c>
      <c r="I66" s="136" t="str">
        <f ca="1">IF(B66="","",IF(B66=1,N(I65)+1,0))</f>
        <v/>
      </c>
      <c r="J66" s="232"/>
      <c r="K66" s="232"/>
      <c r="L66" s="232"/>
      <c r="M66" s="232"/>
    </row>
    <row r="67" spans="1:13" ht="18" customHeight="1" x14ac:dyDescent="0.3">
      <c r="A67" s="132">
        <f>'Daily Tracking'!A67</f>
        <v>46339</v>
      </c>
      <c r="B67" s="230" t="str">
        <f ca="1">IF(A67&gt;TODAY(),"",IF('Daily Tracking'!B67&lt;&gt;"",1,0))</f>
        <v/>
      </c>
      <c r="C67" s="230" t="str">
        <f ca="1">IF(A67&gt;TODAY(),"",IF('Daily Tracking'!E67&lt;&gt;"",1,0))</f>
        <v/>
      </c>
      <c r="D67" s="230" t="str">
        <f ca="1">IF(A67&gt;TODAY(),"",IF(N('Daily Tracking'!G67)&gt;=Settings!$B$13,1,0))</f>
        <v/>
      </c>
      <c r="E67" s="230" t="str">
        <f ca="1">IF(A67&gt;TODAY(),"",IF(N('Daily Tracking'!H67)&gt;=Settings!$B$14,1,0))</f>
        <v/>
      </c>
      <c r="F67" s="230" t="str">
        <f ca="1">IF(A67&gt;TODAY(),"",IF(OR(N('Daily Tracking'!I67)&gt;0,'Daily Tracking'!J67="Yes"),1,0))</f>
        <v/>
      </c>
      <c r="G67" s="230" t="str">
        <f ca="1">IF(A67&gt;TODAY(),"",IF(N('Daily Tracking'!K67)&gt;=Settings!$B$15,1,0))</f>
        <v/>
      </c>
      <c r="H67" s="231" t="str">
        <f ca="1">IF(B67="","",AVERAGE(B67:G67))</f>
        <v/>
      </c>
      <c r="I67" s="136" t="str">
        <f ca="1">IF(B67="","",IF(B67=1,N(I66)+1,0))</f>
        <v/>
      </c>
      <c r="J67" s="232"/>
      <c r="K67" s="232"/>
      <c r="L67" s="232"/>
      <c r="M67" s="232"/>
    </row>
    <row r="68" spans="1:13" ht="18" customHeight="1" x14ac:dyDescent="0.3">
      <c r="A68" s="132">
        <f>'Daily Tracking'!A68</f>
        <v>46340</v>
      </c>
      <c r="B68" s="230" t="str">
        <f ca="1">IF(A68&gt;TODAY(),"",IF('Daily Tracking'!B68&lt;&gt;"",1,0))</f>
        <v/>
      </c>
      <c r="C68" s="230" t="str">
        <f ca="1">IF(A68&gt;TODAY(),"",IF('Daily Tracking'!E68&lt;&gt;"",1,0))</f>
        <v/>
      </c>
      <c r="D68" s="230" t="str">
        <f ca="1">IF(A68&gt;TODAY(),"",IF(N('Daily Tracking'!G68)&gt;=Settings!$B$13,1,0))</f>
        <v/>
      </c>
      <c r="E68" s="230" t="str">
        <f ca="1">IF(A68&gt;TODAY(),"",IF(N('Daily Tracking'!H68)&gt;=Settings!$B$14,1,0))</f>
        <v/>
      </c>
      <c r="F68" s="230" t="str">
        <f ca="1">IF(A68&gt;TODAY(),"",IF(OR(N('Daily Tracking'!I68)&gt;0,'Daily Tracking'!J68="Yes"),1,0))</f>
        <v/>
      </c>
      <c r="G68" s="230" t="str">
        <f ca="1">IF(A68&gt;TODAY(),"",IF(N('Daily Tracking'!K68)&gt;=Settings!$B$15,1,0))</f>
        <v/>
      </c>
      <c r="H68" s="231" t="str">
        <f ca="1">IF(B68="","",AVERAGE(B68:G68))</f>
        <v/>
      </c>
      <c r="I68" s="136" t="str">
        <f ca="1">IF(B68="","",IF(B68=1,N(I67)+1,0))</f>
        <v/>
      </c>
      <c r="J68" s="232"/>
      <c r="K68" s="232"/>
      <c r="L68" s="232"/>
      <c r="M68" s="232"/>
    </row>
    <row r="69" spans="1:13" ht="18" customHeight="1" x14ac:dyDescent="0.3">
      <c r="A69" s="132">
        <f>'Daily Tracking'!A69</f>
        <v>46341</v>
      </c>
      <c r="B69" s="230" t="str">
        <f ca="1">IF(A69&gt;TODAY(),"",IF('Daily Tracking'!B69&lt;&gt;"",1,0))</f>
        <v/>
      </c>
      <c r="C69" s="230" t="str">
        <f ca="1">IF(A69&gt;TODAY(),"",IF('Daily Tracking'!E69&lt;&gt;"",1,0))</f>
        <v/>
      </c>
      <c r="D69" s="230" t="str">
        <f ca="1">IF(A69&gt;TODAY(),"",IF(N('Daily Tracking'!G69)&gt;=Settings!$B$13,1,0))</f>
        <v/>
      </c>
      <c r="E69" s="230" t="str">
        <f ca="1">IF(A69&gt;TODAY(),"",IF(N('Daily Tracking'!H69)&gt;=Settings!$B$14,1,0))</f>
        <v/>
      </c>
      <c r="F69" s="230" t="str">
        <f ca="1">IF(A69&gt;TODAY(),"",IF(OR(N('Daily Tracking'!I69)&gt;0,'Daily Tracking'!J69="Yes"),1,0))</f>
        <v/>
      </c>
      <c r="G69" s="230" t="str">
        <f ca="1">IF(A69&gt;TODAY(),"",IF(N('Daily Tracking'!K69)&gt;=Settings!$B$15,1,0))</f>
        <v/>
      </c>
      <c r="H69" s="231" t="str">
        <f ca="1">IF(B69="","",AVERAGE(B69:G69))</f>
        <v/>
      </c>
      <c r="I69" s="136" t="str">
        <f ca="1">IF(B69="","",IF(B69=1,N(I68)+1,0))</f>
        <v/>
      </c>
      <c r="J69" s="232"/>
      <c r="K69" s="232"/>
      <c r="L69" s="232"/>
      <c r="M69" s="232"/>
    </row>
    <row r="70" spans="1:13" ht="18" customHeight="1" x14ac:dyDescent="0.3">
      <c r="A70" s="132">
        <f>'Daily Tracking'!A70</f>
        <v>46342</v>
      </c>
      <c r="B70" s="230" t="str">
        <f ca="1">IF(A70&gt;TODAY(),"",IF('Daily Tracking'!B70&lt;&gt;"",1,0))</f>
        <v/>
      </c>
      <c r="C70" s="230" t="str">
        <f ca="1">IF(A70&gt;TODAY(),"",IF('Daily Tracking'!E70&lt;&gt;"",1,0))</f>
        <v/>
      </c>
      <c r="D70" s="230" t="str">
        <f ca="1">IF(A70&gt;TODAY(),"",IF(N('Daily Tracking'!G70)&gt;=Settings!$B$13,1,0))</f>
        <v/>
      </c>
      <c r="E70" s="230" t="str">
        <f ca="1">IF(A70&gt;TODAY(),"",IF(N('Daily Tracking'!H70)&gt;=Settings!$B$14,1,0))</f>
        <v/>
      </c>
      <c r="F70" s="230" t="str">
        <f ca="1">IF(A70&gt;TODAY(),"",IF(OR(N('Daily Tracking'!I70)&gt;0,'Daily Tracking'!J70="Yes"),1,0))</f>
        <v/>
      </c>
      <c r="G70" s="230" t="str">
        <f ca="1">IF(A70&gt;TODAY(),"",IF(N('Daily Tracking'!K70)&gt;=Settings!$B$15,1,0))</f>
        <v/>
      </c>
      <c r="H70" s="231" t="str">
        <f ca="1">IF(B70="","",AVERAGE(B70:G70))</f>
        <v/>
      </c>
      <c r="I70" s="136" t="str">
        <f ca="1">IF(B70="","",IF(B70=1,N(I69)+1,0))</f>
        <v/>
      </c>
      <c r="J70" s="232"/>
      <c r="K70" s="232"/>
      <c r="L70" s="232"/>
      <c r="M70" s="232"/>
    </row>
    <row r="71" spans="1:13" ht="18" customHeight="1" x14ac:dyDescent="0.3">
      <c r="A71" s="132">
        <f>'Daily Tracking'!A71</f>
        <v>46343</v>
      </c>
      <c r="B71" s="230" t="str">
        <f ca="1">IF(A71&gt;TODAY(),"",IF('Daily Tracking'!B71&lt;&gt;"",1,0))</f>
        <v/>
      </c>
      <c r="C71" s="230" t="str">
        <f ca="1">IF(A71&gt;TODAY(),"",IF('Daily Tracking'!E71&lt;&gt;"",1,0))</f>
        <v/>
      </c>
      <c r="D71" s="230" t="str">
        <f ca="1">IF(A71&gt;TODAY(),"",IF(N('Daily Tracking'!G71)&gt;=Settings!$B$13,1,0))</f>
        <v/>
      </c>
      <c r="E71" s="230" t="str">
        <f ca="1">IF(A71&gt;TODAY(),"",IF(N('Daily Tracking'!H71)&gt;=Settings!$B$14,1,0))</f>
        <v/>
      </c>
      <c r="F71" s="230" t="str">
        <f ca="1">IF(A71&gt;TODAY(),"",IF(OR(N('Daily Tracking'!I71)&gt;0,'Daily Tracking'!J71="Yes"),1,0))</f>
        <v/>
      </c>
      <c r="G71" s="230" t="str">
        <f ca="1">IF(A71&gt;TODAY(),"",IF(N('Daily Tracking'!K71)&gt;=Settings!$B$15,1,0))</f>
        <v/>
      </c>
      <c r="H71" s="231" t="str">
        <f ca="1">IF(B71="","",AVERAGE(B71:G71))</f>
        <v/>
      </c>
      <c r="I71" s="136" t="str">
        <f ca="1">IF(B71="","",IF(B71=1,N(I70)+1,0))</f>
        <v/>
      </c>
      <c r="J71" s="232"/>
      <c r="K71" s="232"/>
      <c r="L71" s="232"/>
      <c r="M71" s="232"/>
    </row>
    <row r="72" spans="1:13" ht="18" customHeight="1" x14ac:dyDescent="0.3">
      <c r="A72" s="132">
        <f>'Daily Tracking'!A72</f>
        <v>46344</v>
      </c>
      <c r="B72" s="230" t="str">
        <f ca="1">IF(A72&gt;TODAY(),"",IF('Daily Tracking'!B72&lt;&gt;"",1,0))</f>
        <v/>
      </c>
      <c r="C72" s="230" t="str">
        <f ca="1">IF(A72&gt;TODAY(),"",IF('Daily Tracking'!E72&lt;&gt;"",1,0))</f>
        <v/>
      </c>
      <c r="D72" s="230" t="str">
        <f ca="1">IF(A72&gt;TODAY(),"",IF(N('Daily Tracking'!G72)&gt;=Settings!$B$13,1,0))</f>
        <v/>
      </c>
      <c r="E72" s="230" t="str">
        <f ca="1">IF(A72&gt;TODAY(),"",IF(N('Daily Tracking'!H72)&gt;=Settings!$B$14,1,0))</f>
        <v/>
      </c>
      <c r="F72" s="230" t="str">
        <f ca="1">IF(A72&gt;TODAY(),"",IF(OR(N('Daily Tracking'!I72)&gt;0,'Daily Tracking'!J72="Yes"),1,0))</f>
        <v/>
      </c>
      <c r="G72" s="230" t="str">
        <f ca="1">IF(A72&gt;TODAY(),"",IF(N('Daily Tracking'!K72)&gt;=Settings!$B$15,1,0))</f>
        <v/>
      </c>
      <c r="H72" s="231" t="str">
        <f ca="1">IF(B72="","",AVERAGE(B72:G72))</f>
        <v/>
      </c>
      <c r="I72" s="136" t="str">
        <f ca="1">IF(B72="","",IF(B72=1,N(I71)+1,0))</f>
        <v/>
      </c>
      <c r="J72" s="232"/>
      <c r="K72" s="232"/>
      <c r="L72" s="232"/>
      <c r="M72" s="232"/>
    </row>
    <row r="73" spans="1:13" ht="18" customHeight="1" x14ac:dyDescent="0.3">
      <c r="A73" s="132">
        <f>'Daily Tracking'!A73</f>
        <v>46345</v>
      </c>
      <c r="B73" s="230" t="str">
        <f ca="1">IF(A73&gt;TODAY(),"",IF('Daily Tracking'!B73&lt;&gt;"",1,0))</f>
        <v/>
      </c>
      <c r="C73" s="230" t="str">
        <f ca="1">IF(A73&gt;TODAY(),"",IF('Daily Tracking'!E73&lt;&gt;"",1,0))</f>
        <v/>
      </c>
      <c r="D73" s="230" t="str">
        <f ca="1">IF(A73&gt;TODAY(),"",IF(N('Daily Tracking'!G73)&gt;=Settings!$B$13,1,0))</f>
        <v/>
      </c>
      <c r="E73" s="230" t="str">
        <f ca="1">IF(A73&gt;TODAY(),"",IF(N('Daily Tracking'!H73)&gt;=Settings!$B$14,1,0))</f>
        <v/>
      </c>
      <c r="F73" s="230" t="str">
        <f ca="1">IF(A73&gt;TODAY(),"",IF(OR(N('Daily Tracking'!I73)&gt;0,'Daily Tracking'!J73="Yes"),1,0))</f>
        <v/>
      </c>
      <c r="G73" s="230" t="str">
        <f ca="1">IF(A73&gt;TODAY(),"",IF(N('Daily Tracking'!K73)&gt;=Settings!$B$15,1,0))</f>
        <v/>
      </c>
      <c r="H73" s="231" t="str">
        <f ca="1">IF(B73="","",AVERAGE(B73:G73))</f>
        <v/>
      </c>
      <c r="I73" s="136" t="str">
        <f ca="1">IF(B73="","",IF(B73=1,N(I72)+1,0))</f>
        <v/>
      </c>
      <c r="J73" s="232"/>
      <c r="K73" s="232"/>
      <c r="L73" s="232"/>
      <c r="M73" s="232"/>
    </row>
    <row r="74" spans="1:13" ht="18" customHeight="1" x14ac:dyDescent="0.3">
      <c r="A74" s="132">
        <f>'Daily Tracking'!A74</f>
        <v>46346</v>
      </c>
      <c r="B74" s="230" t="str">
        <f ca="1">IF(A74&gt;TODAY(),"",IF('Daily Tracking'!B74&lt;&gt;"",1,0))</f>
        <v/>
      </c>
      <c r="C74" s="230" t="str">
        <f ca="1">IF(A74&gt;TODAY(),"",IF('Daily Tracking'!E74&lt;&gt;"",1,0))</f>
        <v/>
      </c>
      <c r="D74" s="230" t="str">
        <f ca="1">IF(A74&gt;TODAY(),"",IF(N('Daily Tracking'!G74)&gt;=Settings!$B$13,1,0))</f>
        <v/>
      </c>
      <c r="E74" s="230" t="str">
        <f ca="1">IF(A74&gt;TODAY(),"",IF(N('Daily Tracking'!H74)&gt;=Settings!$B$14,1,0))</f>
        <v/>
      </c>
      <c r="F74" s="230" t="str">
        <f ca="1">IF(A74&gt;TODAY(),"",IF(OR(N('Daily Tracking'!I74)&gt;0,'Daily Tracking'!J74="Yes"),1,0))</f>
        <v/>
      </c>
      <c r="G74" s="230" t="str">
        <f ca="1">IF(A74&gt;TODAY(),"",IF(N('Daily Tracking'!K74)&gt;=Settings!$B$15,1,0))</f>
        <v/>
      </c>
      <c r="H74" s="231" t="str">
        <f ca="1">IF(B74="","",AVERAGE(B74:G74))</f>
        <v/>
      </c>
      <c r="I74" s="136" t="str">
        <f ca="1">IF(B74="","",IF(B74=1,N(I73)+1,0))</f>
        <v/>
      </c>
      <c r="J74" s="232"/>
      <c r="K74" s="232"/>
      <c r="L74" s="232"/>
      <c r="M74" s="232"/>
    </row>
    <row r="75" spans="1:13" ht="18" customHeight="1" x14ac:dyDescent="0.3">
      <c r="A75" s="132">
        <f>'Daily Tracking'!A75</f>
        <v>46347</v>
      </c>
      <c r="B75" s="230" t="str">
        <f ca="1">IF(A75&gt;TODAY(),"",IF('Daily Tracking'!B75&lt;&gt;"",1,0))</f>
        <v/>
      </c>
      <c r="C75" s="230" t="str">
        <f ca="1">IF(A75&gt;TODAY(),"",IF('Daily Tracking'!E75&lt;&gt;"",1,0))</f>
        <v/>
      </c>
      <c r="D75" s="230" t="str">
        <f ca="1">IF(A75&gt;TODAY(),"",IF(N('Daily Tracking'!G75)&gt;=Settings!$B$13,1,0))</f>
        <v/>
      </c>
      <c r="E75" s="230" t="str">
        <f ca="1">IF(A75&gt;TODAY(),"",IF(N('Daily Tracking'!H75)&gt;=Settings!$B$14,1,0))</f>
        <v/>
      </c>
      <c r="F75" s="230" t="str">
        <f ca="1">IF(A75&gt;TODAY(),"",IF(OR(N('Daily Tracking'!I75)&gt;0,'Daily Tracking'!J75="Yes"),1,0))</f>
        <v/>
      </c>
      <c r="G75" s="230" t="str">
        <f ca="1">IF(A75&gt;TODAY(),"",IF(N('Daily Tracking'!K75)&gt;=Settings!$B$15,1,0))</f>
        <v/>
      </c>
      <c r="H75" s="231" t="str">
        <f ca="1">IF(B75="","",AVERAGE(B75:G75))</f>
        <v/>
      </c>
      <c r="I75" s="136" t="str">
        <f ca="1">IF(B75="","",IF(B75=1,N(I74)+1,0))</f>
        <v/>
      </c>
      <c r="J75" s="232"/>
      <c r="K75" s="232"/>
      <c r="L75" s="232"/>
      <c r="M75" s="232"/>
    </row>
    <row r="76" spans="1:13" ht="18" customHeight="1" x14ac:dyDescent="0.3">
      <c r="A76" s="132">
        <f>'Daily Tracking'!A76</f>
        <v>46348</v>
      </c>
      <c r="B76" s="230" t="str">
        <f ca="1">IF(A76&gt;TODAY(),"",IF('Daily Tracking'!B76&lt;&gt;"",1,0))</f>
        <v/>
      </c>
      <c r="C76" s="230" t="str">
        <f ca="1">IF(A76&gt;TODAY(),"",IF('Daily Tracking'!E76&lt;&gt;"",1,0))</f>
        <v/>
      </c>
      <c r="D76" s="230" t="str">
        <f ca="1">IF(A76&gt;TODAY(),"",IF(N('Daily Tracking'!G76)&gt;=Settings!$B$13,1,0))</f>
        <v/>
      </c>
      <c r="E76" s="230" t="str">
        <f ca="1">IF(A76&gt;TODAY(),"",IF(N('Daily Tracking'!H76)&gt;=Settings!$B$14,1,0))</f>
        <v/>
      </c>
      <c r="F76" s="230" t="str">
        <f ca="1">IF(A76&gt;TODAY(),"",IF(OR(N('Daily Tracking'!I76)&gt;0,'Daily Tracking'!J76="Yes"),1,0))</f>
        <v/>
      </c>
      <c r="G76" s="230" t="str">
        <f ca="1">IF(A76&gt;TODAY(),"",IF(N('Daily Tracking'!K76)&gt;=Settings!$B$15,1,0))</f>
        <v/>
      </c>
      <c r="H76" s="231" t="str">
        <f ca="1">IF(B76="","",AVERAGE(B76:G76))</f>
        <v/>
      </c>
      <c r="I76" s="136" t="str">
        <f ca="1">IF(B76="","",IF(B76=1,N(I75)+1,0))</f>
        <v/>
      </c>
      <c r="J76" s="232"/>
      <c r="K76" s="232"/>
      <c r="L76" s="232"/>
      <c r="M76" s="232"/>
    </row>
    <row r="77" spans="1:13" ht="18" customHeight="1" x14ac:dyDescent="0.3">
      <c r="A77" s="132">
        <f>'Daily Tracking'!A77</f>
        <v>46349</v>
      </c>
      <c r="B77" s="230" t="str">
        <f ca="1">IF(A77&gt;TODAY(),"",IF('Daily Tracking'!B77&lt;&gt;"",1,0))</f>
        <v/>
      </c>
      <c r="C77" s="230" t="str">
        <f ca="1">IF(A77&gt;TODAY(),"",IF('Daily Tracking'!E77&lt;&gt;"",1,0))</f>
        <v/>
      </c>
      <c r="D77" s="230" t="str">
        <f ca="1">IF(A77&gt;TODAY(),"",IF(N('Daily Tracking'!G77)&gt;=Settings!$B$13,1,0))</f>
        <v/>
      </c>
      <c r="E77" s="230" t="str">
        <f ca="1">IF(A77&gt;TODAY(),"",IF(N('Daily Tracking'!H77)&gt;=Settings!$B$14,1,0))</f>
        <v/>
      </c>
      <c r="F77" s="230" t="str">
        <f ca="1">IF(A77&gt;TODAY(),"",IF(OR(N('Daily Tracking'!I77)&gt;0,'Daily Tracking'!J77="Yes"),1,0))</f>
        <v/>
      </c>
      <c r="G77" s="230" t="str">
        <f ca="1">IF(A77&gt;TODAY(),"",IF(N('Daily Tracking'!K77)&gt;=Settings!$B$15,1,0))</f>
        <v/>
      </c>
      <c r="H77" s="231" t="str">
        <f ca="1">IF(B77="","",AVERAGE(B77:G77))</f>
        <v/>
      </c>
      <c r="I77" s="136" t="str">
        <f ca="1">IF(B77="","",IF(B77=1,N(I76)+1,0))</f>
        <v/>
      </c>
      <c r="J77" s="232"/>
      <c r="K77" s="232"/>
      <c r="L77" s="232"/>
      <c r="M77" s="232"/>
    </row>
    <row r="78" spans="1:13" ht="18" customHeight="1" x14ac:dyDescent="0.3">
      <c r="A78" s="132">
        <f>'Daily Tracking'!A78</f>
        <v>46350</v>
      </c>
      <c r="B78" s="230" t="str">
        <f ca="1">IF(A78&gt;TODAY(),"",IF('Daily Tracking'!B78&lt;&gt;"",1,0))</f>
        <v/>
      </c>
      <c r="C78" s="230" t="str">
        <f ca="1">IF(A78&gt;TODAY(),"",IF('Daily Tracking'!E78&lt;&gt;"",1,0))</f>
        <v/>
      </c>
      <c r="D78" s="230" t="str">
        <f ca="1">IF(A78&gt;TODAY(),"",IF(N('Daily Tracking'!G78)&gt;=Settings!$B$13,1,0))</f>
        <v/>
      </c>
      <c r="E78" s="230" t="str">
        <f ca="1">IF(A78&gt;TODAY(),"",IF(N('Daily Tracking'!H78)&gt;=Settings!$B$14,1,0))</f>
        <v/>
      </c>
      <c r="F78" s="230" t="str">
        <f ca="1">IF(A78&gt;TODAY(),"",IF(OR(N('Daily Tracking'!I78)&gt;0,'Daily Tracking'!J78="Yes"),1,0))</f>
        <v/>
      </c>
      <c r="G78" s="230" t="str">
        <f ca="1">IF(A78&gt;TODAY(),"",IF(N('Daily Tracking'!K78)&gt;=Settings!$B$15,1,0))</f>
        <v/>
      </c>
      <c r="H78" s="231" t="str">
        <f ca="1">IF(B78="","",AVERAGE(B78:G78))</f>
        <v/>
      </c>
      <c r="I78" s="136" t="str">
        <f ca="1">IF(B78="","",IF(B78=1,N(I77)+1,0))</f>
        <v/>
      </c>
      <c r="J78" s="232"/>
      <c r="K78" s="232"/>
      <c r="L78" s="232"/>
      <c r="M78" s="232"/>
    </row>
    <row r="79" spans="1:13" ht="18" customHeight="1" x14ac:dyDescent="0.3">
      <c r="A79" s="132">
        <f>'Daily Tracking'!A79</f>
        <v>46351</v>
      </c>
      <c r="B79" s="230" t="str">
        <f ca="1">IF(A79&gt;TODAY(),"",IF('Daily Tracking'!B79&lt;&gt;"",1,0))</f>
        <v/>
      </c>
      <c r="C79" s="230" t="str">
        <f ca="1">IF(A79&gt;TODAY(),"",IF('Daily Tracking'!E79&lt;&gt;"",1,0))</f>
        <v/>
      </c>
      <c r="D79" s="230" t="str">
        <f ca="1">IF(A79&gt;TODAY(),"",IF(N('Daily Tracking'!G79)&gt;=Settings!$B$13,1,0))</f>
        <v/>
      </c>
      <c r="E79" s="230" t="str">
        <f ca="1">IF(A79&gt;TODAY(),"",IF(N('Daily Tracking'!H79)&gt;=Settings!$B$14,1,0))</f>
        <v/>
      </c>
      <c r="F79" s="230" t="str">
        <f ca="1">IF(A79&gt;TODAY(),"",IF(OR(N('Daily Tracking'!I79)&gt;0,'Daily Tracking'!J79="Yes"),1,0))</f>
        <v/>
      </c>
      <c r="G79" s="230" t="str">
        <f ca="1">IF(A79&gt;TODAY(),"",IF(N('Daily Tracking'!K79)&gt;=Settings!$B$15,1,0))</f>
        <v/>
      </c>
      <c r="H79" s="231" t="str">
        <f ca="1">IF(B79="","",AVERAGE(B79:G79))</f>
        <v/>
      </c>
      <c r="I79" s="136" t="str">
        <f ca="1">IF(B79="","",IF(B79=1,N(I78)+1,0))</f>
        <v/>
      </c>
      <c r="J79" s="232"/>
      <c r="K79" s="232"/>
      <c r="L79" s="232"/>
      <c r="M79" s="232"/>
    </row>
    <row r="80" spans="1:13" ht="18" customHeight="1" x14ac:dyDescent="0.3">
      <c r="A80" s="132">
        <f>'Daily Tracking'!A80</f>
        <v>46352</v>
      </c>
      <c r="B80" s="230" t="str">
        <f ca="1">IF(A80&gt;TODAY(),"",IF('Daily Tracking'!B80&lt;&gt;"",1,0))</f>
        <v/>
      </c>
      <c r="C80" s="230" t="str">
        <f ca="1">IF(A80&gt;TODAY(),"",IF('Daily Tracking'!E80&lt;&gt;"",1,0))</f>
        <v/>
      </c>
      <c r="D80" s="230" t="str">
        <f ca="1">IF(A80&gt;TODAY(),"",IF(N('Daily Tracking'!G80)&gt;=Settings!$B$13,1,0))</f>
        <v/>
      </c>
      <c r="E80" s="230" t="str">
        <f ca="1">IF(A80&gt;TODAY(),"",IF(N('Daily Tracking'!H80)&gt;=Settings!$B$14,1,0))</f>
        <v/>
      </c>
      <c r="F80" s="230" t="str">
        <f ca="1">IF(A80&gt;TODAY(),"",IF(OR(N('Daily Tracking'!I80)&gt;0,'Daily Tracking'!J80="Yes"),1,0))</f>
        <v/>
      </c>
      <c r="G80" s="230" t="str">
        <f ca="1">IF(A80&gt;TODAY(),"",IF(N('Daily Tracking'!K80)&gt;=Settings!$B$15,1,0))</f>
        <v/>
      </c>
      <c r="H80" s="231" t="str">
        <f ca="1">IF(B80="","",AVERAGE(B80:G80))</f>
        <v/>
      </c>
      <c r="I80" s="136" t="str">
        <f ca="1">IF(B80="","",IF(B80=1,N(I79)+1,0))</f>
        <v/>
      </c>
      <c r="J80" s="232"/>
      <c r="K80" s="232"/>
      <c r="L80" s="232"/>
      <c r="M80" s="232"/>
    </row>
    <row r="81" spans="1:13" ht="18" customHeight="1" x14ac:dyDescent="0.3">
      <c r="A81" s="132">
        <f>'Daily Tracking'!A81</f>
        <v>46353</v>
      </c>
      <c r="B81" s="230" t="str">
        <f ca="1">IF(A81&gt;TODAY(),"",IF('Daily Tracking'!B81&lt;&gt;"",1,0))</f>
        <v/>
      </c>
      <c r="C81" s="230" t="str">
        <f ca="1">IF(A81&gt;TODAY(),"",IF('Daily Tracking'!E81&lt;&gt;"",1,0))</f>
        <v/>
      </c>
      <c r="D81" s="230" t="str">
        <f ca="1">IF(A81&gt;TODAY(),"",IF(N('Daily Tracking'!G81)&gt;=Settings!$B$13,1,0))</f>
        <v/>
      </c>
      <c r="E81" s="230" t="str">
        <f ca="1">IF(A81&gt;TODAY(),"",IF(N('Daily Tracking'!H81)&gt;=Settings!$B$14,1,0))</f>
        <v/>
      </c>
      <c r="F81" s="230" t="str">
        <f ca="1">IF(A81&gt;TODAY(),"",IF(OR(N('Daily Tracking'!I81)&gt;0,'Daily Tracking'!J81="Yes"),1,0))</f>
        <v/>
      </c>
      <c r="G81" s="230" t="str">
        <f ca="1">IF(A81&gt;TODAY(),"",IF(N('Daily Tracking'!K81)&gt;=Settings!$B$15,1,0))</f>
        <v/>
      </c>
      <c r="H81" s="231" t="str">
        <f ca="1">IF(B81="","",AVERAGE(B81:G81))</f>
        <v/>
      </c>
      <c r="I81" s="136" t="str">
        <f ca="1">IF(B81="","",IF(B81=1,N(I80)+1,0))</f>
        <v/>
      </c>
      <c r="J81" s="232"/>
      <c r="K81" s="232"/>
      <c r="L81" s="232"/>
      <c r="M81" s="232"/>
    </row>
    <row r="82" spans="1:13" ht="18" customHeight="1" x14ac:dyDescent="0.3">
      <c r="A82" s="132">
        <f>'Daily Tracking'!A82</f>
        <v>46354</v>
      </c>
      <c r="B82" s="230" t="str">
        <f ca="1">IF(A82&gt;TODAY(),"",IF('Daily Tracking'!B82&lt;&gt;"",1,0))</f>
        <v/>
      </c>
      <c r="C82" s="230" t="str">
        <f ca="1">IF(A82&gt;TODAY(),"",IF('Daily Tracking'!E82&lt;&gt;"",1,0))</f>
        <v/>
      </c>
      <c r="D82" s="230" t="str">
        <f ca="1">IF(A82&gt;TODAY(),"",IF(N('Daily Tracking'!G82)&gt;=Settings!$B$13,1,0))</f>
        <v/>
      </c>
      <c r="E82" s="230" t="str">
        <f ca="1">IF(A82&gt;TODAY(),"",IF(N('Daily Tracking'!H82)&gt;=Settings!$B$14,1,0))</f>
        <v/>
      </c>
      <c r="F82" s="230" t="str">
        <f ca="1">IF(A82&gt;TODAY(),"",IF(OR(N('Daily Tracking'!I82)&gt;0,'Daily Tracking'!J82="Yes"),1,0))</f>
        <v/>
      </c>
      <c r="G82" s="230" t="str">
        <f ca="1">IF(A82&gt;TODAY(),"",IF(N('Daily Tracking'!K82)&gt;=Settings!$B$15,1,0))</f>
        <v/>
      </c>
      <c r="H82" s="231" t="str">
        <f ca="1">IF(B82="","",AVERAGE(B82:G82))</f>
        <v/>
      </c>
      <c r="I82" s="136" t="str">
        <f ca="1">IF(B82="","",IF(B82=1,N(I81)+1,0))</f>
        <v/>
      </c>
      <c r="J82" s="232"/>
      <c r="K82" s="232"/>
      <c r="L82" s="232"/>
      <c r="M82" s="232"/>
    </row>
    <row r="83" spans="1:13" ht="18" customHeight="1" x14ac:dyDescent="0.3">
      <c r="A83" s="132">
        <f>'Daily Tracking'!A83</f>
        <v>46355</v>
      </c>
      <c r="B83" s="230" t="str">
        <f ca="1">IF(A83&gt;TODAY(),"",IF('Daily Tracking'!B83&lt;&gt;"",1,0))</f>
        <v/>
      </c>
      <c r="C83" s="230" t="str">
        <f ca="1">IF(A83&gt;TODAY(),"",IF('Daily Tracking'!E83&lt;&gt;"",1,0))</f>
        <v/>
      </c>
      <c r="D83" s="230" t="str">
        <f ca="1">IF(A83&gt;TODAY(),"",IF(N('Daily Tracking'!G83)&gt;=Settings!$B$13,1,0))</f>
        <v/>
      </c>
      <c r="E83" s="230" t="str">
        <f ca="1">IF(A83&gt;TODAY(),"",IF(N('Daily Tracking'!H83)&gt;=Settings!$B$14,1,0))</f>
        <v/>
      </c>
      <c r="F83" s="230" t="str">
        <f ca="1">IF(A83&gt;TODAY(),"",IF(OR(N('Daily Tracking'!I83)&gt;0,'Daily Tracking'!J83="Yes"),1,0))</f>
        <v/>
      </c>
      <c r="G83" s="230" t="str">
        <f ca="1">IF(A83&gt;TODAY(),"",IF(N('Daily Tracking'!K83)&gt;=Settings!$B$15,1,0))</f>
        <v/>
      </c>
      <c r="H83" s="231" t="str">
        <f ca="1">IF(B83="","",AVERAGE(B83:G83))</f>
        <v/>
      </c>
      <c r="I83" s="136" t="str">
        <f ca="1">IF(B83="","",IF(B83=1,N(I82)+1,0))</f>
        <v/>
      </c>
      <c r="J83" s="232"/>
      <c r="K83" s="232"/>
      <c r="L83" s="232"/>
      <c r="M83" s="232"/>
    </row>
    <row r="84" spans="1:13" ht="18" customHeight="1" x14ac:dyDescent="0.3">
      <c r="A84" s="132">
        <f>'Daily Tracking'!A84</f>
        <v>46356</v>
      </c>
      <c r="B84" s="230" t="str">
        <f ca="1">IF(A84&gt;TODAY(),"",IF('Daily Tracking'!B84&lt;&gt;"",1,0))</f>
        <v/>
      </c>
      <c r="C84" s="230" t="str">
        <f ca="1">IF(A84&gt;TODAY(),"",IF('Daily Tracking'!E84&lt;&gt;"",1,0))</f>
        <v/>
      </c>
      <c r="D84" s="230" t="str">
        <f ca="1">IF(A84&gt;TODAY(),"",IF(N('Daily Tracking'!G84)&gt;=Settings!$B$13,1,0))</f>
        <v/>
      </c>
      <c r="E84" s="230" t="str">
        <f ca="1">IF(A84&gt;TODAY(),"",IF(N('Daily Tracking'!H84)&gt;=Settings!$B$14,1,0))</f>
        <v/>
      </c>
      <c r="F84" s="230" t="str">
        <f ca="1">IF(A84&gt;TODAY(),"",IF(OR(N('Daily Tracking'!I84)&gt;0,'Daily Tracking'!J84="Yes"),1,0))</f>
        <v/>
      </c>
      <c r="G84" s="230" t="str">
        <f ca="1">IF(A84&gt;TODAY(),"",IF(N('Daily Tracking'!K84)&gt;=Settings!$B$15,1,0))</f>
        <v/>
      </c>
      <c r="H84" s="231" t="str">
        <f ca="1">IF(B84="","",AVERAGE(B84:G84))</f>
        <v/>
      </c>
      <c r="I84" s="136" t="str">
        <f ca="1">IF(B84="","",IF(B84=1,N(I83)+1,0))</f>
        <v/>
      </c>
      <c r="J84" s="232"/>
      <c r="K84" s="232"/>
      <c r="L84" s="232"/>
      <c r="M84" s="232"/>
    </row>
    <row r="85" spans="1:13" ht="18" customHeight="1" x14ac:dyDescent="0.3">
      <c r="A85" s="132">
        <f>'Daily Tracking'!A85</f>
        <v>46357</v>
      </c>
      <c r="B85" s="230" t="str">
        <f ca="1">IF(A85&gt;TODAY(),"",IF('Daily Tracking'!B85&lt;&gt;"",1,0))</f>
        <v/>
      </c>
      <c r="C85" s="230" t="str">
        <f ca="1">IF(A85&gt;TODAY(),"",IF('Daily Tracking'!E85&lt;&gt;"",1,0))</f>
        <v/>
      </c>
      <c r="D85" s="230" t="str">
        <f ca="1">IF(A85&gt;TODAY(),"",IF(N('Daily Tracking'!G85)&gt;=Settings!$B$13,1,0))</f>
        <v/>
      </c>
      <c r="E85" s="230" t="str">
        <f ca="1">IF(A85&gt;TODAY(),"",IF(N('Daily Tracking'!H85)&gt;=Settings!$B$14,1,0))</f>
        <v/>
      </c>
      <c r="F85" s="230" t="str">
        <f ca="1">IF(A85&gt;TODAY(),"",IF(OR(N('Daily Tracking'!I85)&gt;0,'Daily Tracking'!J85="Yes"),1,0))</f>
        <v/>
      </c>
      <c r="G85" s="230" t="str">
        <f ca="1">IF(A85&gt;TODAY(),"",IF(N('Daily Tracking'!K85)&gt;=Settings!$B$15,1,0))</f>
        <v/>
      </c>
      <c r="H85" s="231" t="str">
        <f ca="1">IF(B85="","",AVERAGE(B85:G85))</f>
        <v/>
      </c>
      <c r="I85" s="136" t="str">
        <f ca="1">IF(B85="","",IF(B85=1,N(I84)+1,0))</f>
        <v/>
      </c>
      <c r="J85" s="232"/>
      <c r="K85" s="232"/>
      <c r="L85" s="232"/>
      <c r="M85" s="232"/>
    </row>
    <row r="86" spans="1:13" ht="18" customHeight="1" x14ac:dyDescent="0.3">
      <c r="A86" s="132">
        <f>'Daily Tracking'!A86</f>
        <v>46358</v>
      </c>
      <c r="B86" s="230" t="str">
        <f ca="1">IF(A86&gt;TODAY(),"",IF('Daily Tracking'!B86&lt;&gt;"",1,0))</f>
        <v/>
      </c>
      <c r="C86" s="230" t="str">
        <f ca="1">IF(A86&gt;TODAY(),"",IF('Daily Tracking'!E86&lt;&gt;"",1,0))</f>
        <v/>
      </c>
      <c r="D86" s="230" t="str">
        <f ca="1">IF(A86&gt;TODAY(),"",IF(N('Daily Tracking'!G86)&gt;=Settings!$B$13,1,0))</f>
        <v/>
      </c>
      <c r="E86" s="230" t="str">
        <f ca="1">IF(A86&gt;TODAY(),"",IF(N('Daily Tracking'!H86)&gt;=Settings!$B$14,1,0))</f>
        <v/>
      </c>
      <c r="F86" s="230" t="str">
        <f ca="1">IF(A86&gt;TODAY(),"",IF(OR(N('Daily Tracking'!I86)&gt;0,'Daily Tracking'!J86="Yes"),1,0))</f>
        <v/>
      </c>
      <c r="G86" s="230" t="str">
        <f ca="1">IF(A86&gt;TODAY(),"",IF(N('Daily Tracking'!K86)&gt;=Settings!$B$15,1,0))</f>
        <v/>
      </c>
      <c r="H86" s="231" t="str">
        <f ca="1">IF(B86="","",AVERAGE(B86:G86))</f>
        <v/>
      </c>
      <c r="I86" s="136" t="str">
        <f ca="1">IF(B86="","",IF(B86=1,N(I85)+1,0))</f>
        <v/>
      </c>
      <c r="J86" s="232"/>
      <c r="K86" s="232"/>
      <c r="L86" s="232"/>
      <c r="M86" s="232"/>
    </row>
    <row r="87" spans="1:13" ht="18" customHeight="1" x14ac:dyDescent="0.3">
      <c r="A87" s="132">
        <f>'Daily Tracking'!A87</f>
        <v>46359</v>
      </c>
      <c r="B87" s="230" t="str">
        <f ca="1">IF(A87&gt;TODAY(),"",IF('Daily Tracking'!B87&lt;&gt;"",1,0))</f>
        <v/>
      </c>
      <c r="C87" s="230" t="str">
        <f ca="1">IF(A87&gt;TODAY(),"",IF('Daily Tracking'!E87&lt;&gt;"",1,0))</f>
        <v/>
      </c>
      <c r="D87" s="230" t="str">
        <f ca="1">IF(A87&gt;TODAY(),"",IF(N('Daily Tracking'!G87)&gt;=Settings!$B$13,1,0))</f>
        <v/>
      </c>
      <c r="E87" s="230" t="str">
        <f ca="1">IF(A87&gt;TODAY(),"",IF(N('Daily Tracking'!H87)&gt;=Settings!$B$14,1,0))</f>
        <v/>
      </c>
      <c r="F87" s="230" t="str">
        <f ca="1">IF(A87&gt;TODAY(),"",IF(OR(N('Daily Tracking'!I87)&gt;0,'Daily Tracking'!J87="Yes"),1,0))</f>
        <v/>
      </c>
      <c r="G87" s="230" t="str">
        <f ca="1">IF(A87&gt;TODAY(),"",IF(N('Daily Tracking'!K87)&gt;=Settings!$B$15,1,0))</f>
        <v/>
      </c>
      <c r="H87" s="231" t="str">
        <f ca="1">IF(B87="","",AVERAGE(B87:G87))</f>
        <v/>
      </c>
      <c r="I87" s="136" t="str">
        <f ca="1">IF(B87="","",IF(B87=1,N(I86)+1,0))</f>
        <v/>
      </c>
      <c r="J87" s="232"/>
      <c r="K87" s="232"/>
      <c r="L87" s="232"/>
      <c r="M87" s="232"/>
    </row>
    <row r="88" spans="1:13" ht="18" customHeight="1" x14ac:dyDescent="0.3">
      <c r="A88" s="132">
        <f>'Daily Tracking'!A88</f>
        <v>46360</v>
      </c>
      <c r="B88" s="230" t="str">
        <f ca="1">IF(A88&gt;TODAY(),"",IF('Daily Tracking'!B88&lt;&gt;"",1,0))</f>
        <v/>
      </c>
      <c r="C88" s="230" t="str">
        <f ca="1">IF(A88&gt;TODAY(),"",IF('Daily Tracking'!E88&lt;&gt;"",1,0))</f>
        <v/>
      </c>
      <c r="D88" s="230" t="str">
        <f ca="1">IF(A88&gt;TODAY(),"",IF(N('Daily Tracking'!G88)&gt;=Settings!$B$13,1,0))</f>
        <v/>
      </c>
      <c r="E88" s="230" t="str">
        <f ca="1">IF(A88&gt;TODAY(),"",IF(N('Daily Tracking'!H88)&gt;=Settings!$B$14,1,0))</f>
        <v/>
      </c>
      <c r="F88" s="230" t="str">
        <f ca="1">IF(A88&gt;TODAY(),"",IF(OR(N('Daily Tracking'!I88)&gt;0,'Daily Tracking'!J88="Yes"),1,0))</f>
        <v/>
      </c>
      <c r="G88" s="230" t="str">
        <f ca="1">IF(A88&gt;TODAY(),"",IF(N('Daily Tracking'!K88)&gt;=Settings!$B$15,1,0))</f>
        <v/>
      </c>
      <c r="H88" s="231" t="str">
        <f ca="1">IF(B88="","",AVERAGE(B88:G88))</f>
        <v/>
      </c>
      <c r="I88" s="136" t="str">
        <f ca="1">IF(B88="","",IF(B88=1,N(I87)+1,0))</f>
        <v/>
      </c>
      <c r="J88" s="232"/>
      <c r="K88" s="232"/>
      <c r="L88" s="232"/>
      <c r="M88" s="232"/>
    </row>
    <row r="89" spans="1:13" ht="18" customHeight="1" x14ac:dyDescent="0.3">
      <c r="A89" s="132">
        <f>'Daily Tracking'!A89</f>
        <v>46361</v>
      </c>
      <c r="B89" s="230" t="str">
        <f ca="1">IF(A89&gt;TODAY(),"",IF('Daily Tracking'!B89&lt;&gt;"",1,0))</f>
        <v/>
      </c>
      <c r="C89" s="230" t="str">
        <f ca="1">IF(A89&gt;TODAY(),"",IF('Daily Tracking'!E89&lt;&gt;"",1,0))</f>
        <v/>
      </c>
      <c r="D89" s="230" t="str">
        <f ca="1">IF(A89&gt;TODAY(),"",IF(N('Daily Tracking'!G89)&gt;=Settings!$B$13,1,0))</f>
        <v/>
      </c>
      <c r="E89" s="230" t="str">
        <f ca="1">IF(A89&gt;TODAY(),"",IF(N('Daily Tracking'!H89)&gt;=Settings!$B$14,1,0))</f>
        <v/>
      </c>
      <c r="F89" s="230" t="str">
        <f ca="1">IF(A89&gt;TODAY(),"",IF(OR(N('Daily Tracking'!I89)&gt;0,'Daily Tracking'!J89="Yes"),1,0))</f>
        <v/>
      </c>
      <c r="G89" s="230" t="str">
        <f ca="1">IF(A89&gt;TODAY(),"",IF(N('Daily Tracking'!K89)&gt;=Settings!$B$15,1,0))</f>
        <v/>
      </c>
      <c r="H89" s="231" t="str">
        <f ca="1">IF(B89="","",AVERAGE(B89:G89))</f>
        <v/>
      </c>
      <c r="I89" s="136" t="str">
        <f ca="1">IF(B89="","",IF(B89=1,N(I88)+1,0))</f>
        <v/>
      </c>
      <c r="J89" s="232"/>
      <c r="K89" s="232"/>
      <c r="L89" s="232"/>
      <c r="M89" s="232"/>
    </row>
    <row r="90" spans="1:13" ht="18" customHeight="1" x14ac:dyDescent="0.3">
      <c r="A90" s="132">
        <f>'Daily Tracking'!A90</f>
        <v>46362</v>
      </c>
      <c r="B90" s="230" t="str">
        <f ca="1">IF(A90&gt;TODAY(),"",IF('Daily Tracking'!B90&lt;&gt;"",1,0))</f>
        <v/>
      </c>
      <c r="C90" s="230" t="str">
        <f ca="1">IF(A90&gt;TODAY(),"",IF('Daily Tracking'!E90&lt;&gt;"",1,0))</f>
        <v/>
      </c>
      <c r="D90" s="230" t="str">
        <f ca="1">IF(A90&gt;TODAY(),"",IF(N('Daily Tracking'!G90)&gt;=Settings!$B$13,1,0))</f>
        <v/>
      </c>
      <c r="E90" s="230" t="str">
        <f ca="1">IF(A90&gt;TODAY(),"",IF(N('Daily Tracking'!H90)&gt;=Settings!$B$14,1,0))</f>
        <v/>
      </c>
      <c r="F90" s="230" t="str">
        <f ca="1">IF(A90&gt;TODAY(),"",IF(OR(N('Daily Tracking'!I90)&gt;0,'Daily Tracking'!J90="Yes"),1,0))</f>
        <v/>
      </c>
      <c r="G90" s="230" t="str">
        <f ca="1">IF(A90&gt;TODAY(),"",IF(N('Daily Tracking'!K90)&gt;=Settings!$B$15,1,0))</f>
        <v/>
      </c>
      <c r="H90" s="231" t="str">
        <f ca="1">IF(B90="","",AVERAGE(B90:G90))</f>
        <v/>
      </c>
      <c r="I90" s="136" t="str">
        <f ca="1">IF(B90="","",IF(B90=1,N(I89)+1,0))</f>
        <v/>
      </c>
      <c r="J90" s="232"/>
      <c r="K90" s="232"/>
      <c r="L90" s="232"/>
      <c r="M90" s="232"/>
    </row>
    <row r="91" spans="1:13" ht="18" customHeight="1" x14ac:dyDescent="0.3">
      <c r="A91" s="132">
        <f>'Daily Tracking'!A91</f>
        <v>46363</v>
      </c>
      <c r="B91" s="230" t="str">
        <f ca="1">IF(A91&gt;TODAY(),"",IF('Daily Tracking'!B91&lt;&gt;"",1,0))</f>
        <v/>
      </c>
      <c r="C91" s="230" t="str">
        <f ca="1">IF(A91&gt;TODAY(),"",IF('Daily Tracking'!E91&lt;&gt;"",1,0))</f>
        <v/>
      </c>
      <c r="D91" s="230" t="str">
        <f ca="1">IF(A91&gt;TODAY(),"",IF(N('Daily Tracking'!G91)&gt;=Settings!$B$13,1,0))</f>
        <v/>
      </c>
      <c r="E91" s="230" t="str">
        <f ca="1">IF(A91&gt;TODAY(),"",IF(N('Daily Tracking'!H91)&gt;=Settings!$B$14,1,0))</f>
        <v/>
      </c>
      <c r="F91" s="230" t="str">
        <f ca="1">IF(A91&gt;TODAY(),"",IF(OR(N('Daily Tracking'!I91)&gt;0,'Daily Tracking'!J91="Yes"),1,0))</f>
        <v/>
      </c>
      <c r="G91" s="230" t="str">
        <f ca="1">IF(A91&gt;TODAY(),"",IF(N('Daily Tracking'!K91)&gt;=Settings!$B$15,1,0))</f>
        <v/>
      </c>
      <c r="H91" s="231" t="str">
        <f ca="1">IF(B91="","",AVERAGE(B91:G91))</f>
        <v/>
      </c>
      <c r="I91" s="136" t="str">
        <f ca="1">IF(B91="","",IF(B91=1,N(I90)+1,0))</f>
        <v/>
      </c>
      <c r="J91" s="232"/>
      <c r="K91" s="232"/>
      <c r="L91" s="232"/>
      <c r="M91" s="232"/>
    </row>
    <row r="92" spans="1:13" ht="18" customHeight="1" x14ac:dyDescent="0.3">
      <c r="A92" s="132">
        <f>'Daily Tracking'!A92</f>
        <v>46364</v>
      </c>
      <c r="B92" s="230" t="str">
        <f ca="1">IF(A92&gt;TODAY(),"",IF('Daily Tracking'!B92&lt;&gt;"",1,0))</f>
        <v/>
      </c>
      <c r="C92" s="230" t="str">
        <f ca="1">IF(A92&gt;TODAY(),"",IF('Daily Tracking'!E92&lt;&gt;"",1,0))</f>
        <v/>
      </c>
      <c r="D92" s="230" t="str">
        <f ca="1">IF(A92&gt;TODAY(),"",IF(N('Daily Tracking'!G92)&gt;=Settings!$B$13,1,0))</f>
        <v/>
      </c>
      <c r="E92" s="230" t="str">
        <f ca="1">IF(A92&gt;TODAY(),"",IF(N('Daily Tracking'!H92)&gt;=Settings!$B$14,1,0))</f>
        <v/>
      </c>
      <c r="F92" s="230" t="str">
        <f ca="1">IF(A92&gt;TODAY(),"",IF(OR(N('Daily Tracking'!I92)&gt;0,'Daily Tracking'!J92="Yes"),1,0))</f>
        <v/>
      </c>
      <c r="G92" s="230" t="str">
        <f ca="1">IF(A92&gt;TODAY(),"",IF(N('Daily Tracking'!K92)&gt;=Settings!$B$15,1,0))</f>
        <v/>
      </c>
      <c r="H92" s="231" t="str">
        <f ca="1">IF(B92="","",AVERAGE(B92:G92))</f>
        <v/>
      </c>
      <c r="I92" s="136" t="str">
        <f ca="1">IF(B92="","",IF(B92=1,N(I91)+1,0))</f>
        <v/>
      </c>
      <c r="J92" s="232"/>
      <c r="K92" s="232"/>
      <c r="L92" s="232"/>
      <c r="M92" s="232"/>
    </row>
    <row r="93" spans="1:13" ht="18" customHeight="1" x14ac:dyDescent="0.3">
      <c r="A93" s="132">
        <f>'Daily Tracking'!A93</f>
        <v>46365</v>
      </c>
      <c r="B93" s="230" t="str">
        <f ca="1">IF(A93&gt;TODAY(),"",IF('Daily Tracking'!B93&lt;&gt;"",1,0))</f>
        <v/>
      </c>
      <c r="C93" s="230" t="str">
        <f ca="1">IF(A93&gt;TODAY(),"",IF('Daily Tracking'!E93&lt;&gt;"",1,0))</f>
        <v/>
      </c>
      <c r="D93" s="230" t="str">
        <f ca="1">IF(A93&gt;TODAY(),"",IF(N('Daily Tracking'!G93)&gt;=Settings!$B$13,1,0))</f>
        <v/>
      </c>
      <c r="E93" s="230" t="str">
        <f ca="1">IF(A93&gt;TODAY(),"",IF(N('Daily Tracking'!H93)&gt;=Settings!$B$14,1,0))</f>
        <v/>
      </c>
      <c r="F93" s="230" t="str">
        <f ca="1">IF(A93&gt;TODAY(),"",IF(OR(N('Daily Tracking'!I93)&gt;0,'Daily Tracking'!J93="Yes"),1,0))</f>
        <v/>
      </c>
      <c r="G93" s="230" t="str">
        <f ca="1">IF(A93&gt;TODAY(),"",IF(N('Daily Tracking'!K93)&gt;=Settings!$B$15,1,0))</f>
        <v/>
      </c>
      <c r="H93" s="231" t="str">
        <f ca="1">IF(B93="","",AVERAGE(B93:G93))</f>
        <v/>
      </c>
      <c r="I93" s="136" t="str">
        <f ca="1">IF(B93="","",IF(B93=1,N(I92)+1,0))</f>
        <v/>
      </c>
      <c r="J93" s="232"/>
      <c r="K93" s="232"/>
      <c r="L93" s="232"/>
      <c r="M93" s="232"/>
    </row>
    <row r="94" spans="1:13" ht="18" customHeight="1" x14ac:dyDescent="0.3">
      <c r="A94" s="132">
        <f>'Daily Tracking'!A94</f>
        <v>46366</v>
      </c>
      <c r="B94" s="230" t="str">
        <f ca="1">IF(A94&gt;TODAY(),"",IF('Daily Tracking'!B94&lt;&gt;"",1,0))</f>
        <v/>
      </c>
      <c r="C94" s="230" t="str">
        <f ca="1">IF(A94&gt;TODAY(),"",IF('Daily Tracking'!E94&lt;&gt;"",1,0))</f>
        <v/>
      </c>
      <c r="D94" s="230" t="str">
        <f ca="1">IF(A94&gt;TODAY(),"",IF(N('Daily Tracking'!G94)&gt;=Settings!$B$13,1,0))</f>
        <v/>
      </c>
      <c r="E94" s="230" t="str">
        <f ca="1">IF(A94&gt;TODAY(),"",IF(N('Daily Tracking'!H94)&gt;=Settings!$B$14,1,0))</f>
        <v/>
      </c>
      <c r="F94" s="230" t="str">
        <f ca="1">IF(A94&gt;TODAY(),"",IF(OR(N('Daily Tracking'!I94)&gt;0,'Daily Tracking'!J94="Yes"),1,0))</f>
        <v/>
      </c>
      <c r="G94" s="230" t="str">
        <f ca="1">IF(A94&gt;TODAY(),"",IF(N('Daily Tracking'!K94)&gt;=Settings!$B$15,1,0))</f>
        <v/>
      </c>
      <c r="H94" s="231" t="str">
        <f ca="1">IF(B94="","",AVERAGE(B94:G94))</f>
        <v/>
      </c>
      <c r="I94" s="136" t="str">
        <f ca="1">IF(B94="","",IF(B94=1,N(I93)+1,0))</f>
        <v/>
      </c>
      <c r="J94" s="232"/>
      <c r="K94" s="232"/>
      <c r="L94" s="232"/>
      <c r="M94" s="232"/>
    </row>
    <row r="95" spans="1:13" ht="18" customHeight="1" x14ac:dyDescent="0.3">
      <c r="A95" s="132">
        <f>'Daily Tracking'!A95</f>
        <v>46367</v>
      </c>
      <c r="B95" s="230" t="str">
        <f ca="1">IF(A95&gt;TODAY(),"",IF('Daily Tracking'!B95&lt;&gt;"",1,0))</f>
        <v/>
      </c>
      <c r="C95" s="230" t="str">
        <f ca="1">IF(A95&gt;TODAY(),"",IF('Daily Tracking'!E95&lt;&gt;"",1,0))</f>
        <v/>
      </c>
      <c r="D95" s="230" t="str">
        <f ca="1">IF(A95&gt;TODAY(),"",IF(N('Daily Tracking'!G95)&gt;=Settings!$B$13,1,0))</f>
        <v/>
      </c>
      <c r="E95" s="230" t="str">
        <f ca="1">IF(A95&gt;TODAY(),"",IF(N('Daily Tracking'!H95)&gt;=Settings!$B$14,1,0))</f>
        <v/>
      </c>
      <c r="F95" s="230" t="str">
        <f ca="1">IF(A95&gt;TODAY(),"",IF(OR(N('Daily Tracking'!I95)&gt;0,'Daily Tracking'!J95="Yes"),1,0))</f>
        <v/>
      </c>
      <c r="G95" s="230" t="str">
        <f ca="1">IF(A95&gt;TODAY(),"",IF(N('Daily Tracking'!K95)&gt;=Settings!$B$15,1,0))</f>
        <v/>
      </c>
      <c r="H95" s="231" t="str">
        <f ca="1">IF(B95="","",AVERAGE(B95:G95))</f>
        <v/>
      </c>
      <c r="I95" s="136" t="str">
        <f ca="1">IF(B95="","",IF(B95=1,N(I94)+1,0))</f>
        <v/>
      </c>
      <c r="J95" s="232"/>
      <c r="K95" s="232"/>
      <c r="L95" s="232"/>
      <c r="M95" s="232"/>
    </row>
    <row r="96" spans="1:13" ht="18" customHeight="1" x14ac:dyDescent="0.3">
      <c r="A96" s="132">
        <f>'Daily Tracking'!A96</f>
        <v>46368</v>
      </c>
      <c r="B96" s="230" t="str">
        <f ca="1">IF(A96&gt;TODAY(),"",IF('Daily Tracking'!B96&lt;&gt;"",1,0))</f>
        <v/>
      </c>
      <c r="C96" s="230" t="str">
        <f ca="1">IF(A96&gt;TODAY(),"",IF('Daily Tracking'!E96&lt;&gt;"",1,0))</f>
        <v/>
      </c>
      <c r="D96" s="230" t="str">
        <f ca="1">IF(A96&gt;TODAY(),"",IF(N('Daily Tracking'!G96)&gt;=Settings!$B$13,1,0))</f>
        <v/>
      </c>
      <c r="E96" s="230" t="str">
        <f ca="1">IF(A96&gt;TODAY(),"",IF(N('Daily Tracking'!H96)&gt;=Settings!$B$14,1,0))</f>
        <v/>
      </c>
      <c r="F96" s="230" t="str">
        <f ca="1">IF(A96&gt;TODAY(),"",IF(OR(N('Daily Tracking'!I96)&gt;0,'Daily Tracking'!J96="Yes"),1,0))</f>
        <v/>
      </c>
      <c r="G96" s="230" t="str">
        <f ca="1">IF(A96&gt;TODAY(),"",IF(N('Daily Tracking'!K96)&gt;=Settings!$B$15,1,0))</f>
        <v/>
      </c>
      <c r="H96" s="231" t="str">
        <f ca="1">IF(B96="","",AVERAGE(B96:G96))</f>
        <v/>
      </c>
      <c r="I96" s="136" t="str">
        <f ca="1">IF(B96="","",IF(B96=1,N(I95)+1,0))</f>
        <v/>
      </c>
      <c r="J96" s="232"/>
      <c r="K96" s="232"/>
      <c r="L96" s="232"/>
      <c r="M96" s="232"/>
    </row>
    <row r="97" spans="1:13" ht="18" customHeight="1" x14ac:dyDescent="0.3">
      <c r="A97" s="132">
        <f>'Daily Tracking'!A97</f>
        <v>46369</v>
      </c>
      <c r="B97" s="230" t="str">
        <f ca="1">IF(A97&gt;TODAY(),"",IF('Daily Tracking'!B97&lt;&gt;"",1,0))</f>
        <v/>
      </c>
      <c r="C97" s="230" t="str">
        <f ca="1">IF(A97&gt;TODAY(),"",IF('Daily Tracking'!E97&lt;&gt;"",1,0))</f>
        <v/>
      </c>
      <c r="D97" s="230" t="str">
        <f ca="1">IF(A97&gt;TODAY(),"",IF(N('Daily Tracking'!G97)&gt;=Settings!$B$13,1,0))</f>
        <v/>
      </c>
      <c r="E97" s="230" t="str">
        <f ca="1">IF(A97&gt;TODAY(),"",IF(N('Daily Tracking'!H97)&gt;=Settings!$B$14,1,0))</f>
        <v/>
      </c>
      <c r="F97" s="230" t="str">
        <f ca="1">IF(A97&gt;TODAY(),"",IF(OR(N('Daily Tracking'!I97)&gt;0,'Daily Tracking'!J97="Yes"),1,0))</f>
        <v/>
      </c>
      <c r="G97" s="230" t="str">
        <f ca="1">IF(A97&gt;TODAY(),"",IF(N('Daily Tracking'!K97)&gt;=Settings!$B$15,1,0))</f>
        <v/>
      </c>
      <c r="H97" s="231" t="str">
        <f ca="1">IF(B97="","",AVERAGE(B97:G97))</f>
        <v/>
      </c>
      <c r="I97" s="136" t="str">
        <f ca="1">IF(B97="","",IF(B97=1,N(I96)+1,0))</f>
        <v/>
      </c>
      <c r="J97" s="232"/>
      <c r="K97" s="232"/>
      <c r="L97" s="232"/>
      <c r="M97" s="232"/>
    </row>
    <row r="98" spans="1:13" ht="18" customHeight="1" x14ac:dyDescent="0.3">
      <c r="A98" s="132">
        <f>'Daily Tracking'!A98</f>
        <v>46370</v>
      </c>
      <c r="B98" s="230" t="str">
        <f ca="1">IF(A98&gt;TODAY(),"",IF('Daily Tracking'!B98&lt;&gt;"",1,0))</f>
        <v/>
      </c>
      <c r="C98" s="230" t="str">
        <f ca="1">IF(A98&gt;TODAY(),"",IF('Daily Tracking'!E98&lt;&gt;"",1,0))</f>
        <v/>
      </c>
      <c r="D98" s="230" t="str">
        <f ca="1">IF(A98&gt;TODAY(),"",IF(N('Daily Tracking'!G98)&gt;=Settings!$B$13,1,0))</f>
        <v/>
      </c>
      <c r="E98" s="230" t="str">
        <f ca="1">IF(A98&gt;TODAY(),"",IF(N('Daily Tracking'!H98)&gt;=Settings!$B$14,1,0))</f>
        <v/>
      </c>
      <c r="F98" s="230" t="str">
        <f ca="1">IF(A98&gt;TODAY(),"",IF(OR(N('Daily Tracking'!I98)&gt;0,'Daily Tracking'!J98="Yes"),1,0))</f>
        <v/>
      </c>
      <c r="G98" s="230" t="str">
        <f ca="1">IF(A98&gt;TODAY(),"",IF(N('Daily Tracking'!K98)&gt;=Settings!$B$15,1,0))</f>
        <v/>
      </c>
      <c r="H98" s="231" t="str">
        <f ca="1">IF(B98="","",AVERAGE(B98:G98))</f>
        <v/>
      </c>
      <c r="I98" s="136" t="str">
        <f ca="1">IF(B98="","",IF(B98=1,N(I97)+1,0))</f>
        <v/>
      </c>
      <c r="J98" s="232"/>
      <c r="K98" s="232"/>
      <c r="L98" s="232"/>
      <c r="M98" s="232"/>
    </row>
    <row r="99" spans="1:13" ht="18" customHeight="1" x14ac:dyDescent="0.3">
      <c r="A99" s="132">
        <f>'Daily Tracking'!A99</f>
        <v>46371</v>
      </c>
      <c r="B99" s="230" t="str">
        <f ca="1">IF(A99&gt;TODAY(),"",IF('Daily Tracking'!B99&lt;&gt;"",1,0))</f>
        <v/>
      </c>
      <c r="C99" s="230" t="str">
        <f ca="1">IF(A99&gt;TODAY(),"",IF('Daily Tracking'!E99&lt;&gt;"",1,0))</f>
        <v/>
      </c>
      <c r="D99" s="230" t="str">
        <f ca="1">IF(A99&gt;TODAY(),"",IF(N('Daily Tracking'!G99)&gt;=Settings!$B$13,1,0))</f>
        <v/>
      </c>
      <c r="E99" s="230" t="str">
        <f ca="1">IF(A99&gt;TODAY(),"",IF(N('Daily Tracking'!H99)&gt;=Settings!$B$14,1,0))</f>
        <v/>
      </c>
      <c r="F99" s="230" t="str">
        <f ca="1">IF(A99&gt;TODAY(),"",IF(OR(N('Daily Tracking'!I99)&gt;0,'Daily Tracking'!J99="Yes"),1,0))</f>
        <v/>
      </c>
      <c r="G99" s="230" t="str">
        <f ca="1">IF(A99&gt;TODAY(),"",IF(N('Daily Tracking'!K99)&gt;=Settings!$B$15,1,0))</f>
        <v/>
      </c>
      <c r="H99" s="231" t="str">
        <f ca="1">IF(B99="","",AVERAGE(B99:G99))</f>
        <v/>
      </c>
      <c r="I99" s="136" t="str">
        <f ca="1">IF(B99="","",IF(B99=1,N(I98)+1,0))</f>
        <v/>
      </c>
      <c r="J99" s="232"/>
      <c r="K99" s="232"/>
      <c r="L99" s="232"/>
      <c r="M99" s="232"/>
    </row>
    <row r="100" spans="1:13" ht="18" customHeight="1" x14ac:dyDescent="0.3">
      <c r="A100" s="132">
        <f>'Daily Tracking'!A100</f>
        <v>46372</v>
      </c>
      <c r="B100" s="230" t="str">
        <f ca="1">IF(A100&gt;TODAY(),"",IF('Daily Tracking'!B100&lt;&gt;"",1,0))</f>
        <v/>
      </c>
      <c r="C100" s="230" t="str">
        <f ca="1">IF(A100&gt;TODAY(),"",IF('Daily Tracking'!E100&lt;&gt;"",1,0))</f>
        <v/>
      </c>
      <c r="D100" s="230" t="str">
        <f ca="1">IF(A100&gt;TODAY(),"",IF(N('Daily Tracking'!G100)&gt;=Settings!$B$13,1,0))</f>
        <v/>
      </c>
      <c r="E100" s="230" t="str">
        <f ca="1">IF(A100&gt;TODAY(),"",IF(N('Daily Tracking'!H100)&gt;=Settings!$B$14,1,0))</f>
        <v/>
      </c>
      <c r="F100" s="230" t="str">
        <f ca="1">IF(A100&gt;TODAY(),"",IF(OR(N('Daily Tracking'!I100)&gt;0,'Daily Tracking'!J100="Yes"),1,0))</f>
        <v/>
      </c>
      <c r="G100" s="230" t="str">
        <f ca="1">IF(A100&gt;TODAY(),"",IF(N('Daily Tracking'!K100)&gt;=Settings!$B$15,1,0))</f>
        <v/>
      </c>
      <c r="H100" s="231" t="str">
        <f ca="1">IF(B100="","",AVERAGE(B100:G100))</f>
        <v/>
      </c>
      <c r="I100" s="136" t="str">
        <f ca="1">IF(B100="","",IF(B100=1,N(I99)+1,0))</f>
        <v/>
      </c>
      <c r="J100" s="232"/>
      <c r="K100" s="232"/>
      <c r="L100" s="232"/>
      <c r="M100" s="232"/>
    </row>
    <row r="101" spans="1:13" ht="18" customHeight="1" x14ac:dyDescent="0.3">
      <c r="A101" s="132">
        <f>'Daily Tracking'!A101</f>
        <v>46373</v>
      </c>
      <c r="B101" s="230" t="str">
        <f ca="1">IF(A101&gt;TODAY(),"",IF('Daily Tracking'!B101&lt;&gt;"",1,0))</f>
        <v/>
      </c>
      <c r="C101" s="230" t="str">
        <f ca="1">IF(A101&gt;TODAY(),"",IF('Daily Tracking'!E101&lt;&gt;"",1,0))</f>
        <v/>
      </c>
      <c r="D101" s="230" t="str">
        <f ca="1">IF(A101&gt;TODAY(),"",IF(N('Daily Tracking'!G101)&gt;=Settings!$B$13,1,0))</f>
        <v/>
      </c>
      <c r="E101" s="230" t="str">
        <f ca="1">IF(A101&gt;TODAY(),"",IF(N('Daily Tracking'!H101)&gt;=Settings!$B$14,1,0))</f>
        <v/>
      </c>
      <c r="F101" s="230" t="str">
        <f ca="1">IF(A101&gt;TODAY(),"",IF(OR(N('Daily Tracking'!I101)&gt;0,'Daily Tracking'!J101="Yes"),1,0))</f>
        <v/>
      </c>
      <c r="G101" s="230" t="str">
        <f ca="1">IF(A101&gt;TODAY(),"",IF(N('Daily Tracking'!K101)&gt;=Settings!$B$15,1,0))</f>
        <v/>
      </c>
      <c r="H101" s="231" t="str">
        <f ca="1">IF(B101="","",AVERAGE(B101:G101))</f>
        <v/>
      </c>
      <c r="I101" s="136" t="str">
        <f ca="1">IF(B101="","",IF(B101=1,N(I100)+1,0))</f>
        <v/>
      </c>
      <c r="J101" s="232"/>
      <c r="K101" s="232"/>
      <c r="L101" s="232"/>
      <c r="M101" s="232"/>
    </row>
    <row r="102" spans="1:13" ht="18" customHeight="1" x14ac:dyDescent="0.3">
      <c r="A102" s="132">
        <f>'Daily Tracking'!A102</f>
        <v>46374</v>
      </c>
      <c r="B102" s="230" t="str">
        <f ca="1">IF(A102&gt;TODAY(),"",IF('Daily Tracking'!B102&lt;&gt;"",1,0))</f>
        <v/>
      </c>
      <c r="C102" s="230" t="str">
        <f ca="1">IF(A102&gt;TODAY(),"",IF('Daily Tracking'!E102&lt;&gt;"",1,0))</f>
        <v/>
      </c>
      <c r="D102" s="230" t="str">
        <f ca="1">IF(A102&gt;TODAY(),"",IF(N('Daily Tracking'!G102)&gt;=Settings!$B$13,1,0))</f>
        <v/>
      </c>
      <c r="E102" s="230" t="str">
        <f ca="1">IF(A102&gt;TODAY(),"",IF(N('Daily Tracking'!H102)&gt;=Settings!$B$14,1,0))</f>
        <v/>
      </c>
      <c r="F102" s="230" t="str">
        <f ca="1">IF(A102&gt;TODAY(),"",IF(OR(N('Daily Tracking'!I102)&gt;0,'Daily Tracking'!J102="Yes"),1,0))</f>
        <v/>
      </c>
      <c r="G102" s="230" t="str">
        <f ca="1">IF(A102&gt;TODAY(),"",IF(N('Daily Tracking'!K102)&gt;=Settings!$B$15,1,0))</f>
        <v/>
      </c>
      <c r="H102" s="231" t="str">
        <f ca="1">IF(B102="","",AVERAGE(B102:G102))</f>
        <v/>
      </c>
      <c r="I102" s="136" t="str">
        <f ca="1">IF(B102="","",IF(B102=1,N(I101)+1,0))</f>
        <v/>
      </c>
      <c r="J102" s="232"/>
      <c r="K102" s="232"/>
      <c r="L102" s="232"/>
      <c r="M102" s="232"/>
    </row>
    <row r="103" spans="1:13" ht="18" customHeight="1" x14ac:dyDescent="0.3">
      <c r="A103" s="132">
        <f>'Daily Tracking'!A103</f>
        <v>46375</v>
      </c>
      <c r="B103" s="230" t="str">
        <f ca="1">IF(A103&gt;TODAY(),"",IF('Daily Tracking'!B103&lt;&gt;"",1,0))</f>
        <v/>
      </c>
      <c r="C103" s="230" t="str">
        <f ca="1">IF(A103&gt;TODAY(),"",IF('Daily Tracking'!E103&lt;&gt;"",1,0))</f>
        <v/>
      </c>
      <c r="D103" s="230" t="str">
        <f ca="1">IF(A103&gt;TODAY(),"",IF(N('Daily Tracking'!G103)&gt;=Settings!$B$13,1,0))</f>
        <v/>
      </c>
      <c r="E103" s="230" t="str">
        <f ca="1">IF(A103&gt;TODAY(),"",IF(N('Daily Tracking'!H103)&gt;=Settings!$B$14,1,0))</f>
        <v/>
      </c>
      <c r="F103" s="230" t="str">
        <f ca="1">IF(A103&gt;TODAY(),"",IF(OR(N('Daily Tracking'!I103)&gt;0,'Daily Tracking'!J103="Yes"),1,0))</f>
        <v/>
      </c>
      <c r="G103" s="230" t="str">
        <f ca="1">IF(A103&gt;TODAY(),"",IF(N('Daily Tracking'!K103)&gt;=Settings!$B$15,1,0))</f>
        <v/>
      </c>
      <c r="H103" s="231" t="str">
        <f ca="1">IF(B103="","",AVERAGE(B103:G103))</f>
        <v/>
      </c>
      <c r="I103" s="136" t="str">
        <f ca="1">IF(B103="","",IF(B103=1,N(I102)+1,0))</f>
        <v/>
      </c>
      <c r="J103" s="232"/>
      <c r="K103" s="232"/>
      <c r="L103" s="232"/>
      <c r="M103" s="232"/>
    </row>
    <row r="104" spans="1:13" ht="18" customHeight="1" x14ac:dyDescent="0.3">
      <c r="A104" s="132">
        <f>'Daily Tracking'!A104</f>
        <v>46376</v>
      </c>
      <c r="B104" s="230" t="str">
        <f ca="1">IF(A104&gt;TODAY(),"",IF('Daily Tracking'!B104&lt;&gt;"",1,0))</f>
        <v/>
      </c>
      <c r="C104" s="230" t="str">
        <f ca="1">IF(A104&gt;TODAY(),"",IF('Daily Tracking'!E104&lt;&gt;"",1,0))</f>
        <v/>
      </c>
      <c r="D104" s="230" t="str">
        <f ca="1">IF(A104&gt;TODAY(),"",IF(N('Daily Tracking'!G104)&gt;=Settings!$B$13,1,0))</f>
        <v/>
      </c>
      <c r="E104" s="230" t="str">
        <f ca="1">IF(A104&gt;TODAY(),"",IF(N('Daily Tracking'!H104)&gt;=Settings!$B$14,1,0))</f>
        <v/>
      </c>
      <c r="F104" s="230" t="str">
        <f ca="1">IF(A104&gt;TODAY(),"",IF(OR(N('Daily Tracking'!I104)&gt;0,'Daily Tracking'!J104="Yes"),1,0))</f>
        <v/>
      </c>
      <c r="G104" s="230" t="str">
        <f ca="1">IF(A104&gt;TODAY(),"",IF(N('Daily Tracking'!K104)&gt;=Settings!$B$15,1,0))</f>
        <v/>
      </c>
      <c r="H104" s="231" t="str">
        <f ca="1">IF(B104="","",AVERAGE(B104:G104))</f>
        <v/>
      </c>
      <c r="I104" s="136" t="str">
        <f ca="1">IF(B104="","",IF(B104=1,N(I103)+1,0))</f>
        <v/>
      </c>
      <c r="J104" s="232"/>
      <c r="K104" s="232"/>
      <c r="L104" s="232"/>
      <c r="M104" s="232"/>
    </row>
    <row r="105" spans="1:13" ht="18" customHeight="1" x14ac:dyDescent="0.3">
      <c r="A105" s="132">
        <f>'Daily Tracking'!A105</f>
        <v>46377</v>
      </c>
      <c r="B105" s="230" t="str">
        <f ca="1">IF(A105&gt;TODAY(),"",IF('Daily Tracking'!B105&lt;&gt;"",1,0))</f>
        <v/>
      </c>
      <c r="C105" s="230" t="str">
        <f ca="1">IF(A105&gt;TODAY(),"",IF('Daily Tracking'!E105&lt;&gt;"",1,0))</f>
        <v/>
      </c>
      <c r="D105" s="230" t="str">
        <f ca="1">IF(A105&gt;TODAY(),"",IF(N('Daily Tracking'!G105)&gt;=Settings!$B$13,1,0))</f>
        <v/>
      </c>
      <c r="E105" s="230" t="str">
        <f ca="1">IF(A105&gt;TODAY(),"",IF(N('Daily Tracking'!H105)&gt;=Settings!$B$14,1,0))</f>
        <v/>
      </c>
      <c r="F105" s="230" t="str">
        <f ca="1">IF(A105&gt;TODAY(),"",IF(OR(N('Daily Tracking'!I105)&gt;0,'Daily Tracking'!J105="Yes"),1,0))</f>
        <v/>
      </c>
      <c r="G105" s="230" t="str">
        <f ca="1">IF(A105&gt;TODAY(),"",IF(N('Daily Tracking'!K105)&gt;=Settings!$B$15,1,0))</f>
        <v/>
      </c>
      <c r="H105" s="231" t="str">
        <f ca="1">IF(B105="","",AVERAGE(B105:G105))</f>
        <v/>
      </c>
      <c r="I105" s="136" t="str">
        <f ca="1">IF(B105="","",IF(B105=1,N(I104)+1,0))</f>
        <v/>
      </c>
      <c r="J105" s="232"/>
      <c r="K105" s="232"/>
      <c r="L105" s="232"/>
      <c r="M105" s="232"/>
    </row>
    <row r="106" spans="1:13" ht="18" customHeight="1" x14ac:dyDescent="0.3">
      <c r="A106" s="132">
        <f>'Daily Tracking'!A106</f>
        <v>46378</v>
      </c>
      <c r="B106" s="230" t="str">
        <f ca="1">IF(A106&gt;TODAY(),"",IF('Daily Tracking'!B106&lt;&gt;"",1,0))</f>
        <v/>
      </c>
      <c r="C106" s="230" t="str">
        <f ca="1">IF(A106&gt;TODAY(),"",IF('Daily Tracking'!E106&lt;&gt;"",1,0))</f>
        <v/>
      </c>
      <c r="D106" s="230" t="str">
        <f ca="1">IF(A106&gt;TODAY(),"",IF(N('Daily Tracking'!G106)&gt;=Settings!$B$13,1,0))</f>
        <v/>
      </c>
      <c r="E106" s="230" t="str">
        <f ca="1">IF(A106&gt;TODAY(),"",IF(N('Daily Tracking'!H106)&gt;=Settings!$B$14,1,0))</f>
        <v/>
      </c>
      <c r="F106" s="230" t="str">
        <f ca="1">IF(A106&gt;TODAY(),"",IF(OR(N('Daily Tracking'!I106)&gt;0,'Daily Tracking'!J106="Yes"),1,0))</f>
        <v/>
      </c>
      <c r="G106" s="230" t="str">
        <f ca="1">IF(A106&gt;TODAY(),"",IF(N('Daily Tracking'!K106)&gt;=Settings!$B$15,1,0))</f>
        <v/>
      </c>
      <c r="H106" s="231" t="str">
        <f ca="1">IF(B106="","",AVERAGE(B106:G106))</f>
        <v/>
      </c>
      <c r="I106" s="136" t="str">
        <f ca="1">IF(B106="","",IF(B106=1,N(I105)+1,0))</f>
        <v/>
      </c>
      <c r="J106" s="232"/>
      <c r="K106" s="232"/>
      <c r="L106" s="232"/>
      <c r="M106" s="232"/>
    </row>
    <row r="107" spans="1:13" ht="18" customHeight="1" x14ac:dyDescent="0.3">
      <c r="A107" s="132">
        <f>'Daily Tracking'!A107</f>
        <v>46379</v>
      </c>
      <c r="B107" s="230" t="str">
        <f ca="1">IF(A107&gt;TODAY(),"",IF('Daily Tracking'!B107&lt;&gt;"",1,0))</f>
        <v/>
      </c>
      <c r="C107" s="230" t="str">
        <f ca="1">IF(A107&gt;TODAY(),"",IF('Daily Tracking'!E107&lt;&gt;"",1,0))</f>
        <v/>
      </c>
      <c r="D107" s="230" t="str">
        <f ca="1">IF(A107&gt;TODAY(),"",IF(N('Daily Tracking'!G107)&gt;=Settings!$B$13,1,0))</f>
        <v/>
      </c>
      <c r="E107" s="230" t="str">
        <f ca="1">IF(A107&gt;TODAY(),"",IF(N('Daily Tracking'!H107)&gt;=Settings!$B$14,1,0))</f>
        <v/>
      </c>
      <c r="F107" s="230" t="str">
        <f ca="1">IF(A107&gt;TODAY(),"",IF(OR(N('Daily Tracking'!I107)&gt;0,'Daily Tracking'!J107="Yes"),1,0))</f>
        <v/>
      </c>
      <c r="G107" s="230" t="str">
        <f ca="1">IF(A107&gt;TODAY(),"",IF(N('Daily Tracking'!K107)&gt;=Settings!$B$15,1,0))</f>
        <v/>
      </c>
      <c r="H107" s="231" t="str">
        <f ca="1">IF(B107="","",AVERAGE(B107:G107))</f>
        <v/>
      </c>
      <c r="I107" s="136" t="str">
        <f ca="1">IF(B107="","",IF(B107=1,N(I106)+1,0))</f>
        <v/>
      </c>
      <c r="J107" s="232"/>
      <c r="K107" s="232"/>
      <c r="L107" s="232"/>
      <c r="M107" s="232"/>
    </row>
    <row r="108" spans="1:13" ht="18" customHeight="1" x14ac:dyDescent="0.3">
      <c r="A108" s="132">
        <f>'Daily Tracking'!A108</f>
        <v>46380</v>
      </c>
      <c r="B108" s="230" t="str">
        <f ca="1">IF(A108&gt;TODAY(),"",IF('Daily Tracking'!B108&lt;&gt;"",1,0))</f>
        <v/>
      </c>
      <c r="C108" s="230" t="str">
        <f ca="1">IF(A108&gt;TODAY(),"",IF('Daily Tracking'!E108&lt;&gt;"",1,0))</f>
        <v/>
      </c>
      <c r="D108" s="230" t="str">
        <f ca="1">IF(A108&gt;TODAY(),"",IF(N('Daily Tracking'!G108)&gt;=Settings!$B$13,1,0))</f>
        <v/>
      </c>
      <c r="E108" s="230" t="str">
        <f ca="1">IF(A108&gt;TODAY(),"",IF(N('Daily Tracking'!H108)&gt;=Settings!$B$14,1,0))</f>
        <v/>
      </c>
      <c r="F108" s="230" t="str">
        <f ca="1">IF(A108&gt;TODAY(),"",IF(OR(N('Daily Tracking'!I108)&gt;0,'Daily Tracking'!J108="Yes"),1,0))</f>
        <v/>
      </c>
      <c r="G108" s="230" t="str">
        <f ca="1">IF(A108&gt;TODAY(),"",IF(N('Daily Tracking'!K108)&gt;=Settings!$B$15,1,0))</f>
        <v/>
      </c>
      <c r="H108" s="231" t="str">
        <f ca="1">IF(B108="","",AVERAGE(B108:G108))</f>
        <v/>
      </c>
      <c r="I108" s="136" t="str">
        <f ca="1">IF(B108="","",IF(B108=1,N(I107)+1,0))</f>
        <v/>
      </c>
      <c r="J108" s="232"/>
      <c r="K108" s="232"/>
      <c r="L108" s="232"/>
      <c r="M108" s="232"/>
    </row>
    <row r="109" spans="1:13" ht="18" customHeight="1" x14ac:dyDescent="0.3">
      <c r="A109" s="132">
        <f>'Daily Tracking'!A109</f>
        <v>46381</v>
      </c>
      <c r="B109" s="230" t="str">
        <f ca="1">IF(A109&gt;TODAY(),"",IF('Daily Tracking'!B109&lt;&gt;"",1,0))</f>
        <v/>
      </c>
      <c r="C109" s="230" t="str">
        <f ca="1">IF(A109&gt;TODAY(),"",IF('Daily Tracking'!E109&lt;&gt;"",1,0))</f>
        <v/>
      </c>
      <c r="D109" s="230" t="str">
        <f ca="1">IF(A109&gt;TODAY(),"",IF(N('Daily Tracking'!G109)&gt;=Settings!$B$13,1,0))</f>
        <v/>
      </c>
      <c r="E109" s="230" t="str">
        <f ca="1">IF(A109&gt;TODAY(),"",IF(N('Daily Tracking'!H109)&gt;=Settings!$B$14,1,0))</f>
        <v/>
      </c>
      <c r="F109" s="230" t="str">
        <f ca="1">IF(A109&gt;TODAY(),"",IF(OR(N('Daily Tracking'!I109)&gt;0,'Daily Tracking'!J109="Yes"),1,0))</f>
        <v/>
      </c>
      <c r="G109" s="230" t="str">
        <f ca="1">IF(A109&gt;TODAY(),"",IF(N('Daily Tracking'!K109)&gt;=Settings!$B$15,1,0))</f>
        <v/>
      </c>
      <c r="H109" s="231" t="str">
        <f ca="1">IF(B109="","",AVERAGE(B109:G109))</f>
        <v/>
      </c>
      <c r="I109" s="136" t="str">
        <f ca="1">IF(B109="","",IF(B109=1,N(I108)+1,0))</f>
        <v/>
      </c>
      <c r="J109" s="232"/>
      <c r="K109" s="232"/>
      <c r="L109" s="232"/>
      <c r="M109" s="232"/>
    </row>
    <row r="110" spans="1:13" ht="18" customHeight="1" x14ac:dyDescent="0.3">
      <c r="A110" s="132">
        <f>'Daily Tracking'!A110</f>
        <v>46382</v>
      </c>
      <c r="B110" s="230" t="str">
        <f ca="1">IF(A110&gt;TODAY(),"",IF('Daily Tracking'!B110&lt;&gt;"",1,0))</f>
        <v/>
      </c>
      <c r="C110" s="230" t="str">
        <f ca="1">IF(A110&gt;TODAY(),"",IF('Daily Tracking'!E110&lt;&gt;"",1,0))</f>
        <v/>
      </c>
      <c r="D110" s="230" t="str">
        <f ca="1">IF(A110&gt;TODAY(),"",IF(N('Daily Tracking'!G110)&gt;=Settings!$B$13,1,0))</f>
        <v/>
      </c>
      <c r="E110" s="230" t="str">
        <f ca="1">IF(A110&gt;TODAY(),"",IF(N('Daily Tracking'!H110)&gt;=Settings!$B$14,1,0))</f>
        <v/>
      </c>
      <c r="F110" s="230" t="str">
        <f ca="1">IF(A110&gt;TODAY(),"",IF(OR(N('Daily Tracking'!I110)&gt;0,'Daily Tracking'!J110="Yes"),1,0))</f>
        <v/>
      </c>
      <c r="G110" s="230" t="str">
        <f ca="1">IF(A110&gt;TODAY(),"",IF(N('Daily Tracking'!K110)&gt;=Settings!$B$15,1,0))</f>
        <v/>
      </c>
      <c r="H110" s="231" t="str">
        <f ca="1">IF(B110="","",AVERAGE(B110:G110))</f>
        <v/>
      </c>
      <c r="I110" s="136" t="str">
        <f ca="1">IF(B110="","",IF(B110=1,N(I109)+1,0))</f>
        <v/>
      </c>
      <c r="J110" s="232"/>
      <c r="K110" s="232"/>
      <c r="L110" s="232"/>
      <c r="M110" s="232"/>
    </row>
    <row r="111" spans="1:13" ht="18" customHeight="1" x14ac:dyDescent="0.3">
      <c r="A111" s="132">
        <f>'Daily Tracking'!A111</f>
        <v>46383</v>
      </c>
      <c r="B111" s="230" t="str">
        <f ca="1">IF(A111&gt;TODAY(),"",IF('Daily Tracking'!B111&lt;&gt;"",1,0))</f>
        <v/>
      </c>
      <c r="C111" s="230" t="str">
        <f ca="1">IF(A111&gt;TODAY(),"",IF('Daily Tracking'!E111&lt;&gt;"",1,0))</f>
        <v/>
      </c>
      <c r="D111" s="230" t="str">
        <f ca="1">IF(A111&gt;TODAY(),"",IF(N('Daily Tracking'!G111)&gt;=Settings!$B$13,1,0))</f>
        <v/>
      </c>
      <c r="E111" s="230" t="str">
        <f ca="1">IF(A111&gt;TODAY(),"",IF(N('Daily Tracking'!H111)&gt;=Settings!$B$14,1,0))</f>
        <v/>
      </c>
      <c r="F111" s="230" t="str">
        <f ca="1">IF(A111&gt;TODAY(),"",IF(OR(N('Daily Tracking'!I111)&gt;0,'Daily Tracking'!J111="Yes"),1,0))</f>
        <v/>
      </c>
      <c r="G111" s="230" t="str">
        <f ca="1">IF(A111&gt;TODAY(),"",IF(N('Daily Tracking'!K111)&gt;=Settings!$B$15,1,0))</f>
        <v/>
      </c>
      <c r="H111" s="231" t="str">
        <f ca="1">IF(B111="","",AVERAGE(B111:G111))</f>
        <v/>
      </c>
      <c r="I111" s="136" t="str">
        <f ca="1">IF(B111="","",IF(B111=1,N(I110)+1,0))</f>
        <v/>
      </c>
      <c r="J111" s="232"/>
      <c r="K111" s="232"/>
      <c r="L111" s="232"/>
      <c r="M111" s="232"/>
    </row>
    <row r="112" spans="1:13" ht="18" customHeight="1" x14ac:dyDescent="0.3">
      <c r="A112" s="132">
        <f>'Daily Tracking'!A112</f>
        <v>46384</v>
      </c>
      <c r="B112" s="230" t="str">
        <f ca="1">IF(A112&gt;TODAY(),"",IF('Daily Tracking'!B112&lt;&gt;"",1,0))</f>
        <v/>
      </c>
      <c r="C112" s="230" t="str">
        <f ca="1">IF(A112&gt;TODAY(),"",IF('Daily Tracking'!E112&lt;&gt;"",1,0))</f>
        <v/>
      </c>
      <c r="D112" s="230" t="str">
        <f ca="1">IF(A112&gt;TODAY(),"",IF(N('Daily Tracking'!G112)&gt;=Settings!$B$13,1,0))</f>
        <v/>
      </c>
      <c r="E112" s="230" t="str">
        <f ca="1">IF(A112&gt;TODAY(),"",IF(N('Daily Tracking'!H112)&gt;=Settings!$B$14,1,0))</f>
        <v/>
      </c>
      <c r="F112" s="230" t="str">
        <f ca="1">IF(A112&gt;TODAY(),"",IF(OR(N('Daily Tracking'!I112)&gt;0,'Daily Tracking'!J112="Yes"),1,0))</f>
        <v/>
      </c>
      <c r="G112" s="230" t="str">
        <f ca="1">IF(A112&gt;TODAY(),"",IF(N('Daily Tracking'!K112)&gt;=Settings!$B$15,1,0))</f>
        <v/>
      </c>
      <c r="H112" s="231" t="str">
        <f ca="1">IF(B112="","",AVERAGE(B112:G112))</f>
        <v/>
      </c>
      <c r="I112" s="136" t="str">
        <f ca="1">IF(B112="","",IF(B112=1,N(I111)+1,0))</f>
        <v/>
      </c>
      <c r="J112" s="232"/>
      <c r="K112" s="232"/>
      <c r="L112" s="232"/>
      <c r="M112" s="232"/>
    </row>
    <row r="113" spans="1:13" ht="18" customHeight="1" x14ac:dyDescent="0.3">
      <c r="A113" s="132">
        <f>'Daily Tracking'!A113</f>
        <v>46385</v>
      </c>
      <c r="B113" s="230" t="str">
        <f ca="1">IF(A113&gt;TODAY(),"",IF('Daily Tracking'!B113&lt;&gt;"",1,0))</f>
        <v/>
      </c>
      <c r="C113" s="230" t="str">
        <f ca="1">IF(A113&gt;TODAY(),"",IF('Daily Tracking'!E113&lt;&gt;"",1,0))</f>
        <v/>
      </c>
      <c r="D113" s="230" t="str">
        <f ca="1">IF(A113&gt;TODAY(),"",IF(N('Daily Tracking'!G113)&gt;=Settings!$B$13,1,0))</f>
        <v/>
      </c>
      <c r="E113" s="230" t="str">
        <f ca="1">IF(A113&gt;TODAY(),"",IF(N('Daily Tracking'!H113)&gt;=Settings!$B$14,1,0))</f>
        <v/>
      </c>
      <c r="F113" s="230" t="str">
        <f ca="1">IF(A113&gt;TODAY(),"",IF(OR(N('Daily Tracking'!I113)&gt;0,'Daily Tracking'!J113="Yes"),1,0))</f>
        <v/>
      </c>
      <c r="G113" s="230" t="str">
        <f ca="1">IF(A113&gt;TODAY(),"",IF(N('Daily Tracking'!K113)&gt;=Settings!$B$15,1,0))</f>
        <v/>
      </c>
      <c r="H113" s="231" t="str">
        <f ca="1">IF(B113="","",AVERAGE(B113:G113))</f>
        <v/>
      </c>
      <c r="I113" s="136" t="str">
        <f ca="1">IF(B113="","",IF(B113=1,N(I112)+1,0))</f>
        <v/>
      </c>
      <c r="J113" s="232"/>
      <c r="K113" s="232"/>
      <c r="L113" s="232"/>
      <c r="M113" s="232"/>
    </row>
    <row r="114" spans="1:13" ht="18" customHeight="1" x14ac:dyDescent="0.3">
      <c r="A114" s="132">
        <f>'Daily Tracking'!A114</f>
        <v>46386</v>
      </c>
      <c r="B114" s="230" t="str">
        <f ca="1">IF(A114&gt;TODAY(),"",IF('Daily Tracking'!B114&lt;&gt;"",1,0))</f>
        <v/>
      </c>
      <c r="C114" s="230" t="str">
        <f ca="1">IF(A114&gt;TODAY(),"",IF('Daily Tracking'!E114&lt;&gt;"",1,0))</f>
        <v/>
      </c>
      <c r="D114" s="230" t="str">
        <f ca="1">IF(A114&gt;TODAY(),"",IF(N('Daily Tracking'!G114)&gt;=Settings!$B$13,1,0))</f>
        <v/>
      </c>
      <c r="E114" s="230" t="str">
        <f ca="1">IF(A114&gt;TODAY(),"",IF(N('Daily Tracking'!H114)&gt;=Settings!$B$14,1,0))</f>
        <v/>
      </c>
      <c r="F114" s="230" t="str">
        <f ca="1">IF(A114&gt;TODAY(),"",IF(OR(N('Daily Tracking'!I114)&gt;0,'Daily Tracking'!J114="Yes"),1,0))</f>
        <v/>
      </c>
      <c r="G114" s="230" t="str">
        <f ca="1">IF(A114&gt;TODAY(),"",IF(N('Daily Tracking'!K114)&gt;=Settings!$B$15,1,0))</f>
        <v/>
      </c>
      <c r="H114" s="231" t="str">
        <f ca="1">IF(B114="","",AVERAGE(B114:G114))</f>
        <v/>
      </c>
      <c r="I114" s="136" t="str">
        <f ca="1">IF(B114="","",IF(B114=1,N(I113)+1,0))</f>
        <v/>
      </c>
      <c r="J114" s="232"/>
      <c r="K114" s="232"/>
      <c r="L114" s="232"/>
      <c r="M114" s="232"/>
    </row>
    <row r="115" spans="1:13" ht="18" customHeight="1" x14ac:dyDescent="0.3">
      <c r="A115" s="132">
        <f>'Daily Tracking'!A115</f>
        <v>46387</v>
      </c>
      <c r="B115" s="230" t="str">
        <f ca="1">IF(A115&gt;TODAY(),"",IF('Daily Tracking'!B115&lt;&gt;"",1,0))</f>
        <v/>
      </c>
      <c r="C115" s="230" t="str">
        <f ca="1">IF(A115&gt;TODAY(),"",IF('Daily Tracking'!E115&lt;&gt;"",1,0))</f>
        <v/>
      </c>
      <c r="D115" s="230" t="str">
        <f ca="1">IF(A115&gt;TODAY(),"",IF(N('Daily Tracking'!G115)&gt;=Settings!$B$13,1,0))</f>
        <v/>
      </c>
      <c r="E115" s="230" t="str">
        <f ca="1">IF(A115&gt;TODAY(),"",IF(N('Daily Tracking'!H115)&gt;=Settings!$B$14,1,0))</f>
        <v/>
      </c>
      <c r="F115" s="230" t="str">
        <f ca="1">IF(A115&gt;TODAY(),"",IF(OR(N('Daily Tracking'!I115)&gt;0,'Daily Tracking'!J115="Yes"),1,0))</f>
        <v/>
      </c>
      <c r="G115" s="230" t="str">
        <f ca="1">IF(A115&gt;TODAY(),"",IF(N('Daily Tracking'!K115)&gt;=Settings!$B$15,1,0))</f>
        <v/>
      </c>
      <c r="H115" s="231" t="str">
        <f ca="1">IF(B115="","",AVERAGE(B115:G115))</f>
        <v/>
      </c>
      <c r="I115" s="136" t="str">
        <f ca="1">IF(B115="","",IF(B115=1,N(I114)+1,0))</f>
        <v/>
      </c>
      <c r="J115" s="232"/>
      <c r="K115" s="232"/>
      <c r="L115" s="232"/>
      <c r="M115" s="232"/>
    </row>
    <row r="116" spans="1:13" ht="18" customHeight="1" x14ac:dyDescent="0.3">
      <c r="A116" s="132">
        <f>'Daily Tracking'!A116</f>
        <v>46388</v>
      </c>
      <c r="B116" s="230" t="str">
        <f ca="1">IF(A116&gt;TODAY(),"",IF('Daily Tracking'!B116&lt;&gt;"",1,0))</f>
        <v/>
      </c>
      <c r="C116" s="230" t="str">
        <f ca="1">IF(A116&gt;TODAY(),"",IF('Daily Tracking'!E116&lt;&gt;"",1,0))</f>
        <v/>
      </c>
      <c r="D116" s="230" t="str">
        <f ca="1">IF(A116&gt;TODAY(),"",IF(N('Daily Tracking'!G116)&gt;=Settings!$B$13,1,0))</f>
        <v/>
      </c>
      <c r="E116" s="230" t="str">
        <f ca="1">IF(A116&gt;TODAY(),"",IF(N('Daily Tracking'!H116)&gt;=Settings!$B$14,1,0))</f>
        <v/>
      </c>
      <c r="F116" s="230" t="str">
        <f ca="1">IF(A116&gt;TODAY(),"",IF(OR(N('Daily Tracking'!I116)&gt;0,'Daily Tracking'!J116="Yes"),1,0))</f>
        <v/>
      </c>
      <c r="G116" s="230" t="str">
        <f ca="1">IF(A116&gt;TODAY(),"",IF(N('Daily Tracking'!K116)&gt;=Settings!$B$15,1,0))</f>
        <v/>
      </c>
      <c r="H116" s="231" t="str">
        <f ca="1">IF(B116="","",AVERAGE(B116:G116))</f>
        <v/>
      </c>
      <c r="I116" s="136" t="str">
        <f ca="1">IF(B116="","",IF(B116=1,N(I115)+1,0))</f>
        <v/>
      </c>
      <c r="J116" s="232"/>
      <c r="K116" s="232"/>
      <c r="L116" s="232"/>
      <c r="M116" s="232"/>
    </row>
    <row r="117" spans="1:13" ht="18" customHeight="1" x14ac:dyDescent="0.3">
      <c r="A117" s="132">
        <f>'Daily Tracking'!A117</f>
        <v>46389</v>
      </c>
      <c r="B117" s="230" t="str">
        <f ca="1">IF(A117&gt;TODAY(),"",IF('Daily Tracking'!B117&lt;&gt;"",1,0))</f>
        <v/>
      </c>
      <c r="C117" s="230" t="str">
        <f ca="1">IF(A117&gt;TODAY(),"",IF('Daily Tracking'!E117&lt;&gt;"",1,0))</f>
        <v/>
      </c>
      <c r="D117" s="230" t="str">
        <f ca="1">IF(A117&gt;TODAY(),"",IF(N('Daily Tracking'!G117)&gt;=Settings!$B$13,1,0))</f>
        <v/>
      </c>
      <c r="E117" s="230" t="str">
        <f ca="1">IF(A117&gt;TODAY(),"",IF(N('Daily Tracking'!H117)&gt;=Settings!$B$14,1,0))</f>
        <v/>
      </c>
      <c r="F117" s="230" t="str">
        <f ca="1">IF(A117&gt;TODAY(),"",IF(OR(N('Daily Tracking'!I117)&gt;0,'Daily Tracking'!J117="Yes"),1,0))</f>
        <v/>
      </c>
      <c r="G117" s="230" t="str">
        <f ca="1">IF(A117&gt;TODAY(),"",IF(N('Daily Tracking'!K117)&gt;=Settings!$B$15,1,0))</f>
        <v/>
      </c>
      <c r="H117" s="231" t="str">
        <f ca="1">IF(B117="","",AVERAGE(B117:G117))</f>
        <v/>
      </c>
      <c r="I117" s="136" t="str">
        <f ca="1">IF(B117="","",IF(B117=1,N(I116)+1,0))</f>
        <v/>
      </c>
      <c r="J117" s="232"/>
      <c r="K117" s="232"/>
      <c r="L117" s="232"/>
      <c r="M117" s="232"/>
    </row>
    <row r="118" spans="1:13" ht="18" customHeight="1" x14ac:dyDescent="0.3">
      <c r="A118" s="132">
        <f>'Daily Tracking'!A118</f>
        <v>46390</v>
      </c>
      <c r="B118" s="230" t="str">
        <f ca="1">IF(A118&gt;TODAY(),"",IF('Daily Tracking'!B118&lt;&gt;"",1,0))</f>
        <v/>
      </c>
      <c r="C118" s="230" t="str">
        <f ca="1">IF(A118&gt;TODAY(),"",IF('Daily Tracking'!E118&lt;&gt;"",1,0))</f>
        <v/>
      </c>
      <c r="D118" s="230" t="str">
        <f ca="1">IF(A118&gt;TODAY(),"",IF(N('Daily Tracking'!G118)&gt;=Settings!$B$13,1,0))</f>
        <v/>
      </c>
      <c r="E118" s="230" t="str">
        <f ca="1">IF(A118&gt;TODAY(),"",IF(N('Daily Tracking'!H118)&gt;=Settings!$B$14,1,0))</f>
        <v/>
      </c>
      <c r="F118" s="230" t="str">
        <f ca="1">IF(A118&gt;TODAY(),"",IF(OR(N('Daily Tracking'!I118)&gt;0,'Daily Tracking'!J118="Yes"),1,0))</f>
        <v/>
      </c>
      <c r="G118" s="230" t="str">
        <f ca="1">IF(A118&gt;TODAY(),"",IF(N('Daily Tracking'!K118)&gt;=Settings!$B$15,1,0))</f>
        <v/>
      </c>
      <c r="H118" s="231" t="str">
        <f ca="1">IF(B118="","",AVERAGE(B118:G118))</f>
        <v/>
      </c>
      <c r="I118" s="136" t="str">
        <f ca="1">IF(B118="","",IF(B118=1,N(I117)+1,0))</f>
        <v/>
      </c>
      <c r="J118" s="232"/>
      <c r="K118" s="232"/>
      <c r="L118" s="232"/>
      <c r="M118" s="232"/>
    </row>
    <row r="119" spans="1:13" ht="18" customHeight="1" x14ac:dyDescent="0.3">
      <c r="A119" s="132">
        <f>'Daily Tracking'!A119</f>
        <v>46391</v>
      </c>
      <c r="B119" s="230" t="str">
        <f ca="1">IF(A119&gt;TODAY(),"",IF('Daily Tracking'!B119&lt;&gt;"",1,0))</f>
        <v/>
      </c>
      <c r="C119" s="230" t="str">
        <f ca="1">IF(A119&gt;TODAY(),"",IF('Daily Tracking'!E119&lt;&gt;"",1,0))</f>
        <v/>
      </c>
      <c r="D119" s="230" t="str">
        <f ca="1">IF(A119&gt;TODAY(),"",IF(N('Daily Tracking'!G119)&gt;=Settings!$B$13,1,0))</f>
        <v/>
      </c>
      <c r="E119" s="230" t="str">
        <f ca="1">IF(A119&gt;TODAY(),"",IF(N('Daily Tracking'!H119)&gt;=Settings!$B$14,1,0))</f>
        <v/>
      </c>
      <c r="F119" s="230" t="str">
        <f ca="1">IF(A119&gt;TODAY(),"",IF(OR(N('Daily Tracking'!I119)&gt;0,'Daily Tracking'!J119="Yes"),1,0))</f>
        <v/>
      </c>
      <c r="G119" s="230" t="str">
        <f ca="1">IF(A119&gt;TODAY(),"",IF(N('Daily Tracking'!K119)&gt;=Settings!$B$15,1,0))</f>
        <v/>
      </c>
      <c r="H119" s="231" t="str">
        <f ca="1">IF(B119="","",AVERAGE(B119:G119))</f>
        <v/>
      </c>
      <c r="I119" s="136" t="str">
        <f ca="1">IF(B119="","",IF(B119=1,N(I118)+1,0))</f>
        <v/>
      </c>
      <c r="J119" s="232"/>
      <c r="K119" s="232"/>
      <c r="L119" s="232"/>
      <c r="M119" s="232"/>
    </row>
    <row r="120" spans="1:13" ht="18" customHeight="1" x14ac:dyDescent="0.3">
      <c r="A120" s="132">
        <f>'Daily Tracking'!A120</f>
        <v>46392</v>
      </c>
      <c r="B120" s="230" t="str">
        <f ca="1">IF(A120&gt;TODAY(),"",IF('Daily Tracking'!B120&lt;&gt;"",1,0))</f>
        <v/>
      </c>
      <c r="C120" s="230" t="str">
        <f ca="1">IF(A120&gt;TODAY(),"",IF('Daily Tracking'!E120&lt;&gt;"",1,0))</f>
        <v/>
      </c>
      <c r="D120" s="230" t="str">
        <f ca="1">IF(A120&gt;TODAY(),"",IF(N('Daily Tracking'!G120)&gt;=Settings!$B$13,1,0))</f>
        <v/>
      </c>
      <c r="E120" s="230" t="str">
        <f ca="1">IF(A120&gt;TODAY(),"",IF(N('Daily Tracking'!H120)&gt;=Settings!$B$14,1,0))</f>
        <v/>
      </c>
      <c r="F120" s="230" t="str">
        <f ca="1">IF(A120&gt;TODAY(),"",IF(OR(N('Daily Tracking'!I120)&gt;0,'Daily Tracking'!J120="Yes"),1,0))</f>
        <v/>
      </c>
      <c r="G120" s="230" t="str">
        <f ca="1">IF(A120&gt;TODAY(),"",IF(N('Daily Tracking'!K120)&gt;=Settings!$B$15,1,0))</f>
        <v/>
      </c>
      <c r="H120" s="231" t="str">
        <f ca="1">IF(B120="","",AVERAGE(B120:G120))</f>
        <v/>
      </c>
      <c r="I120" s="136" t="str">
        <f ca="1">IF(B120="","",IF(B120=1,N(I119)+1,0))</f>
        <v/>
      </c>
      <c r="J120" s="232"/>
      <c r="K120" s="232"/>
      <c r="L120" s="232"/>
      <c r="M120" s="232"/>
    </row>
    <row r="121" spans="1:13" ht="18" customHeight="1" x14ac:dyDescent="0.3">
      <c r="A121" s="132">
        <f>'Daily Tracking'!A121</f>
        <v>46393</v>
      </c>
      <c r="B121" s="230" t="str">
        <f ca="1">IF(A121&gt;TODAY(),"",IF('Daily Tracking'!B121&lt;&gt;"",1,0))</f>
        <v/>
      </c>
      <c r="C121" s="230" t="str">
        <f ca="1">IF(A121&gt;TODAY(),"",IF('Daily Tracking'!E121&lt;&gt;"",1,0))</f>
        <v/>
      </c>
      <c r="D121" s="230" t="str">
        <f ca="1">IF(A121&gt;TODAY(),"",IF(N('Daily Tracking'!G121)&gt;=Settings!$B$13,1,0))</f>
        <v/>
      </c>
      <c r="E121" s="230" t="str">
        <f ca="1">IF(A121&gt;TODAY(),"",IF(N('Daily Tracking'!H121)&gt;=Settings!$B$14,1,0))</f>
        <v/>
      </c>
      <c r="F121" s="230" t="str">
        <f ca="1">IF(A121&gt;TODAY(),"",IF(OR(N('Daily Tracking'!I121)&gt;0,'Daily Tracking'!J121="Yes"),1,0))</f>
        <v/>
      </c>
      <c r="G121" s="230" t="str">
        <f ca="1">IF(A121&gt;TODAY(),"",IF(N('Daily Tracking'!K121)&gt;=Settings!$B$15,1,0))</f>
        <v/>
      </c>
      <c r="H121" s="231" t="str">
        <f ca="1">IF(B121="","",AVERAGE(B121:G121))</f>
        <v/>
      </c>
      <c r="I121" s="136" t="str">
        <f ca="1">IF(B121="","",IF(B121=1,N(I120)+1,0))</f>
        <v/>
      </c>
      <c r="J121" s="232"/>
      <c r="K121" s="232"/>
      <c r="L121" s="232"/>
      <c r="M121" s="232"/>
    </row>
    <row r="122" spans="1:13" ht="18" customHeight="1" x14ac:dyDescent="0.3">
      <c r="A122" s="132">
        <f>'Daily Tracking'!A122</f>
        <v>46394</v>
      </c>
      <c r="B122" s="230" t="str">
        <f ca="1">IF(A122&gt;TODAY(),"",IF('Daily Tracking'!B122&lt;&gt;"",1,0))</f>
        <v/>
      </c>
      <c r="C122" s="230" t="str">
        <f ca="1">IF(A122&gt;TODAY(),"",IF('Daily Tracking'!E122&lt;&gt;"",1,0))</f>
        <v/>
      </c>
      <c r="D122" s="230" t="str">
        <f ca="1">IF(A122&gt;TODAY(),"",IF(N('Daily Tracking'!G122)&gt;=Settings!$B$13,1,0))</f>
        <v/>
      </c>
      <c r="E122" s="230" t="str">
        <f ca="1">IF(A122&gt;TODAY(),"",IF(N('Daily Tracking'!H122)&gt;=Settings!$B$14,1,0))</f>
        <v/>
      </c>
      <c r="F122" s="230" t="str">
        <f ca="1">IF(A122&gt;TODAY(),"",IF(OR(N('Daily Tracking'!I122)&gt;0,'Daily Tracking'!J122="Yes"),1,0))</f>
        <v/>
      </c>
      <c r="G122" s="230" t="str">
        <f ca="1">IF(A122&gt;TODAY(),"",IF(N('Daily Tracking'!K122)&gt;=Settings!$B$15,1,0))</f>
        <v/>
      </c>
      <c r="H122" s="231" t="str">
        <f ca="1">IF(B122="","",AVERAGE(B122:G122))</f>
        <v/>
      </c>
      <c r="I122" s="136" t="str">
        <f ca="1">IF(B122="","",IF(B122=1,N(I121)+1,0))</f>
        <v/>
      </c>
      <c r="J122" s="232"/>
      <c r="K122" s="232"/>
      <c r="L122" s="232"/>
      <c r="M122" s="232"/>
    </row>
    <row r="123" spans="1:13" ht="18" customHeight="1" x14ac:dyDescent="0.3">
      <c r="A123" s="132">
        <f>'Daily Tracking'!A123</f>
        <v>46395</v>
      </c>
      <c r="B123" s="230" t="str">
        <f ca="1">IF(A123&gt;TODAY(),"",IF('Daily Tracking'!B123&lt;&gt;"",1,0))</f>
        <v/>
      </c>
      <c r="C123" s="230" t="str">
        <f ca="1">IF(A123&gt;TODAY(),"",IF('Daily Tracking'!E123&lt;&gt;"",1,0))</f>
        <v/>
      </c>
      <c r="D123" s="230" t="str">
        <f ca="1">IF(A123&gt;TODAY(),"",IF(N('Daily Tracking'!G123)&gt;=Settings!$B$13,1,0))</f>
        <v/>
      </c>
      <c r="E123" s="230" t="str">
        <f ca="1">IF(A123&gt;TODAY(),"",IF(N('Daily Tracking'!H123)&gt;=Settings!$B$14,1,0))</f>
        <v/>
      </c>
      <c r="F123" s="230" t="str">
        <f ca="1">IF(A123&gt;TODAY(),"",IF(OR(N('Daily Tracking'!I123)&gt;0,'Daily Tracking'!J123="Yes"),1,0))</f>
        <v/>
      </c>
      <c r="G123" s="230" t="str">
        <f ca="1">IF(A123&gt;TODAY(),"",IF(N('Daily Tracking'!K123)&gt;=Settings!$B$15,1,0))</f>
        <v/>
      </c>
      <c r="H123" s="231" t="str">
        <f ca="1">IF(B123="","",AVERAGE(B123:G123))</f>
        <v/>
      </c>
      <c r="I123" s="136" t="str">
        <f ca="1">IF(B123="","",IF(B123=1,N(I122)+1,0))</f>
        <v/>
      </c>
      <c r="J123" s="232"/>
      <c r="K123" s="232"/>
      <c r="L123" s="232"/>
      <c r="M123" s="232"/>
    </row>
    <row r="124" spans="1:13" ht="18" customHeight="1" x14ac:dyDescent="0.3">
      <c r="A124" s="132">
        <f>'Daily Tracking'!A124</f>
        <v>46396</v>
      </c>
      <c r="B124" s="230" t="str">
        <f ca="1">IF(A124&gt;TODAY(),"",IF('Daily Tracking'!B124&lt;&gt;"",1,0))</f>
        <v/>
      </c>
      <c r="C124" s="230" t="str">
        <f ca="1">IF(A124&gt;TODAY(),"",IF('Daily Tracking'!E124&lt;&gt;"",1,0))</f>
        <v/>
      </c>
      <c r="D124" s="230" t="str">
        <f ca="1">IF(A124&gt;TODAY(),"",IF(N('Daily Tracking'!G124)&gt;=Settings!$B$13,1,0))</f>
        <v/>
      </c>
      <c r="E124" s="230" t="str">
        <f ca="1">IF(A124&gt;TODAY(),"",IF(N('Daily Tracking'!H124)&gt;=Settings!$B$14,1,0))</f>
        <v/>
      </c>
      <c r="F124" s="230" t="str">
        <f ca="1">IF(A124&gt;TODAY(),"",IF(OR(N('Daily Tracking'!I124)&gt;0,'Daily Tracking'!J124="Yes"),1,0))</f>
        <v/>
      </c>
      <c r="G124" s="230" t="str">
        <f ca="1">IF(A124&gt;TODAY(),"",IF(N('Daily Tracking'!K124)&gt;=Settings!$B$15,1,0))</f>
        <v/>
      </c>
      <c r="H124" s="231" t="str">
        <f ca="1">IF(B124="","",AVERAGE(B124:G124))</f>
        <v/>
      </c>
      <c r="I124" s="136" t="str">
        <f ca="1">IF(B124="","",IF(B124=1,N(I123)+1,0))</f>
        <v/>
      </c>
      <c r="J124" s="232"/>
      <c r="K124" s="232"/>
      <c r="L124" s="232"/>
      <c r="M124" s="232"/>
    </row>
    <row r="125" spans="1:13" ht="18" customHeight="1" x14ac:dyDescent="0.3">
      <c r="A125" s="132">
        <f>'Daily Tracking'!A125</f>
        <v>46397</v>
      </c>
      <c r="B125" s="230" t="str">
        <f ca="1">IF(A125&gt;TODAY(),"",IF('Daily Tracking'!B125&lt;&gt;"",1,0))</f>
        <v/>
      </c>
      <c r="C125" s="230" t="str">
        <f ca="1">IF(A125&gt;TODAY(),"",IF('Daily Tracking'!E125&lt;&gt;"",1,0))</f>
        <v/>
      </c>
      <c r="D125" s="230" t="str">
        <f ca="1">IF(A125&gt;TODAY(),"",IF(N('Daily Tracking'!G125)&gt;=Settings!$B$13,1,0))</f>
        <v/>
      </c>
      <c r="E125" s="230" t="str">
        <f ca="1">IF(A125&gt;TODAY(),"",IF(N('Daily Tracking'!H125)&gt;=Settings!$B$14,1,0))</f>
        <v/>
      </c>
      <c r="F125" s="230" t="str">
        <f ca="1">IF(A125&gt;TODAY(),"",IF(OR(N('Daily Tracking'!I125)&gt;0,'Daily Tracking'!J125="Yes"),1,0))</f>
        <v/>
      </c>
      <c r="G125" s="230" t="str">
        <f ca="1">IF(A125&gt;TODAY(),"",IF(N('Daily Tracking'!K125)&gt;=Settings!$B$15,1,0))</f>
        <v/>
      </c>
      <c r="H125" s="231" t="str">
        <f ca="1">IF(B125="","",AVERAGE(B125:G125))</f>
        <v/>
      </c>
      <c r="I125" s="136" t="str">
        <f ca="1">IF(B125="","",IF(B125=1,N(I124)+1,0))</f>
        <v/>
      </c>
      <c r="J125" s="232"/>
      <c r="K125" s="232"/>
      <c r="L125" s="232"/>
      <c r="M125" s="232"/>
    </row>
    <row r="126" spans="1:13" ht="18" customHeight="1" x14ac:dyDescent="0.3">
      <c r="A126" s="132">
        <f>'Daily Tracking'!A126</f>
        <v>46398</v>
      </c>
      <c r="B126" s="230" t="str">
        <f ca="1">IF(A126&gt;TODAY(),"",IF('Daily Tracking'!B126&lt;&gt;"",1,0))</f>
        <v/>
      </c>
      <c r="C126" s="230" t="str">
        <f ca="1">IF(A126&gt;TODAY(),"",IF('Daily Tracking'!E126&lt;&gt;"",1,0))</f>
        <v/>
      </c>
      <c r="D126" s="230" t="str">
        <f ca="1">IF(A126&gt;TODAY(),"",IF(N('Daily Tracking'!G126)&gt;=Settings!$B$13,1,0))</f>
        <v/>
      </c>
      <c r="E126" s="230" t="str">
        <f ca="1">IF(A126&gt;TODAY(),"",IF(N('Daily Tracking'!H126)&gt;=Settings!$B$14,1,0))</f>
        <v/>
      </c>
      <c r="F126" s="230" t="str">
        <f ca="1">IF(A126&gt;TODAY(),"",IF(OR(N('Daily Tracking'!I126)&gt;0,'Daily Tracking'!J126="Yes"),1,0))</f>
        <v/>
      </c>
      <c r="G126" s="230" t="str">
        <f ca="1">IF(A126&gt;TODAY(),"",IF(N('Daily Tracking'!K126)&gt;=Settings!$B$15,1,0))</f>
        <v/>
      </c>
      <c r="H126" s="231" t="str">
        <f ca="1">IF(B126="","",AVERAGE(B126:G126))</f>
        <v/>
      </c>
      <c r="I126" s="136" t="str">
        <f ca="1">IF(B126="","",IF(B126=1,N(I125)+1,0))</f>
        <v/>
      </c>
      <c r="J126" s="232"/>
      <c r="K126" s="232"/>
      <c r="L126" s="232"/>
      <c r="M126" s="232"/>
    </row>
    <row r="127" spans="1:13" ht="18" customHeight="1" x14ac:dyDescent="0.3">
      <c r="A127" s="132">
        <f>'Daily Tracking'!A127</f>
        <v>46399</v>
      </c>
      <c r="B127" s="230" t="str">
        <f ca="1">IF(A127&gt;TODAY(),"",IF('Daily Tracking'!B127&lt;&gt;"",1,0))</f>
        <v/>
      </c>
      <c r="C127" s="230" t="str">
        <f ca="1">IF(A127&gt;TODAY(),"",IF('Daily Tracking'!E127&lt;&gt;"",1,0))</f>
        <v/>
      </c>
      <c r="D127" s="230" t="str">
        <f ca="1">IF(A127&gt;TODAY(),"",IF(N('Daily Tracking'!G127)&gt;=Settings!$B$13,1,0))</f>
        <v/>
      </c>
      <c r="E127" s="230" t="str">
        <f ca="1">IF(A127&gt;TODAY(),"",IF(N('Daily Tracking'!H127)&gt;=Settings!$B$14,1,0))</f>
        <v/>
      </c>
      <c r="F127" s="230" t="str">
        <f ca="1">IF(A127&gt;TODAY(),"",IF(OR(N('Daily Tracking'!I127)&gt;0,'Daily Tracking'!J127="Yes"),1,0))</f>
        <v/>
      </c>
      <c r="G127" s="230" t="str">
        <f ca="1">IF(A127&gt;TODAY(),"",IF(N('Daily Tracking'!K127)&gt;=Settings!$B$15,1,0))</f>
        <v/>
      </c>
      <c r="H127" s="231" t="str">
        <f ca="1">IF(B127="","",AVERAGE(B127:G127))</f>
        <v/>
      </c>
      <c r="I127" s="136" t="str">
        <f ca="1">IF(B127="","",IF(B127=1,N(I126)+1,0))</f>
        <v/>
      </c>
      <c r="J127" s="232"/>
      <c r="K127" s="232"/>
      <c r="L127" s="232"/>
      <c r="M127" s="232"/>
    </row>
    <row r="128" spans="1:13" ht="18" customHeight="1" x14ac:dyDescent="0.3">
      <c r="A128" s="132">
        <f>'Daily Tracking'!A128</f>
        <v>46400</v>
      </c>
      <c r="B128" s="230" t="str">
        <f ca="1">IF(A128&gt;TODAY(),"",IF('Daily Tracking'!B128&lt;&gt;"",1,0))</f>
        <v/>
      </c>
      <c r="C128" s="230" t="str">
        <f ca="1">IF(A128&gt;TODAY(),"",IF('Daily Tracking'!E128&lt;&gt;"",1,0))</f>
        <v/>
      </c>
      <c r="D128" s="230" t="str">
        <f ca="1">IF(A128&gt;TODAY(),"",IF(N('Daily Tracking'!G128)&gt;=Settings!$B$13,1,0))</f>
        <v/>
      </c>
      <c r="E128" s="230" t="str">
        <f ca="1">IF(A128&gt;TODAY(),"",IF(N('Daily Tracking'!H128)&gt;=Settings!$B$14,1,0))</f>
        <v/>
      </c>
      <c r="F128" s="230" t="str">
        <f ca="1">IF(A128&gt;TODAY(),"",IF(OR(N('Daily Tracking'!I128)&gt;0,'Daily Tracking'!J128="Yes"),1,0))</f>
        <v/>
      </c>
      <c r="G128" s="230" t="str">
        <f ca="1">IF(A128&gt;TODAY(),"",IF(N('Daily Tracking'!K128)&gt;=Settings!$B$15,1,0))</f>
        <v/>
      </c>
      <c r="H128" s="231" t="str">
        <f ca="1">IF(B128="","",AVERAGE(B128:G128))</f>
        <v/>
      </c>
      <c r="I128" s="136" t="str">
        <f ca="1">IF(B128="","",IF(B128=1,N(I127)+1,0))</f>
        <v/>
      </c>
      <c r="J128" s="232"/>
      <c r="K128" s="232"/>
      <c r="L128" s="232"/>
      <c r="M128" s="232"/>
    </row>
    <row r="129" spans="1:13" ht="18" customHeight="1" x14ac:dyDescent="0.3">
      <c r="A129" s="132">
        <f>'Daily Tracking'!A129</f>
        <v>46401</v>
      </c>
      <c r="B129" s="230" t="str">
        <f ca="1">IF(A129&gt;TODAY(),"",IF('Daily Tracking'!B129&lt;&gt;"",1,0))</f>
        <v/>
      </c>
      <c r="C129" s="230" t="str">
        <f ca="1">IF(A129&gt;TODAY(),"",IF('Daily Tracking'!E129&lt;&gt;"",1,0))</f>
        <v/>
      </c>
      <c r="D129" s="230" t="str">
        <f ca="1">IF(A129&gt;TODAY(),"",IF(N('Daily Tracking'!G129)&gt;=Settings!$B$13,1,0))</f>
        <v/>
      </c>
      <c r="E129" s="230" t="str">
        <f ca="1">IF(A129&gt;TODAY(),"",IF(N('Daily Tracking'!H129)&gt;=Settings!$B$14,1,0))</f>
        <v/>
      </c>
      <c r="F129" s="230" t="str">
        <f ca="1">IF(A129&gt;TODAY(),"",IF(OR(N('Daily Tracking'!I129)&gt;0,'Daily Tracking'!J129="Yes"),1,0))</f>
        <v/>
      </c>
      <c r="G129" s="230" t="str">
        <f ca="1">IF(A129&gt;TODAY(),"",IF(N('Daily Tracking'!K129)&gt;=Settings!$B$15,1,0))</f>
        <v/>
      </c>
      <c r="H129" s="231" t="str">
        <f ca="1">IF(B129="","",AVERAGE(B129:G129))</f>
        <v/>
      </c>
      <c r="I129" s="136" t="str">
        <f ca="1">IF(B129="","",IF(B129=1,N(I128)+1,0))</f>
        <v/>
      </c>
      <c r="J129" s="232"/>
      <c r="K129" s="232"/>
      <c r="L129" s="232"/>
      <c r="M129" s="232"/>
    </row>
    <row r="130" spans="1:13" ht="18" customHeight="1" x14ac:dyDescent="0.3">
      <c r="A130" s="132">
        <f>'Daily Tracking'!A130</f>
        <v>46402</v>
      </c>
      <c r="B130" s="230" t="str">
        <f ca="1">IF(A130&gt;TODAY(),"",IF('Daily Tracking'!B130&lt;&gt;"",1,0))</f>
        <v/>
      </c>
      <c r="C130" s="230" t="str">
        <f ca="1">IF(A130&gt;TODAY(),"",IF('Daily Tracking'!E130&lt;&gt;"",1,0))</f>
        <v/>
      </c>
      <c r="D130" s="230" t="str">
        <f ca="1">IF(A130&gt;TODAY(),"",IF(N('Daily Tracking'!G130)&gt;=Settings!$B$13,1,0))</f>
        <v/>
      </c>
      <c r="E130" s="230" t="str">
        <f ca="1">IF(A130&gt;TODAY(),"",IF(N('Daily Tracking'!H130)&gt;=Settings!$B$14,1,0))</f>
        <v/>
      </c>
      <c r="F130" s="230" t="str">
        <f ca="1">IF(A130&gt;TODAY(),"",IF(OR(N('Daily Tracking'!I130)&gt;0,'Daily Tracking'!J130="Yes"),1,0))</f>
        <v/>
      </c>
      <c r="G130" s="230" t="str">
        <f ca="1">IF(A130&gt;TODAY(),"",IF(N('Daily Tracking'!K130)&gt;=Settings!$B$15,1,0))</f>
        <v/>
      </c>
      <c r="H130" s="231" t="str">
        <f ca="1">IF(B130="","",AVERAGE(B130:G130))</f>
        <v/>
      </c>
      <c r="I130" s="136" t="str">
        <f ca="1">IF(B130="","",IF(B130=1,N(I129)+1,0))</f>
        <v/>
      </c>
      <c r="J130" s="232"/>
      <c r="K130" s="232"/>
      <c r="L130" s="232"/>
      <c r="M130" s="232"/>
    </row>
    <row r="131" spans="1:13" ht="18" customHeight="1" x14ac:dyDescent="0.3">
      <c r="A131" s="132">
        <f>'Daily Tracking'!A131</f>
        <v>46403</v>
      </c>
      <c r="B131" s="230" t="str">
        <f ca="1">IF(A131&gt;TODAY(),"",IF('Daily Tracking'!B131&lt;&gt;"",1,0))</f>
        <v/>
      </c>
      <c r="C131" s="230" t="str">
        <f ca="1">IF(A131&gt;TODAY(),"",IF('Daily Tracking'!E131&lt;&gt;"",1,0))</f>
        <v/>
      </c>
      <c r="D131" s="230" t="str">
        <f ca="1">IF(A131&gt;TODAY(),"",IF(N('Daily Tracking'!G131)&gt;=Settings!$B$13,1,0))</f>
        <v/>
      </c>
      <c r="E131" s="230" t="str">
        <f ca="1">IF(A131&gt;TODAY(),"",IF(N('Daily Tracking'!H131)&gt;=Settings!$B$14,1,0))</f>
        <v/>
      </c>
      <c r="F131" s="230" t="str">
        <f ca="1">IF(A131&gt;TODAY(),"",IF(OR(N('Daily Tracking'!I131)&gt;0,'Daily Tracking'!J131="Yes"),1,0))</f>
        <v/>
      </c>
      <c r="G131" s="230" t="str">
        <f ca="1">IF(A131&gt;TODAY(),"",IF(N('Daily Tracking'!K131)&gt;=Settings!$B$15,1,0))</f>
        <v/>
      </c>
      <c r="H131" s="231" t="str">
        <f ca="1">IF(B131="","",AVERAGE(B131:G131))</f>
        <v/>
      </c>
      <c r="I131" s="136" t="str">
        <f ca="1">IF(B131="","",IF(B131=1,N(I130)+1,0))</f>
        <v/>
      </c>
      <c r="J131" s="232"/>
      <c r="K131" s="232"/>
      <c r="L131" s="232"/>
      <c r="M131" s="232"/>
    </row>
    <row r="132" spans="1:13" ht="18" customHeight="1" x14ac:dyDescent="0.3">
      <c r="A132" s="132">
        <f>'Daily Tracking'!A132</f>
        <v>46404</v>
      </c>
      <c r="B132" s="230" t="str">
        <f ca="1">IF(A132&gt;TODAY(),"",IF('Daily Tracking'!B132&lt;&gt;"",1,0))</f>
        <v/>
      </c>
      <c r="C132" s="230" t="str">
        <f ca="1">IF(A132&gt;TODAY(),"",IF('Daily Tracking'!E132&lt;&gt;"",1,0))</f>
        <v/>
      </c>
      <c r="D132" s="230" t="str">
        <f ca="1">IF(A132&gt;TODAY(),"",IF(N('Daily Tracking'!G132)&gt;=Settings!$B$13,1,0))</f>
        <v/>
      </c>
      <c r="E132" s="230" t="str">
        <f ca="1">IF(A132&gt;TODAY(),"",IF(N('Daily Tracking'!H132)&gt;=Settings!$B$14,1,0))</f>
        <v/>
      </c>
      <c r="F132" s="230" t="str">
        <f ca="1">IF(A132&gt;TODAY(),"",IF(OR(N('Daily Tracking'!I132)&gt;0,'Daily Tracking'!J132="Yes"),1,0))</f>
        <v/>
      </c>
      <c r="G132" s="230" t="str">
        <f ca="1">IF(A132&gt;TODAY(),"",IF(N('Daily Tracking'!K132)&gt;=Settings!$B$15,1,0))</f>
        <v/>
      </c>
      <c r="H132" s="231" t="str">
        <f ca="1">IF(B132="","",AVERAGE(B132:G132))</f>
        <v/>
      </c>
      <c r="I132" s="136" t="str">
        <f ca="1">IF(B132="","",IF(B132=1,N(I131)+1,0))</f>
        <v/>
      </c>
      <c r="J132" s="232"/>
      <c r="K132" s="232"/>
      <c r="L132" s="232"/>
      <c r="M132" s="232"/>
    </row>
    <row r="133" spans="1:13" ht="18" customHeight="1" x14ac:dyDescent="0.3">
      <c r="A133" s="132">
        <f>'Daily Tracking'!A133</f>
        <v>46405</v>
      </c>
      <c r="B133" s="230" t="str">
        <f ca="1">IF(A133&gt;TODAY(),"",IF('Daily Tracking'!B133&lt;&gt;"",1,0))</f>
        <v/>
      </c>
      <c r="C133" s="230" t="str">
        <f ca="1">IF(A133&gt;TODAY(),"",IF('Daily Tracking'!E133&lt;&gt;"",1,0))</f>
        <v/>
      </c>
      <c r="D133" s="230" t="str">
        <f ca="1">IF(A133&gt;TODAY(),"",IF(N('Daily Tracking'!G133)&gt;=Settings!$B$13,1,0))</f>
        <v/>
      </c>
      <c r="E133" s="230" t="str">
        <f ca="1">IF(A133&gt;TODAY(),"",IF(N('Daily Tracking'!H133)&gt;=Settings!$B$14,1,0))</f>
        <v/>
      </c>
      <c r="F133" s="230" t="str">
        <f ca="1">IF(A133&gt;TODAY(),"",IF(OR(N('Daily Tracking'!I133)&gt;0,'Daily Tracking'!J133="Yes"),1,0))</f>
        <v/>
      </c>
      <c r="G133" s="230" t="str">
        <f ca="1">IF(A133&gt;TODAY(),"",IF(N('Daily Tracking'!K133)&gt;=Settings!$B$15,1,0))</f>
        <v/>
      </c>
      <c r="H133" s="231" t="str">
        <f ca="1">IF(B133="","",AVERAGE(B133:G133))</f>
        <v/>
      </c>
      <c r="I133" s="136" t="str">
        <f ca="1">IF(B133="","",IF(B133=1,N(I132)+1,0))</f>
        <v/>
      </c>
      <c r="J133" s="232"/>
      <c r="K133" s="232"/>
      <c r="L133" s="232"/>
      <c r="M133" s="232"/>
    </row>
    <row r="134" spans="1:13" ht="18" customHeight="1" x14ac:dyDescent="0.3">
      <c r="A134" s="132">
        <f>'Daily Tracking'!A134</f>
        <v>46406</v>
      </c>
      <c r="B134" s="230" t="str">
        <f ca="1">IF(A134&gt;TODAY(),"",IF('Daily Tracking'!B134&lt;&gt;"",1,0))</f>
        <v/>
      </c>
      <c r="C134" s="230" t="str">
        <f ca="1">IF(A134&gt;TODAY(),"",IF('Daily Tracking'!E134&lt;&gt;"",1,0))</f>
        <v/>
      </c>
      <c r="D134" s="230" t="str">
        <f ca="1">IF(A134&gt;TODAY(),"",IF(N('Daily Tracking'!G134)&gt;=Settings!$B$13,1,0))</f>
        <v/>
      </c>
      <c r="E134" s="230" t="str">
        <f ca="1">IF(A134&gt;TODAY(),"",IF(N('Daily Tracking'!H134)&gt;=Settings!$B$14,1,0))</f>
        <v/>
      </c>
      <c r="F134" s="230" t="str">
        <f ca="1">IF(A134&gt;TODAY(),"",IF(OR(N('Daily Tracking'!I134)&gt;0,'Daily Tracking'!J134="Yes"),1,0))</f>
        <v/>
      </c>
      <c r="G134" s="230" t="str">
        <f ca="1">IF(A134&gt;TODAY(),"",IF(N('Daily Tracking'!K134)&gt;=Settings!$B$15,1,0))</f>
        <v/>
      </c>
      <c r="H134" s="231" t="str">
        <f ca="1">IF(B134="","",AVERAGE(B134:G134))</f>
        <v/>
      </c>
      <c r="I134" s="136" t="str">
        <f ca="1">IF(B134="","",IF(B134=1,N(I133)+1,0))</f>
        <v/>
      </c>
      <c r="J134" s="232"/>
      <c r="K134" s="232"/>
      <c r="L134" s="232"/>
      <c r="M134" s="232"/>
    </row>
    <row r="135" spans="1:13" ht="18" customHeight="1" x14ac:dyDescent="0.3">
      <c r="A135" s="132">
        <f>'Daily Tracking'!A135</f>
        <v>46407</v>
      </c>
      <c r="B135" s="230" t="str">
        <f ca="1">IF(A135&gt;TODAY(),"",IF('Daily Tracking'!B135&lt;&gt;"",1,0))</f>
        <v/>
      </c>
      <c r="C135" s="230" t="str">
        <f ca="1">IF(A135&gt;TODAY(),"",IF('Daily Tracking'!E135&lt;&gt;"",1,0))</f>
        <v/>
      </c>
      <c r="D135" s="230" t="str">
        <f ca="1">IF(A135&gt;TODAY(),"",IF(N('Daily Tracking'!G135)&gt;=Settings!$B$13,1,0))</f>
        <v/>
      </c>
      <c r="E135" s="230" t="str">
        <f ca="1">IF(A135&gt;TODAY(),"",IF(N('Daily Tracking'!H135)&gt;=Settings!$B$14,1,0))</f>
        <v/>
      </c>
      <c r="F135" s="230" t="str">
        <f ca="1">IF(A135&gt;TODAY(),"",IF(OR(N('Daily Tracking'!I135)&gt;0,'Daily Tracking'!J135="Yes"),1,0))</f>
        <v/>
      </c>
      <c r="G135" s="230" t="str">
        <f ca="1">IF(A135&gt;TODAY(),"",IF(N('Daily Tracking'!K135)&gt;=Settings!$B$15,1,0))</f>
        <v/>
      </c>
      <c r="H135" s="231" t="str">
        <f ca="1">IF(B135="","",AVERAGE(B135:G135))</f>
        <v/>
      </c>
      <c r="I135" s="136" t="str">
        <f ca="1">IF(B135="","",IF(B135=1,N(I134)+1,0))</f>
        <v/>
      </c>
      <c r="J135" s="232"/>
      <c r="K135" s="232"/>
      <c r="L135" s="232"/>
      <c r="M135" s="232"/>
    </row>
    <row r="136" spans="1:13" ht="18" customHeight="1" x14ac:dyDescent="0.3">
      <c r="A136" s="132">
        <f>'Daily Tracking'!A136</f>
        <v>46408</v>
      </c>
      <c r="B136" s="230" t="str">
        <f ca="1">IF(A136&gt;TODAY(),"",IF('Daily Tracking'!B136&lt;&gt;"",1,0))</f>
        <v/>
      </c>
      <c r="C136" s="230" t="str">
        <f ca="1">IF(A136&gt;TODAY(),"",IF('Daily Tracking'!E136&lt;&gt;"",1,0))</f>
        <v/>
      </c>
      <c r="D136" s="230" t="str">
        <f ca="1">IF(A136&gt;TODAY(),"",IF(N('Daily Tracking'!G136)&gt;=Settings!$B$13,1,0))</f>
        <v/>
      </c>
      <c r="E136" s="230" t="str">
        <f ca="1">IF(A136&gt;TODAY(),"",IF(N('Daily Tracking'!H136)&gt;=Settings!$B$14,1,0))</f>
        <v/>
      </c>
      <c r="F136" s="230" t="str">
        <f ca="1">IF(A136&gt;TODAY(),"",IF(OR(N('Daily Tracking'!I136)&gt;0,'Daily Tracking'!J136="Yes"),1,0))</f>
        <v/>
      </c>
      <c r="G136" s="230" t="str">
        <f ca="1">IF(A136&gt;TODAY(),"",IF(N('Daily Tracking'!K136)&gt;=Settings!$B$15,1,0))</f>
        <v/>
      </c>
      <c r="H136" s="231" t="str">
        <f ca="1">IF(B136="","",AVERAGE(B136:G136))</f>
        <v/>
      </c>
      <c r="I136" s="136" t="str">
        <f ca="1">IF(B136="","",IF(B136=1,N(I135)+1,0))</f>
        <v/>
      </c>
      <c r="J136" s="232"/>
      <c r="K136" s="232"/>
      <c r="L136" s="232"/>
      <c r="M136" s="232"/>
    </row>
    <row r="137" spans="1:13" ht="18" customHeight="1" x14ac:dyDescent="0.3">
      <c r="A137" s="132">
        <f>'Daily Tracking'!A137</f>
        <v>46409</v>
      </c>
      <c r="B137" s="230" t="str">
        <f ca="1">IF(A137&gt;TODAY(),"",IF('Daily Tracking'!B137&lt;&gt;"",1,0))</f>
        <v/>
      </c>
      <c r="C137" s="230" t="str">
        <f ca="1">IF(A137&gt;TODAY(),"",IF('Daily Tracking'!E137&lt;&gt;"",1,0))</f>
        <v/>
      </c>
      <c r="D137" s="230" t="str">
        <f ca="1">IF(A137&gt;TODAY(),"",IF(N('Daily Tracking'!G137)&gt;=Settings!$B$13,1,0))</f>
        <v/>
      </c>
      <c r="E137" s="230" t="str">
        <f ca="1">IF(A137&gt;TODAY(),"",IF(N('Daily Tracking'!H137)&gt;=Settings!$B$14,1,0))</f>
        <v/>
      </c>
      <c r="F137" s="230" t="str">
        <f ca="1">IF(A137&gt;TODAY(),"",IF(OR(N('Daily Tracking'!I137)&gt;0,'Daily Tracking'!J137="Yes"),1,0))</f>
        <v/>
      </c>
      <c r="G137" s="230" t="str">
        <f ca="1">IF(A137&gt;TODAY(),"",IF(N('Daily Tracking'!K137)&gt;=Settings!$B$15,1,0))</f>
        <v/>
      </c>
      <c r="H137" s="231" t="str">
        <f ca="1">IF(B137="","",AVERAGE(B137:G137))</f>
        <v/>
      </c>
      <c r="I137" s="136" t="str">
        <f ca="1">IF(B137="","",IF(B137=1,N(I136)+1,0))</f>
        <v/>
      </c>
      <c r="J137" s="232"/>
      <c r="K137" s="232"/>
      <c r="L137" s="232"/>
      <c r="M137" s="232"/>
    </row>
    <row r="138" spans="1:13" ht="18" customHeight="1" x14ac:dyDescent="0.3">
      <c r="A138" s="132">
        <f>'Daily Tracking'!A138</f>
        <v>46410</v>
      </c>
      <c r="B138" s="230" t="str">
        <f ca="1">IF(A138&gt;TODAY(),"",IF('Daily Tracking'!B138&lt;&gt;"",1,0))</f>
        <v/>
      </c>
      <c r="C138" s="230" t="str">
        <f ca="1">IF(A138&gt;TODAY(),"",IF('Daily Tracking'!E138&lt;&gt;"",1,0))</f>
        <v/>
      </c>
      <c r="D138" s="230" t="str">
        <f ca="1">IF(A138&gt;TODAY(),"",IF(N('Daily Tracking'!G138)&gt;=Settings!$B$13,1,0))</f>
        <v/>
      </c>
      <c r="E138" s="230" t="str">
        <f ca="1">IF(A138&gt;TODAY(),"",IF(N('Daily Tracking'!H138)&gt;=Settings!$B$14,1,0))</f>
        <v/>
      </c>
      <c r="F138" s="230" t="str">
        <f ca="1">IF(A138&gt;TODAY(),"",IF(OR(N('Daily Tracking'!I138)&gt;0,'Daily Tracking'!J138="Yes"),1,0))</f>
        <v/>
      </c>
      <c r="G138" s="230" t="str">
        <f ca="1">IF(A138&gt;TODAY(),"",IF(N('Daily Tracking'!K138)&gt;=Settings!$B$15,1,0))</f>
        <v/>
      </c>
      <c r="H138" s="231" t="str">
        <f ca="1">IF(B138="","",AVERAGE(B138:G138))</f>
        <v/>
      </c>
      <c r="I138" s="136" t="str">
        <f ca="1">IF(B138="","",IF(B138=1,N(I137)+1,0))</f>
        <v/>
      </c>
      <c r="J138" s="232"/>
      <c r="K138" s="232"/>
      <c r="L138" s="232"/>
      <c r="M138" s="232"/>
    </row>
    <row r="139" spans="1:13" ht="18" customHeight="1" x14ac:dyDescent="0.3">
      <c r="A139" s="132">
        <f>'Daily Tracking'!A139</f>
        <v>46411</v>
      </c>
      <c r="B139" s="230" t="str">
        <f ca="1">IF(A139&gt;TODAY(),"",IF('Daily Tracking'!B139&lt;&gt;"",1,0))</f>
        <v/>
      </c>
      <c r="C139" s="230" t="str">
        <f ca="1">IF(A139&gt;TODAY(),"",IF('Daily Tracking'!E139&lt;&gt;"",1,0))</f>
        <v/>
      </c>
      <c r="D139" s="230" t="str">
        <f ca="1">IF(A139&gt;TODAY(),"",IF(N('Daily Tracking'!G139)&gt;=Settings!$B$13,1,0))</f>
        <v/>
      </c>
      <c r="E139" s="230" t="str">
        <f ca="1">IF(A139&gt;TODAY(),"",IF(N('Daily Tracking'!H139)&gt;=Settings!$B$14,1,0))</f>
        <v/>
      </c>
      <c r="F139" s="230" t="str">
        <f ca="1">IF(A139&gt;TODAY(),"",IF(OR(N('Daily Tracking'!I139)&gt;0,'Daily Tracking'!J139="Yes"),1,0))</f>
        <v/>
      </c>
      <c r="G139" s="230" t="str">
        <f ca="1">IF(A139&gt;TODAY(),"",IF(N('Daily Tracking'!K139)&gt;=Settings!$B$15,1,0))</f>
        <v/>
      </c>
      <c r="H139" s="231" t="str">
        <f ca="1">IF(B139="","",AVERAGE(B139:G139))</f>
        <v/>
      </c>
      <c r="I139" s="136" t="str">
        <f ca="1">IF(B139="","",IF(B139=1,N(I138)+1,0))</f>
        <v/>
      </c>
      <c r="J139" s="232"/>
      <c r="K139" s="232"/>
      <c r="L139" s="232"/>
      <c r="M139" s="232"/>
    </row>
    <row r="140" spans="1:13" ht="18" customHeight="1" x14ac:dyDescent="0.3">
      <c r="A140" s="132">
        <f>'Daily Tracking'!A140</f>
        <v>46412</v>
      </c>
      <c r="B140" s="230" t="str">
        <f ca="1">IF(A140&gt;TODAY(),"",IF('Daily Tracking'!B140&lt;&gt;"",1,0))</f>
        <v/>
      </c>
      <c r="C140" s="230" t="str">
        <f ca="1">IF(A140&gt;TODAY(),"",IF('Daily Tracking'!E140&lt;&gt;"",1,0))</f>
        <v/>
      </c>
      <c r="D140" s="230" t="str">
        <f ca="1">IF(A140&gt;TODAY(),"",IF(N('Daily Tracking'!G140)&gt;=Settings!$B$13,1,0))</f>
        <v/>
      </c>
      <c r="E140" s="230" t="str">
        <f ca="1">IF(A140&gt;TODAY(),"",IF(N('Daily Tracking'!H140)&gt;=Settings!$B$14,1,0))</f>
        <v/>
      </c>
      <c r="F140" s="230" t="str">
        <f ca="1">IF(A140&gt;TODAY(),"",IF(OR(N('Daily Tracking'!I140)&gt;0,'Daily Tracking'!J140="Yes"),1,0))</f>
        <v/>
      </c>
      <c r="G140" s="230" t="str">
        <f ca="1">IF(A140&gt;TODAY(),"",IF(N('Daily Tracking'!K140)&gt;=Settings!$B$15,1,0))</f>
        <v/>
      </c>
      <c r="H140" s="231" t="str">
        <f ca="1">IF(B140="","",AVERAGE(B140:G140))</f>
        <v/>
      </c>
      <c r="I140" s="136" t="str">
        <f ca="1">IF(B140="","",IF(B140=1,N(I139)+1,0))</f>
        <v/>
      </c>
      <c r="J140" s="232"/>
      <c r="K140" s="232"/>
      <c r="L140" s="232"/>
      <c r="M140" s="232"/>
    </row>
    <row r="141" spans="1:13" ht="18" customHeight="1" x14ac:dyDescent="0.3">
      <c r="A141" s="132">
        <f>'Daily Tracking'!A141</f>
        <v>46413</v>
      </c>
      <c r="B141" s="230" t="str">
        <f ca="1">IF(A141&gt;TODAY(),"",IF('Daily Tracking'!B141&lt;&gt;"",1,0))</f>
        <v/>
      </c>
      <c r="C141" s="230" t="str">
        <f ca="1">IF(A141&gt;TODAY(),"",IF('Daily Tracking'!E141&lt;&gt;"",1,0))</f>
        <v/>
      </c>
      <c r="D141" s="230" t="str">
        <f ca="1">IF(A141&gt;TODAY(),"",IF(N('Daily Tracking'!G141)&gt;=Settings!$B$13,1,0))</f>
        <v/>
      </c>
      <c r="E141" s="230" t="str">
        <f ca="1">IF(A141&gt;TODAY(),"",IF(N('Daily Tracking'!H141)&gt;=Settings!$B$14,1,0))</f>
        <v/>
      </c>
      <c r="F141" s="230" t="str">
        <f ca="1">IF(A141&gt;TODAY(),"",IF(OR(N('Daily Tracking'!I141)&gt;0,'Daily Tracking'!J141="Yes"),1,0))</f>
        <v/>
      </c>
      <c r="G141" s="230" t="str">
        <f ca="1">IF(A141&gt;TODAY(),"",IF(N('Daily Tracking'!K141)&gt;=Settings!$B$15,1,0))</f>
        <v/>
      </c>
      <c r="H141" s="231" t="str">
        <f ca="1">IF(B141="","",AVERAGE(B141:G141))</f>
        <v/>
      </c>
      <c r="I141" s="136" t="str">
        <f ca="1">IF(B141="","",IF(B141=1,N(I140)+1,0))</f>
        <v/>
      </c>
      <c r="J141" s="232"/>
      <c r="K141" s="232"/>
      <c r="L141" s="232"/>
      <c r="M141" s="232"/>
    </row>
    <row r="142" spans="1:13" ht="18" customHeight="1" x14ac:dyDescent="0.3">
      <c r="A142" s="132">
        <f>'Daily Tracking'!A142</f>
        <v>46414</v>
      </c>
      <c r="B142" s="230" t="str">
        <f ca="1">IF(A142&gt;TODAY(),"",IF('Daily Tracking'!B142&lt;&gt;"",1,0))</f>
        <v/>
      </c>
      <c r="C142" s="230" t="str">
        <f ca="1">IF(A142&gt;TODAY(),"",IF('Daily Tracking'!E142&lt;&gt;"",1,0))</f>
        <v/>
      </c>
      <c r="D142" s="230" t="str">
        <f ca="1">IF(A142&gt;TODAY(),"",IF(N('Daily Tracking'!G142)&gt;=Settings!$B$13,1,0))</f>
        <v/>
      </c>
      <c r="E142" s="230" t="str">
        <f ca="1">IF(A142&gt;TODAY(),"",IF(N('Daily Tracking'!H142)&gt;=Settings!$B$14,1,0))</f>
        <v/>
      </c>
      <c r="F142" s="230" t="str">
        <f ca="1">IF(A142&gt;TODAY(),"",IF(OR(N('Daily Tracking'!I142)&gt;0,'Daily Tracking'!J142="Yes"),1,0))</f>
        <v/>
      </c>
      <c r="G142" s="230" t="str">
        <f ca="1">IF(A142&gt;TODAY(),"",IF(N('Daily Tracking'!K142)&gt;=Settings!$B$15,1,0))</f>
        <v/>
      </c>
      <c r="H142" s="231" t="str">
        <f ca="1">IF(B142="","",AVERAGE(B142:G142))</f>
        <v/>
      </c>
      <c r="I142" s="136" t="str">
        <f ca="1">IF(B142="","",IF(B142=1,N(I141)+1,0))</f>
        <v/>
      </c>
      <c r="J142" s="232"/>
      <c r="K142" s="232"/>
      <c r="L142" s="232"/>
      <c r="M142" s="232"/>
    </row>
    <row r="143" spans="1:13" ht="18" customHeight="1" x14ac:dyDescent="0.3">
      <c r="A143" s="132">
        <f>'Daily Tracking'!A143</f>
        <v>46415</v>
      </c>
      <c r="B143" s="230" t="str">
        <f ca="1">IF(A143&gt;TODAY(),"",IF('Daily Tracking'!B143&lt;&gt;"",1,0))</f>
        <v/>
      </c>
      <c r="C143" s="230" t="str">
        <f ca="1">IF(A143&gt;TODAY(),"",IF('Daily Tracking'!E143&lt;&gt;"",1,0))</f>
        <v/>
      </c>
      <c r="D143" s="230" t="str">
        <f ca="1">IF(A143&gt;TODAY(),"",IF(N('Daily Tracking'!G143)&gt;=Settings!$B$13,1,0))</f>
        <v/>
      </c>
      <c r="E143" s="230" t="str">
        <f ca="1">IF(A143&gt;TODAY(),"",IF(N('Daily Tracking'!H143)&gt;=Settings!$B$14,1,0))</f>
        <v/>
      </c>
      <c r="F143" s="230" t="str">
        <f ca="1">IF(A143&gt;TODAY(),"",IF(OR(N('Daily Tracking'!I143)&gt;0,'Daily Tracking'!J143="Yes"),1,0))</f>
        <v/>
      </c>
      <c r="G143" s="230" t="str">
        <f ca="1">IF(A143&gt;TODAY(),"",IF(N('Daily Tracking'!K143)&gt;=Settings!$B$15,1,0))</f>
        <v/>
      </c>
      <c r="H143" s="231" t="str">
        <f ca="1">IF(B143="","",AVERAGE(B143:G143))</f>
        <v/>
      </c>
      <c r="I143" s="136" t="str">
        <f ca="1">IF(B143="","",IF(B143=1,N(I142)+1,0))</f>
        <v/>
      </c>
      <c r="J143" s="232"/>
      <c r="K143" s="232"/>
      <c r="L143" s="232"/>
      <c r="M143" s="232"/>
    </row>
    <row r="144" spans="1:13" ht="18" customHeight="1" x14ac:dyDescent="0.3">
      <c r="A144" s="132">
        <f>'Daily Tracking'!A144</f>
        <v>46416</v>
      </c>
      <c r="B144" s="230" t="str">
        <f ca="1">IF(A144&gt;TODAY(),"",IF('Daily Tracking'!B144&lt;&gt;"",1,0))</f>
        <v/>
      </c>
      <c r="C144" s="230" t="str">
        <f ca="1">IF(A144&gt;TODAY(),"",IF('Daily Tracking'!E144&lt;&gt;"",1,0))</f>
        <v/>
      </c>
      <c r="D144" s="230" t="str">
        <f ca="1">IF(A144&gt;TODAY(),"",IF(N('Daily Tracking'!G144)&gt;=Settings!$B$13,1,0))</f>
        <v/>
      </c>
      <c r="E144" s="230" t="str">
        <f ca="1">IF(A144&gt;TODAY(),"",IF(N('Daily Tracking'!H144)&gt;=Settings!$B$14,1,0))</f>
        <v/>
      </c>
      <c r="F144" s="230" t="str">
        <f ca="1">IF(A144&gt;TODAY(),"",IF(OR(N('Daily Tracking'!I144)&gt;0,'Daily Tracking'!J144="Yes"),1,0))</f>
        <v/>
      </c>
      <c r="G144" s="230" t="str">
        <f ca="1">IF(A144&gt;TODAY(),"",IF(N('Daily Tracking'!K144)&gt;=Settings!$B$15,1,0))</f>
        <v/>
      </c>
      <c r="H144" s="231" t="str">
        <f ca="1">IF(B144="","",AVERAGE(B144:G144))</f>
        <v/>
      </c>
      <c r="I144" s="136" t="str">
        <f ca="1">IF(B144="","",IF(B144=1,N(I143)+1,0))</f>
        <v/>
      </c>
      <c r="J144" s="232"/>
      <c r="K144" s="232"/>
      <c r="L144" s="232"/>
      <c r="M144" s="232"/>
    </row>
    <row r="145" spans="1:13" ht="18" customHeight="1" x14ac:dyDescent="0.3">
      <c r="A145" s="132">
        <f>'Daily Tracking'!A145</f>
        <v>46417</v>
      </c>
      <c r="B145" s="230" t="str">
        <f ca="1">IF(A145&gt;TODAY(),"",IF('Daily Tracking'!B145&lt;&gt;"",1,0))</f>
        <v/>
      </c>
      <c r="C145" s="230" t="str">
        <f ca="1">IF(A145&gt;TODAY(),"",IF('Daily Tracking'!E145&lt;&gt;"",1,0))</f>
        <v/>
      </c>
      <c r="D145" s="230" t="str">
        <f ca="1">IF(A145&gt;TODAY(),"",IF(N('Daily Tracking'!G145)&gt;=Settings!$B$13,1,0))</f>
        <v/>
      </c>
      <c r="E145" s="230" t="str">
        <f ca="1">IF(A145&gt;TODAY(),"",IF(N('Daily Tracking'!H145)&gt;=Settings!$B$14,1,0))</f>
        <v/>
      </c>
      <c r="F145" s="230" t="str">
        <f ca="1">IF(A145&gt;TODAY(),"",IF(OR(N('Daily Tracking'!I145)&gt;0,'Daily Tracking'!J145="Yes"),1,0))</f>
        <v/>
      </c>
      <c r="G145" s="230" t="str">
        <f ca="1">IF(A145&gt;TODAY(),"",IF(N('Daily Tracking'!K145)&gt;=Settings!$B$15,1,0))</f>
        <v/>
      </c>
      <c r="H145" s="231" t="str">
        <f ca="1">IF(B145="","",AVERAGE(B145:G145))</f>
        <v/>
      </c>
      <c r="I145" s="136" t="str">
        <f ca="1">IF(B145="","",IF(B145=1,N(I144)+1,0))</f>
        <v/>
      </c>
      <c r="J145" s="232"/>
      <c r="K145" s="232"/>
      <c r="L145" s="232"/>
      <c r="M145" s="232"/>
    </row>
    <row r="146" spans="1:13" ht="18" customHeight="1" x14ac:dyDescent="0.3">
      <c r="A146" s="132">
        <f>'Daily Tracking'!A146</f>
        <v>46418</v>
      </c>
      <c r="B146" s="230" t="str">
        <f ca="1">IF(A146&gt;TODAY(),"",IF('Daily Tracking'!B146&lt;&gt;"",1,0))</f>
        <v/>
      </c>
      <c r="C146" s="230" t="str">
        <f ca="1">IF(A146&gt;TODAY(),"",IF('Daily Tracking'!E146&lt;&gt;"",1,0))</f>
        <v/>
      </c>
      <c r="D146" s="230" t="str">
        <f ca="1">IF(A146&gt;TODAY(),"",IF(N('Daily Tracking'!G146)&gt;=Settings!$B$13,1,0))</f>
        <v/>
      </c>
      <c r="E146" s="230" t="str">
        <f ca="1">IF(A146&gt;TODAY(),"",IF(N('Daily Tracking'!H146)&gt;=Settings!$B$14,1,0))</f>
        <v/>
      </c>
      <c r="F146" s="230" t="str">
        <f ca="1">IF(A146&gt;TODAY(),"",IF(OR(N('Daily Tracking'!I146)&gt;0,'Daily Tracking'!J146="Yes"),1,0))</f>
        <v/>
      </c>
      <c r="G146" s="230" t="str">
        <f ca="1">IF(A146&gt;TODAY(),"",IF(N('Daily Tracking'!K146)&gt;=Settings!$B$15,1,0))</f>
        <v/>
      </c>
      <c r="H146" s="231" t="str">
        <f ca="1">IF(B146="","",AVERAGE(B146:G146))</f>
        <v/>
      </c>
      <c r="I146" s="136" t="str">
        <f ca="1">IF(B146="","",IF(B146=1,N(I145)+1,0))</f>
        <v/>
      </c>
      <c r="J146" s="232"/>
      <c r="K146" s="232"/>
      <c r="L146" s="232"/>
      <c r="M146" s="232"/>
    </row>
    <row r="147" spans="1:13" ht="18" customHeight="1" x14ac:dyDescent="0.3">
      <c r="A147" s="132">
        <f>'Daily Tracking'!A147</f>
        <v>46419</v>
      </c>
      <c r="B147" s="230" t="str">
        <f ca="1">IF(A147&gt;TODAY(),"",IF('Daily Tracking'!B147&lt;&gt;"",1,0))</f>
        <v/>
      </c>
      <c r="C147" s="230" t="str">
        <f ca="1">IF(A147&gt;TODAY(),"",IF('Daily Tracking'!E147&lt;&gt;"",1,0))</f>
        <v/>
      </c>
      <c r="D147" s="230" t="str">
        <f ca="1">IF(A147&gt;TODAY(),"",IF(N('Daily Tracking'!G147)&gt;=Settings!$B$13,1,0))</f>
        <v/>
      </c>
      <c r="E147" s="230" t="str">
        <f ca="1">IF(A147&gt;TODAY(),"",IF(N('Daily Tracking'!H147)&gt;=Settings!$B$14,1,0))</f>
        <v/>
      </c>
      <c r="F147" s="230" t="str">
        <f ca="1">IF(A147&gt;TODAY(),"",IF(OR(N('Daily Tracking'!I147)&gt;0,'Daily Tracking'!J147="Yes"),1,0))</f>
        <v/>
      </c>
      <c r="G147" s="230" t="str">
        <f ca="1">IF(A147&gt;TODAY(),"",IF(N('Daily Tracking'!K147)&gt;=Settings!$B$15,1,0))</f>
        <v/>
      </c>
      <c r="H147" s="231" t="str">
        <f ca="1">IF(B147="","",AVERAGE(B147:G147))</f>
        <v/>
      </c>
      <c r="I147" s="136" t="str">
        <f ca="1">IF(B147="","",IF(B147=1,N(I146)+1,0))</f>
        <v/>
      </c>
      <c r="J147" s="232"/>
      <c r="K147" s="232"/>
      <c r="L147" s="232"/>
      <c r="M147" s="232"/>
    </row>
    <row r="148" spans="1:13" ht="18" customHeight="1" x14ac:dyDescent="0.3">
      <c r="A148" s="132">
        <f>'Daily Tracking'!A148</f>
        <v>46420</v>
      </c>
      <c r="B148" s="230" t="str">
        <f ca="1">IF(A148&gt;TODAY(),"",IF('Daily Tracking'!B148&lt;&gt;"",1,0))</f>
        <v/>
      </c>
      <c r="C148" s="230" t="str">
        <f ca="1">IF(A148&gt;TODAY(),"",IF('Daily Tracking'!E148&lt;&gt;"",1,0))</f>
        <v/>
      </c>
      <c r="D148" s="230" t="str">
        <f ca="1">IF(A148&gt;TODAY(),"",IF(N('Daily Tracking'!G148)&gt;=Settings!$B$13,1,0))</f>
        <v/>
      </c>
      <c r="E148" s="230" t="str">
        <f ca="1">IF(A148&gt;TODAY(),"",IF(N('Daily Tracking'!H148)&gt;=Settings!$B$14,1,0))</f>
        <v/>
      </c>
      <c r="F148" s="230" t="str">
        <f ca="1">IF(A148&gt;TODAY(),"",IF(OR(N('Daily Tracking'!I148)&gt;0,'Daily Tracking'!J148="Yes"),1,0))</f>
        <v/>
      </c>
      <c r="G148" s="230" t="str">
        <f ca="1">IF(A148&gt;TODAY(),"",IF(N('Daily Tracking'!K148)&gt;=Settings!$B$15,1,0))</f>
        <v/>
      </c>
      <c r="H148" s="231" t="str">
        <f ca="1">IF(B148="","",AVERAGE(B148:G148))</f>
        <v/>
      </c>
      <c r="I148" s="136" t="str">
        <f ca="1">IF(B148="","",IF(B148=1,N(I147)+1,0))</f>
        <v/>
      </c>
      <c r="J148" s="232"/>
      <c r="K148" s="232"/>
      <c r="L148" s="232"/>
      <c r="M148" s="232"/>
    </row>
    <row r="149" spans="1:13" ht="18" customHeight="1" x14ac:dyDescent="0.3">
      <c r="A149" s="132">
        <f>'Daily Tracking'!A149</f>
        <v>46421</v>
      </c>
      <c r="B149" s="230" t="str">
        <f ca="1">IF(A149&gt;TODAY(),"",IF('Daily Tracking'!B149&lt;&gt;"",1,0))</f>
        <v/>
      </c>
      <c r="C149" s="230" t="str">
        <f ca="1">IF(A149&gt;TODAY(),"",IF('Daily Tracking'!E149&lt;&gt;"",1,0))</f>
        <v/>
      </c>
      <c r="D149" s="230" t="str">
        <f ca="1">IF(A149&gt;TODAY(),"",IF(N('Daily Tracking'!G149)&gt;=Settings!$B$13,1,0))</f>
        <v/>
      </c>
      <c r="E149" s="230" t="str">
        <f ca="1">IF(A149&gt;TODAY(),"",IF(N('Daily Tracking'!H149)&gt;=Settings!$B$14,1,0))</f>
        <v/>
      </c>
      <c r="F149" s="230" t="str">
        <f ca="1">IF(A149&gt;TODAY(),"",IF(OR(N('Daily Tracking'!I149)&gt;0,'Daily Tracking'!J149="Yes"),1,0))</f>
        <v/>
      </c>
      <c r="G149" s="230" t="str">
        <f ca="1">IF(A149&gt;TODAY(),"",IF(N('Daily Tracking'!K149)&gt;=Settings!$B$15,1,0))</f>
        <v/>
      </c>
      <c r="H149" s="231" t="str">
        <f ca="1">IF(B149="","",AVERAGE(B149:G149))</f>
        <v/>
      </c>
      <c r="I149" s="136" t="str">
        <f ca="1">IF(B149="","",IF(B149=1,N(I148)+1,0))</f>
        <v/>
      </c>
      <c r="J149" s="232"/>
      <c r="K149" s="232"/>
      <c r="L149" s="232"/>
      <c r="M149" s="232"/>
    </row>
    <row r="150" spans="1:13" ht="18" customHeight="1" x14ac:dyDescent="0.3">
      <c r="A150" s="132">
        <f>'Daily Tracking'!A150</f>
        <v>46422</v>
      </c>
      <c r="B150" s="230" t="str">
        <f ca="1">IF(A150&gt;TODAY(),"",IF('Daily Tracking'!B150&lt;&gt;"",1,0))</f>
        <v/>
      </c>
      <c r="C150" s="230" t="str">
        <f ca="1">IF(A150&gt;TODAY(),"",IF('Daily Tracking'!E150&lt;&gt;"",1,0))</f>
        <v/>
      </c>
      <c r="D150" s="230" t="str">
        <f ca="1">IF(A150&gt;TODAY(),"",IF(N('Daily Tracking'!G150)&gt;=Settings!$B$13,1,0))</f>
        <v/>
      </c>
      <c r="E150" s="230" t="str">
        <f ca="1">IF(A150&gt;TODAY(),"",IF(N('Daily Tracking'!H150)&gt;=Settings!$B$14,1,0))</f>
        <v/>
      </c>
      <c r="F150" s="230" t="str">
        <f ca="1">IF(A150&gt;TODAY(),"",IF(OR(N('Daily Tracking'!I150)&gt;0,'Daily Tracking'!J150="Yes"),1,0))</f>
        <v/>
      </c>
      <c r="G150" s="230" t="str">
        <f ca="1">IF(A150&gt;TODAY(),"",IF(N('Daily Tracking'!K150)&gt;=Settings!$B$15,1,0))</f>
        <v/>
      </c>
      <c r="H150" s="231" t="str">
        <f ca="1">IF(B150="","",AVERAGE(B150:G150))</f>
        <v/>
      </c>
      <c r="I150" s="136" t="str">
        <f ca="1">IF(B150="","",IF(B150=1,N(I149)+1,0))</f>
        <v/>
      </c>
      <c r="J150" s="232"/>
      <c r="K150" s="232"/>
      <c r="L150" s="232"/>
      <c r="M150" s="232"/>
    </row>
    <row r="151" spans="1:13" ht="18" customHeight="1" x14ac:dyDescent="0.3">
      <c r="A151" s="132">
        <f>'Daily Tracking'!A151</f>
        <v>46423</v>
      </c>
      <c r="B151" s="230" t="str">
        <f ca="1">IF(A151&gt;TODAY(),"",IF('Daily Tracking'!B151&lt;&gt;"",1,0))</f>
        <v/>
      </c>
      <c r="C151" s="230" t="str">
        <f ca="1">IF(A151&gt;TODAY(),"",IF('Daily Tracking'!E151&lt;&gt;"",1,0))</f>
        <v/>
      </c>
      <c r="D151" s="230" t="str">
        <f ca="1">IF(A151&gt;TODAY(),"",IF(N('Daily Tracking'!G151)&gt;=Settings!$B$13,1,0))</f>
        <v/>
      </c>
      <c r="E151" s="230" t="str">
        <f ca="1">IF(A151&gt;TODAY(),"",IF(N('Daily Tracking'!H151)&gt;=Settings!$B$14,1,0))</f>
        <v/>
      </c>
      <c r="F151" s="230" t="str">
        <f ca="1">IF(A151&gt;TODAY(),"",IF(OR(N('Daily Tracking'!I151)&gt;0,'Daily Tracking'!J151="Yes"),1,0))</f>
        <v/>
      </c>
      <c r="G151" s="230" t="str">
        <f ca="1">IF(A151&gt;TODAY(),"",IF(N('Daily Tracking'!K151)&gt;=Settings!$B$15,1,0))</f>
        <v/>
      </c>
      <c r="H151" s="231" t="str">
        <f ca="1">IF(B151="","",AVERAGE(B151:G151))</f>
        <v/>
      </c>
      <c r="I151" s="136" t="str">
        <f ca="1">IF(B151="","",IF(B151=1,N(I150)+1,0))</f>
        <v/>
      </c>
      <c r="J151" s="232"/>
      <c r="K151" s="232"/>
      <c r="L151" s="232"/>
      <c r="M151" s="232"/>
    </row>
    <row r="152" spans="1:13" ht="18" customHeight="1" x14ac:dyDescent="0.3">
      <c r="A152" s="132">
        <f>'Daily Tracking'!A152</f>
        <v>46424</v>
      </c>
      <c r="B152" s="230" t="str">
        <f ca="1">IF(A152&gt;TODAY(),"",IF('Daily Tracking'!B152&lt;&gt;"",1,0))</f>
        <v/>
      </c>
      <c r="C152" s="230" t="str">
        <f ca="1">IF(A152&gt;TODAY(),"",IF('Daily Tracking'!E152&lt;&gt;"",1,0))</f>
        <v/>
      </c>
      <c r="D152" s="230" t="str">
        <f ca="1">IF(A152&gt;TODAY(),"",IF(N('Daily Tracking'!G152)&gt;=Settings!$B$13,1,0))</f>
        <v/>
      </c>
      <c r="E152" s="230" t="str">
        <f ca="1">IF(A152&gt;TODAY(),"",IF(N('Daily Tracking'!H152)&gt;=Settings!$B$14,1,0))</f>
        <v/>
      </c>
      <c r="F152" s="230" t="str">
        <f ca="1">IF(A152&gt;TODAY(),"",IF(OR(N('Daily Tracking'!I152)&gt;0,'Daily Tracking'!J152="Yes"),1,0))</f>
        <v/>
      </c>
      <c r="G152" s="230" t="str">
        <f ca="1">IF(A152&gt;TODAY(),"",IF(N('Daily Tracking'!K152)&gt;=Settings!$B$15,1,0))</f>
        <v/>
      </c>
      <c r="H152" s="231" t="str">
        <f ca="1">IF(B152="","",AVERAGE(B152:G152))</f>
        <v/>
      </c>
      <c r="I152" s="136" t="str">
        <f ca="1">IF(B152="","",IF(B152=1,N(I151)+1,0))</f>
        <v/>
      </c>
      <c r="J152" s="232"/>
      <c r="K152" s="232"/>
      <c r="L152" s="232"/>
      <c r="M152" s="232"/>
    </row>
    <row r="153" spans="1:13" ht="18" customHeight="1" x14ac:dyDescent="0.3">
      <c r="A153" s="132">
        <f>'Daily Tracking'!A153</f>
        <v>46425</v>
      </c>
      <c r="B153" s="230" t="str">
        <f ca="1">IF(A153&gt;TODAY(),"",IF('Daily Tracking'!B153&lt;&gt;"",1,0))</f>
        <v/>
      </c>
      <c r="C153" s="230" t="str">
        <f ca="1">IF(A153&gt;TODAY(),"",IF('Daily Tracking'!E153&lt;&gt;"",1,0))</f>
        <v/>
      </c>
      <c r="D153" s="230" t="str">
        <f ca="1">IF(A153&gt;TODAY(),"",IF(N('Daily Tracking'!G153)&gt;=Settings!$B$13,1,0))</f>
        <v/>
      </c>
      <c r="E153" s="230" t="str">
        <f ca="1">IF(A153&gt;TODAY(),"",IF(N('Daily Tracking'!H153)&gt;=Settings!$B$14,1,0))</f>
        <v/>
      </c>
      <c r="F153" s="230" t="str">
        <f ca="1">IF(A153&gt;TODAY(),"",IF(OR(N('Daily Tracking'!I153)&gt;0,'Daily Tracking'!J153="Yes"),1,0))</f>
        <v/>
      </c>
      <c r="G153" s="230" t="str">
        <f ca="1">IF(A153&gt;TODAY(),"",IF(N('Daily Tracking'!K153)&gt;=Settings!$B$15,1,0))</f>
        <v/>
      </c>
      <c r="H153" s="231" t="str">
        <f ca="1">IF(B153="","",AVERAGE(B153:G153))</f>
        <v/>
      </c>
      <c r="I153" s="136" t="str">
        <f ca="1">IF(B153="","",IF(B153=1,N(I152)+1,0))</f>
        <v/>
      </c>
      <c r="J153" s="232"/>
      <c r="K153" s="232"/>
      <c r="L153" s="232"/>
      <c r="M153" s="232"/>
    </row>
    <row r="154" spans="1:13" ht="18" customHeight="1" x14ac:dyDescent="0.3">
      <c r="A154" s="132">
        <f>'Daily Tracking'!A154</f>
        <v>46426</v>
      </c>
      <c r="B154" s="230" t="str">
        <f ca="1">IF(A154&gt;TODAY(),"",IF('Daily Tracking'!B154&lt;&gt;"",1,0))</f>
        <v/>
      </c>
      <c r="C154" s="230" t="str">
        <f ca="1">IF(A154&gt;TODAY(),"",IF('Daily Tracking'!E154&lt;&gt;"",1,0))</f>
        <v/>
      </c>
      <c r="D154" s="230" t="str">
        <f ca="1">IF(A154&gt;TODAY(),"",IF(N('Daily Tracking'!G154)&gt;=Settings!$B$13,1,0))</f>
        <v/>
      </c>
      <c r="E154" s="230" t="str">
        <f ca="1">IF(A154&gt;TODAY(),"",IF(N('Daily Tracking'!H154)&gt;=Settings!$B$14,1,0))</f>
        <v/>
      </c>
      <c r="F154" s="230" t="str">
        <f ca="1">IF(A154&gt;TODAY(),"",IF(OR(N('Daily Tracking'!I154)&gt;0,'Daily Tracking'!J154="Yes"),1,0))</f>
        <v/>
      </c>
      <c r="G154" s="230" t="str">
        <f ca="1">IF(A154&gt;TODAY(),"",IF(N('Daily Tracking'!K154)&gt;=Settings!$B$15,1,0))</f>
        <v/>
      </c>
      <c r="H154" s="231" t="str">
        <f ca="1">IF(B154="","",AVERAGE(B154:G154))</f>
        <v/>
      </c>
      <c r="I154" s="136" t="str">
        <f ca="1">IF(B154="","",IF(B154=1,N(I153)+1,0))</f>
        <v/>
      </c>
      <c r="J154" s="232"/>
      <c r="K154" s="232"/>
      <c r="L154" s="232"/>
      <c r="M154" s="232"/>
    </row>
    <row r="155" spans="1:13" ht="18" customHeight="1" x14ac:dyDescent="0.3">
      <c r="A155" s="132">
        <f>'Daily Tracking'!A155</f>
        <v>46427</v>
      </c>
      <c r="B155" s="230" t="str">
        <f ca="1">IF(A155&gt;TODAY(),"",IF('Daily Tracking'!B155&lt;&gt;"",1,0))</f>
        <v/>
      </c>
      <c r="C155" s="230" t="str">
        <f ca="1">IF(A155&gt;TODAY(),"",IF('Daily Tracking'!E155&lt;&gt;"",1,0))</f>
        <v/>
      </c>
      <c r="D155" s="230" t="str">
        <f ca="1">IF(A155&gt;TODAY(),"",IF(N('Daily Tracking'!G155)&gt;=Settings!$B$13,1,0))</f>
        <v/>
      </c>
      <c r="E155" s="230" t="str">
        <f ca="1">IF(A155&gt;TODAY(),"",IF(N('Daily Tracking'!H155)&gt;=Settings!$B$14,1,0))</f>
        <v/>
      </c>
      <c r="F155" s="230" t="str">
        <f ca="1">IF(A155&gt;TODAY(),"",IF(OR(N('Daily Tracking'!I155)&gt;0,'Daily Tracking'!J155="Yes"),1,0))</f>
        <v/>
      </c>
      <c r="G155" s="230" t="str">
        <f ca="1">IF(A155&gt;TODAY(),"",IF(N('Daily Tracking'!K155)&gt;=Settings!$B$15,1,0))</f>
        <v/>
      </c>
      <c r="H155" s="231" t="str">
        <f ca="1">IF(B155="","",AVERAGE(B155:G155))</f>
        <v/>
      </c>
      <c r="I155" s="136" t="str">
        <f ca="1">IF(B155="","",IF(B155=1,N(I154)+1,0))</f>
        <v/>
      </c>
      <c r="J155" s="232"/>
      <c r="K155" s="232"/>
      <c r="L155" s="232"/>
      <c r="M155" s="232"/>
    </row>
    <row r="156" spans="1:13" ht="18" customHeight="1" x14ac:dyDescent="0.3">
      <c r="A156" s="132">
        <f>'Daily Tracking'!A156</f>
        <v>46428</v>
      </c>
      <c r="B156" s="230" t="str">
        <f ca="1">IF(A156&gt;TODAY(),"",IF('Daily Tracking'!B156&lt;&gt;"",1,0))</f>
        <v/>
      </c>
      <c r="C156" s="230" t="str">
        <f ca="1">IF(A156&gt;TODAY(),"",IF('Daily Tracking'!E156&lt;&gt;"",1,0))</f>
        <v/>
      </c>
      <c r="D156" s="230" t="str">
        <f ca="1">IF(A156&gt;TODAY(),"",IF(N('Daily Tracking'!G156)&gt;=Settings!$B$13,1,0))</f>
        <v/>
      </c>
      <c r="E156" s="230" t="str">
        <f ca="1">IF(A156&gt;TODAY(),"",IF(N('Daily Tracking'!H156)&gt;=Settings!$B$14,1,0))</f>
        <v/>
      </c>
      <c r="F156" s="230" t="str">
        <f ca="1">IF(A156&gt;TODAY(),"",IF(OR(N('Daily Tracking'!I156)&gt;0,'Daily Tracking'!J156="Yes"),1,0))</f>
        <v/>
      </c>
      <c r="G156" s="230" t="str">
        <f ca="1">IF(A156&gt;TODAY(),"",IF(N('Daily Tracking'!K156)&gt;=Settings!$B$15,1,0))</f>
        <v/>
      </c>
      <c r="H156" s="231" t="str">
        <f ca="1">IF(B156="","",AVERAGE(B156:G156))</f>
        <v/>
      </c>
      <c r="I156" s="136" t="str">
        <f ca="1">IF(B156="","",IF(B156=1,N(I155)+1,0))</f>
        <v/>
      </c>
      <c r="J156" s="232"/>
      <c r="K156" s="232"/>
      <c r="L156" s="232"/>
      <c r="M156" s="232"/>
    </row>
    <row r="157" spans="1:13" ht="18" customHeight="1" x14ac:dyDescent="0.3">
      <c r="A157" s="132">
        <f>'Daily Tracking'!A157</f>
        <v>46429</v>
      </c>
      <c r="B157" s="230" t="str">
        <f ca="1">IF(A157&gt;TODAY(),"",IF('Daily Tracking'!B157&lt;&gt;"",1,0))</f>
        <v/>
      </c>
      <c r="C157" s="230" t="str">
        <f ca="1">IF(A157&gt;TODAY(),"",IF('Daily Tracking'!E157&lt;&gt;"",1,0))</f>
        <v/>
      </c>
      <c r="D157" s="230" t="str">
        <f ca="1">IF(A157&gt;TODAY(),"",IF(N('Daily Tracking'!G157)&gt;=Settings!$B$13,1,0))</f>
        <v/>
      </c>
      <c r="E157" s="230" t="str">
        <f ca="1">IF(A157&gt;TODAY(),"",IF(N('Daily Tracking'!H157)&gt;=Settings!$B$14,1,0))</f>
        <v/>
      </c>
      <c r="F157" s="230" t="str">
        <f ca="1">IF(A157&gt;TODAY(),"",IF(OR(N('Daily Tracking'!I157)&gt;0,'Daily Tracking'!J157="Yes"),1,0))</f>
        <v/>
      </c>
      <c r="G157" s="230" t="str">
        <f ca="1">IF(A157&gt;TODAY(),"",IF(N('Daily Tracking'!K157)&gt;=Settings!$B$15,1,0))</f>
        <v/>
      </c>
      <c r="H157" s="231" t="str">
        <f ca="1">IF(B157="","",AVERAGE(B157:G157))</f>
        <v/>
      </c>
      <c r="I157" s="136" t="str">
        <f ca="1">IF(B157="","",IF(B157=1,N(I156)+1,0))</f>
        <v/>
      </c>
      <c r="J157" s="232"/>
      <c r="K157" s="232"/>
      <c r="L157" s="232"/>
      <c r="M157" s="232"/>
    </row>
    <row r="158" spans="1:13" ht="18" customHeight="1" x14ac:dyDescent="0.3">
      <c r="A158" s="132">
        <f>'Daily Tracking'!A158</f>
        <v>46430</v>
      </c>
      <c r="B158" s="230" t="str">
        <f ca="1">IF(A158&gt;TODAY(),"",IF('Daily Tracking'!B158&lt;&gt;"",1,0))</f>
        <v/>
      </c>
      <c r="C158" s="230" t="str">
        <f ca="1">IF(A158&gt;TODAY(),"",IF('Daily Tracking'!E158&lt;&gt;"",1,0))</f>
        <v/>
      </c>
      <c r="D158" s="230" t="str">
        <f ca="1">IF(A158&gt;TODAY(),"",IF(N('Daily Tracking'!G158)&gt;=Settings!$B$13,1,0))</f>
        <v/>
      </c>
      <c r="E158" s="230" t="str">
        <f ca="1">IF(A158&gt;TODAY(),"",IF(N('Daily Tracking'!H158)&gt;=Settings!$B$14,1,0))</f>
        <v/>
      </c>
      <c r="F158" s="230" t="str">
        <f ca="1">IF(A158&gt;TODAY(),"",IF(OR(N('Daily Tracking'!I158)&gt;0,'Daily Tracking'!J158="Yes"),1,0))</f>
        <v/>
      </c>
      <c r="G158" s="230" t="str">
        <f ca="1">IF(A158&gt;TODAY(),"",IF(N('Daily Tracking'!K158)&gt;=Settings!$B$15,1,0))</f>
        <v/>
      </c>
      <c r="H158" s="231" t="str">
        <f ca="1">IF(B158="","",AVERAGE(B158:G158))</f>
        <v/>
      </c>
      <c r="I158" s="136" t="str">
        <f ca="1">IF(B158="","",IF(B158=1,N(I157)+1,0))</f>
        <v/>
      </c>
      <c r="J158" s="232"/>
      <c r="K158" s="232"/>
      <c r="L158" s="232"/>
      <c r="M158" s="232"/>
    </row>
    <row r="159" spans="1:13" ht="18" customHeight="1" x14ac:dyDescent="0.3">
      <c r="A159" s="132">
        <f>'Daily Tracking'!A159</f>
        <v>46431</v>
      </c>
      <c r="B159" s="230" t="str">
        <f ca="1">IF(A159&gt;TODAY(),"",IF('Daily Tracking'!B159&lt;&gt;"",1,0))</f>
        <v/>
      </c>
      <c r="C159" s="230" t="str">
        <f ca="1">IF(A159&gt;TODAY(),"",IF('Daily Tracking'!E159&lt;&gt;"",1,0))</f>
        <v/>
      </c>
      <c r="D159" s="230" t="str">
        <f ca="1">IF(A159&gt;TODAY(),"",IF(N('Daily Tracking'!G159)&gt;=Settings!$B$13,1,0))</f>
        <v/>
      </c>
      <c r="E159" s="230" t="str">
        <f ca="1">IF(A159&gt;TODAY(),"",IF(N('Daily Tracking'!H159)&gt;=Settings!$B$14,1,0))</f>
        <v/>
      </c>
      <c r="F159" s="230" t="str">
        <f ca="1">IF(A159&gt;TODAY(),"",IF(OR(N('Daily Tracking'!I159)&gt;0,'Daily Tracking'!J159="Yes"),1,0))</f>
        <v/>
      </c>
      <c r="G159" s="230" t="str">
        <f ca="1">IF(A159&gt;TODAY(),"",IF(N('Daily Tracking'!K159)&gt;=Settings!$B$15,1,0))</f>
        <v/>
      </c>
      <c r="H159" s="231" t="str">
        <f ca="1">IF(B159="","",AVERAGE(B159:G159))</f>
        <v/>
      </c>
      <c r="I159" s="136" t="str">
        <f ca="1">IF(B159="","",IF(B159=1,N(I158)+1,0))</f>
        <v/>
      </c>
      <c r="J159" s="232"/>
      <c r="K159" s="232"/>
      <c r="L159" s="232"/>
      <c r="M159" s="232"/>
    </row>
    <row r="160" spans="1:13" ht="18" customHeight="1" x14ac:dyDescent="0.3">
      <c r="A160" s="132">
        <f>'Daily Tracking'!A160</f>
        <v>46432</v>
      </c>
      <c r="B160" s="230" t="str">
        <f ca="1">IF(A160&gt;TODAY(),"",IF('Daily Tracking'!B160&lt;&gt;"",1,0))</f>
        <v/>
      </c>
      <c r="C160" s="230" t="str">
        <f ca="1">IF(A160&gt;TODAY(),"",IF('Daily Tracking'!E160&lt;&gt;"",1,0))</f>
        <v/>
      </c>
      <c r="D160" s="230" t="str">
        <f ca="1">IF(A160&gt;TODAY(),"",IF(N('Daily Tracking'!G160)&gt;=Settings!$B$13,1,0))</f>
        <v/>
      </c>
      <c r="E160" s="230" t="str">
        <f ca="1">IF(A160&gt;TODAY(),"",IF(N('Daily Tracking'!H160)&gt;=Settings!$B$14,1,0))</f>
        <v/>
      </c>
      <c r="F160" s="230" t="str">
        <f ca="1">IF(A160&gt;TODAY(),"",IF(OR(N('Daily Tracking'!I160)&gt;0,'Daily Tracking'!J160="Yes"),1,0))</f>
        <v/>
      </c>
      <c r="G160" s="230" t="str">
        <f ca="1">IF(A160&gt;TODAY(),"",IF(N('Daily Tracking'!K160)&gt;=Settings!$B$15,1,0))</f>
        <v/>
      </c>
      <c r="H160" s="231" t="str">
        <f ca="1">IF(B160="","",AVERAGE(B160:G160))</f>
        <v/>
      </c>
      <c r="I160" s="136" t="str">
        <f ca="1">IF(B160="","",IF(B160=1,N(I159)+1,0))</f>
        <v/>
      </c>
      <c r="J160" s="232"/>
      <c r="K160" s="232"/>
      <c r="L160" s="232"/>
      <c r="M160" s="232"/>
    </row>
    <row r="161" spans="1:13" ht="18" customHeight="1" x14ac:dyDescent="0.3">
      <c r="A161" s="132">
        <f>'Daily Tracking'!A161</f>
        <v>46433</v>
      </c>
      <c r="B161" s="230" t="str">
        <f ca="1">IF(A161&gt;TODAY(),"",IF('Daily Tracking'!B161&lt;&gt;"",1,0))</f>
        <v/>
      </c>
      <c r="C161" s="230" t="str">
        <f ca="1">IF(A161&gt;TODAY(),"",IF('Daily Tracking'!E161&lt;&gt;"",1,0))</f>
        <v/>
      </c>
      <c r="D161" s="230" t="str">
        <f ca="1">IF(A161&gt;TODAY(),"",IF(N('Daily Tracking'!G161)&gt;=Settings!$B$13,1,0))</f>
        <v/>
      </c>
      <c r="E161" s="230" t="str">
        <f ca="1">IF(A161&gt;TODAY(),"",IF(N('Daily Tracking'!H161)&gt;=Settings!$B$14,1,0))</f>
        <v/>
      </c>
      <c r="F161" s="230" t="str">
        <f ca="1">IF(A161&gt;TODAY(),"",IF(OR(N('Daily Tracking'!I161)&gt;0,'Daily Tracking'!J161="Yes"),1,0))</f>
        <v/>
      </c>
      <c r="G161" s="230" t="str">
        <f ca="1">IF(A161&gt;TODAY(),"",IF(N('Daily Tracking'!K161)&gt;=Settings!$B$15,1,0))</f>
        <v/>
      </c>
      <c r="H161" s="231" t="str">
        <f ca="1">IF(B161="","",AVERAGE(B161:G161))</f>
        <v/>
      </c>
      <c r="I161" s="136" t="str">
        <f ca="1">IF(B161="","",IF(B161=1,N(I160)+1,0))</f>
        <v/>
      </c>
      <c r="J161" s="232"/>
      <c r="K161" s="232"/>
      <c r="L161" s="232"/>
      <c r="M161" s="232"/>
    </row>
    <row r="162" spans="1:13" ht="18" customHeight="1" x14ac:dyDescent="0.3">
      <c r="A162" s="132">
        <f>'Daily Tracking'!A162</f>
        <v>46434</v>
      </c>
      <c r="B162" s="230" t="str">
        <f ca="1">IF(A162&gt;TODAY(),"",IF('Daily Tracking'!B162&lt;&gt;"",1,0))</f>
        <v/>
      </c>
      <c r="C162" s="230" t="str">
        <f ca="1">IF(A162&gt;TODAY(),"",IF('Daily Tracking'!E162&lt;&gt;"",1,0))</f>
        <v/>
      </c>
      <c r="D162" s="230" t="str">
        <f ca="1">IF(A162&gt;TODAY(),"",IF(N('Daily Tracking'!G162)&gt;=Settings!$B$13,1,0))</f>
        <v/>
      </c>
      <c r="E162" s="230" t="str">
        <f ca="1">IF(A162&gt;TODAY(),"",IF(N('Daily Tracking'!H162)&gt;=Settings!$B$14,1,0))</f>
        <v/>
      </c>
      <c r="F162" s="230" t="str">
        <f ca="1">IF(A162&gt;TODAY(),"",IF(OR(N('Daily Tracking'!I162)&gt;0,'Daily Tracking'!J162="Yes"),1,0))</f>
        <v/>
      </c>
      <c r="G162" s="230" t="str">
        <f ca="1">IF(A162&gt;TODAY(),"",IF(N('Daily Tracking'!K162)&gt;=Settings!$B$15,1,0))</f>
        <v/>
      </c>
      <c r="H162" s="231" t="str">
        <f ca="1">IF(B162="","",AVERAGE(B162:G162))</f>
        <v/>
      </c>
      <c r="I162" s="136" t="str">
        <f ca="1">IF(B162="","",IF(B162=1,N(I161)+1,0))</f>
        <v/>
      </c>
      <c r="J162" s="232"/>
      <c r="K162" s="232"/>
      <c r="L162" s="232"/>
      <c r="M162" s="232"/>
    </row>
    <row r="163" spans="1:13" ht="18" customHeight="1" x14ac:dyDescent="0.3">
      <c r="A163" s="132">
        <f>'Daily Tracking'!A163</f>
        <v>46435</v>
      </c>
      <c r="B163" s="230" t="str">
        <f ca="1">IF(A163&gt;TODAY(),"",IF('Daily Tracking'!B163&lt;&gt;"",1,0))</f>
        <v/>
      </c>
      <c r="C163" s="230" t="str">
        <f ca="1">IF(A163&gt;TODAY(),"",IF('Daily Tracking'!E163&lt;&gt;"",1,0))</f>
        <v/>
      </c>
      <c r="D163" s="230" t="str">
        <f ca="1">IF(A163&gt;TODAY(),"",IF(N('Daily Tracking'!G163)&gt;=Settings!$B$13,1,0))</f>
        <v/>
      </c>
      <c r="E163" s="230" t="str">
        <f ca="1">IF(A163&gt;TODAY(),"",IF(N('Daily Tracking'!H163)&gt;=Settings!$B$14,1,0))</f>
        <v/>
      </c>
      <c r="F163" s="230" t="str">
        <f ca="1">IF(A163&gt;TODAY(),"",IF(OR(N('Daily Tracking'!I163)&gt;0,'Daily Tracking'!J163="Yes"),1,0))</f>
        <v/>
      </c>
      <c r="G163" s="230" t="str">
        <f ca="1">IF(A163&gt;TODAY(),"",IF(N('Daily Tracking'!K163)&gt;=Settings!$B$15,1,0))</f>
        <v/>
      </c>
      <c r="H163" s="231" t="str">
        <f ca="1">IF(B163="","",AVERAGE(B163:G163))</f>
        <v/>
      </c>
      <c r="I163" s="136" t="str">
        <f ca="1">IF(B163="","",IF(B163=1,N(I162)+1,0))</f>
        <v/>
      </c>
      <c r="J163" s="232"/>
      <c r="K163" s="232"/>
      <c r="L163" s="232"/>
      <c r="M163" s="232"/>
    </row>
    <row r="164" spans="1:13" ht="18" customHeight="1" x14ac:dyDescent="0.3">
      <c r="A164" s="132">
        <f>'Daily Tracking'!A164</f>
        <v>46436</v>
      </c>
      <c r="B164" s="230" t="str">
        <f ca="1">IF(A164&gt;TODAY(),"",IF('Daily Tracking'!B164&lt;&gt;"",1,0))</f>
        <v/>
      </c>
      <c r="C164" s="230" t="str">
        <f ca="1">IF(A164&gt;TODAY(),"",IF('Daily Tracking'!E164&lt;&gt;"",1,0))</f>
        <v/>
      </c>
      <c r="D164" s="230" t="str">
        <f ca="1">IF(A164&gt;TODAY(),"",IF(N('Daily Tracking'!G164)&gt;=Settings!$B$13,1,0))</f>
        <v/>
      </c>
      <c r="E164" s="230" t="str">
        <f ca="1">IF(A164&gt;TODAY(),"",IF(N('Daily Tracking'!H164)&gt;=Settings!$B$14,1,0))</f>
        <v/>
      </c>
      <c r="F164" s="230" t="str">
        <f ca="1">IF(A164&gt;TODAY(),"",IF(OR(N('Daily Tracking'!I164)&gt;0,'Daily Tracking'!J164="Yes"),1,0))</f>
        <v/>
      </c>
      <c r="G164" s="230" t="str">
        <f ca="1">IF(A164&gt;TODAY(),"",IF(N('Daily Tracking'!K164)&gt;=Settings!$B$15,1,0))</f>
        <v/>
      </c>
      <c r="H164" s="231" t="str">
        <f ca="1">IF(B164="","",AVERAGE(B164:G164))</f>
        <v/>
      </c>
      <c r="I164" s="136" t="str">
        <f ca="1">IF(B164="","",IF(B164=1,N(I163)+1,0))</f>
        <v/>
      </c>
      <c r="J164" s="232"/>
      <c r="K164" s="232"/>
      <c r="L164" s="232"/>
      <c r="M164" s="232"/>
    </row>
    <row r="165" spans="1:13" ht="18" customHeight="1" x14ac:dyDescent="0.3">
      <c r="A165" s="132">
        <f>'Daily Tracking'!A165</f>
        <v>46437</v>
      </c>
      <c r="B165" s="230" t="str">
        <f ca="1">IF(A165&gt;TODAY(),"",IF('Daily Tracking'!B165&lt;&gt;"",1,0))</f>
        <v/>
      </c>
      <c r="C165" s="230" t="str">
        <f ca="1">IF(A165&gt;TODAY(),"",IF('Daily Tracking'!E165&lt;&gt;"",1,0))</f>
        <v/>
      </c>
      <c r="D165" s="230" t="str">
        <f ca="1">IF(A165&gt;TODAY(),"",IF(N('Daily Tracking'!G165)&gt;=Settings!$B$13,1,0))</f>
        <v/>
      </c>
      <c r="E165" s="230" t="str">
        <f ca="1">IF(A165&gt;TODAY(),"",IF(N('Daily Tracking'!H165)&gt;=Settings!$B$14,1,0))</f>
        <v/>
      </c>
      <c r="F165" s="230" t="str">
        <f ca="1">IF(A165&gt;TODAY(),"",IF(OR(N('Daily Tracking'!I165)&gt;0,'Daily Tracking'!J165="Yes"),1,0))</f>
        <v/>
      </c>
      <c r="G165" s="230" t="str">
        <f ca="1">IF(A165&gt;TODAY(),"",IF(N('Daily Tracking'!K165)&gt;=Settings!$B$15,1,0))</f>
        <v/>
      </c>
      <c r="H165" s="231" t="str">
        <f ca="1">IF(B165="","",AVERAGE(B165:G165))</f>
        <v/>
      </c>
      <c r="I165" s="136" t="str">
        <f ca="1">IF(B165="","",IF(B165=1,N(I164)+1,0))</f>
        <v/>
      </c>
      <c r="J165" s="232"/>
      <c r="K165" s="232"/>
      <c r="L165" s="232"/>
      <c r="M165" s="232"/>
    </row>
    <row r="166" spans="1:13" ht="18" customHeight="1" x14ac:dyDescent="0.3">
      <c r="A166" s="132">
        <f>'Daily Tracking'!A166</f>
        <v>46438</v>
      </c>
      <c r="B166" s="230" t="str">
        <f ca="1">IF(A166&gt;TODAY(),"",IF('Daily Tracking'!B166&lt;&gt;"",1,0))</f>
        <v/>
      </c>
      <c r="C166" s="230" t="str">
        <f ca="1">IF(A166&gt;TODAY(),"",IF('Daily Tracking'!E166&lt;&gt;"",1,0))</f>
        <v/>
      </c>
      <c r="D166" s="230" t="str">
        <f ca="1">IF(A166&gt;TODAY(),"",IF(N('Daily Tracking'!G166)&gt;=Settings!$B$13,1,0))</f>
        <v/>
      </c>
      <c r="E166" s="230" t="str">
        <f ca="1">IF(A166&gt;TODAY(),"",IF(N('Daily Tracking'!H166)&gt;=Settings!$B$14,1,0))</f>
        <v/>
      </c>
      <c r="F166" s="230" t="str">
        <f ca="1">IF(A166&gt;TODAY(),"",IF(OR(N('Daily Tracking'!I166)&gt;0,'Daily Tracking'!J166="Yes"),1,0))</f>
        <v/>
      </c>
      <c r="G166" s="230" t="str">
        <f ca="1">IF(A166&gt;TODAY(),"",IF(N('Daily Tracking'!K166)&gt;=Settings!$B$15,1,0))</f>
        <v/>
      </c>
      <c r="H166" s="231" t="str">
        <f ca="1">IF(B166="","",AVERAGE(B166:G166))</f>
        <v/>
      </c>
      <c r="I166" s="136" t="str">
        <f ca="1">IF(B166="","",IF(B166=1,N(I165)+1,0))</f>
        <v/>
      </c>
      <c r="J166" s="232"/>
      <c r="K166" s="232"/>
      <c r="L166" s="232"/>
      <c r="M166" s="232"/>
    </row>
    <row r="167" spans="1:13" ht="18" customHeight="1" x14ac:dyDescent="0.3">
      <c r="A167" s="132">
        <f>'Daily Tracking'!A167</f>
        <v>46439</v>
      </c>
      <c r="B167" s="230" t="str">
        <f ca="1">IF(A167&gt;TODAY(),"",IF('Daily Tracking'!B167&lt;&gt;"",1,0))</f>
        <v/>
      </c>
      <c r="C167" s="230" t="str">
        <f ca="1">IF(A167&gt;TODAY(),"",IF('Daily Tracking'!E167&lt;&gt;"",1,0))</f>
        <v/>
      </c>
      <c r="D167" s="230" t="str">
        <f ca="1">IF(A167&gt;TODAY(),"",IF(N('Daily Tracking'!G167)&gt;=Settings!$B$13,1,0))</f>
        <v/>
      </c>
      <c r="E167" s="230" t="str">
        <f ca="1">IF(A167&gt;TODAY(),"",IF(N('Daily Tracking'!H167)&gt;=Settings!$B$14,1,0))</f>
        <v/>
      </c>
      <c r="F167" s="230" t="str">
        <f ca="1">IF(A167&gt;TODAY(),"",IF(OR(N('Daily Tracking'!I167)&gt;0,'Daily Tracking'!J167="Yes"),1,0))</f>
        <v/>
      </c>
      <c r="G167" s="230" t="str">
        <f ca="1">IF(A167&gt;TODAY(),"",IF(N('Daily Tracking'!K167)&gt;=Settings!$B$15,1,0))</f>
        <v/>
      </c>
      <c r="H167" s="231" t="str">
        <f ca="1">IF(B167="","",AVERAGE(B167:G167))</f>
        <v/>
      </c>
      <c r="I167" s="136" t="str">
        <f ca="1">IF(B167="","",IF(B167=1,N(I166)+1,0))</f>
        <v/>
      </c>
      <c r="J167" s="232"/>
      <c r="K167" s="232"/>
      <c r="L167" s="232"/>
      <c r="M167" s="232"/>
    </row>
    <row r="168" spans="1:13" ht="18" customHeight="1" x14ac:dyDescent="0.3">
      <c r="A168" s="132">
        <f>'Daily Tracking'!A168</f>
        <v>46440</v>
      </c>
      <c r="B168" s="230" t="str">
        <f ca="1">IF(A168&gt;TODAY(),"",IF('Daily Tracking'!B168&lt;&gt;"",1,0))</f>
        <v/>
      </c>
      <c r="C168" s="230" t="str">
        <f ca="1">IF(A168&gt;TODAY(),"",IF('Daily Tracking'!E168&lt;&gt;"",1,0))</f>
        <v/>
      </c>
      <c r="D168" s="230" t="str">
        <f ca="1">IF(A168&gt;TODAY(),"",IF(N('Daily Tracking'!G168)&gt;=Settings!$B$13,1,0))</f>
        <v/>
      </c>
      <c r="E168" s="230" t="str">
        <f ca="1">IF(A168&gt;TODAY(),"",IF(N('Daily Tracking'!H168)&gt;=Settings!$B$14,1,0))</f>
        <v/>
      </c>
      <c r="F168" s="230" t="str">
        <f ca="1">IF(A168&gt;TODAY(),"",IF(OR(N('Daily Tracking'!I168)&gt;0,'Daily Tracking'!J168="Yes"),1,0))</f>
        <v/>
      </c>
      <c r="G168" s="230" t="str">
        <f ca="1">IF(A168&gt;TODAY(),"",IF(N('Daily Tracking'!K168)&gt;=Settings!$B$15,1,0))</f>
        <v/>
      </c>
      <c r="H168" s="231" t="str">
        <f ca="1">IF(B168="","",AVERAGE(B168:G168))</f>
        <v/>
      </c>
      <c r="I168" s="136" t="str">
        <f ca="1">IF(B168="","",IF(B168=1,N(I167)+1,0))</f>
        <v/>
      </c>
      <c r="J168" s="232"/>
      <c r="K168" s="232"/>
      <c r="L168" s="232"/>
      <c r="M168" s="232"/>
    </row>
    <row r="169" spans="1:13" ht="18" customHeight="1" x14ac:dyDescent="0.3">
      <c r="A169" s="132">
        <f>'Daily Tracking'!A169</f>
        <v>46441</v>
      </c>
      <c r="B169" s="230" t="str">
        <f ca="1">IF(A169&gt;TODAY(),"",IF('Daily Tracking'!B169&lt;&gt;"",1,0))</f>
        <v/>
      </c>
      <c r="C169" s="230" t="str">
        <f ca="1">IF(A169&gt;TODAY(),"",IF('Daily Tracking'!E169&lt;&gt;"",1,0))</f>
        <v/>
      </c>
      <c r="D169" s="230" t="str">
        <f ca="1">IF(A169&gt;TODAY(),"",IF(N('Daily Tracking'!G169)&gt;=Settings!$B$13,1,0))</f>
        <v/>
      </c>
      <c r="E169" s="230" t="str">
        <f ca="1">IF(A169&gt;TODAY(),"",IF(N('Daily Tracking'!H169)&gt;=Settings!$B$14,1,0))</f>
        <v/>
      </c>
      <c r="F169" s="230" t="str">
        <f ca="1">IF(A169&gt;TODAY(),"",IF(OR(N('Daily Tracking'!I169)&gt;0,'Daily Tracking'!J169="Yes"),1,0))</f>
        <v/>
      </c>
      <c r="G169" s="230" t="str">
        <f ca="1">IF(A169&gt;TODAY(),"",IF(N('Daily Tracking'!K169)&gt;=Settings!$B$15,1,0))</f>
        <v/>
      </c>
      <c r="H169" s="231" t="str">
        <f ca="1">IF(B169="","",AVERAGE(B169:G169))</f>
        <v/>
      </c>
      <c r="I169" s="136" t="str">
        <f ca="1">IF(B169="","",IF(B169=1,N(I168)+1,0))</f>
        <v/>
      </c>
      <c r="J169" s="232"/>
      <c r="K169" s="232"/>
      <c r="L169" s="232"/>
      <c r="M169" s="232"/>
    </row>
    <row r="170" spans="1:13" ht="18" customHeight="1" x14ac:dyDescent="0.3">
      <c r="A170" s="132">
        <f>'Daily Tracking'!A170</f>
        <v>46442</v>
      </c>
      <c r="B170" s="230" t="str">
        <f ca="1">IF(A170&gt;TODAY(),"",IF('Daily Tracking'!B170&lt;&gt;"",1,0))</f>
        <v/>
      </c>
      <c r="C170" s="230" t="str">
        <f ca="1">IF(A170&gt;TODAY(),"",IF('Daily Tracking'!E170&lt;&gt;"",1,0))</f>
        <v/>
      </c>
      <c r="D170" s="230" t="str">
        <f ca="1">IF(A170&gt;TODAY(),"",IF(N('Daily Tracking'!G170)&gt;=Settings!$B$13,1,0))</f>
        <v/>
      </c>
      <c r="E170" s="230" t="str">
        <f ca="1">IF(A170&gt;TODAY(),"",IF(N('Daily Tracking'!H170)&gt;=Settings!$B$14,1,0))</f>
        <v/>
      </c>
      <c r="F170" s="230" t="str">
        <f ca="1">IF(A170&gt;TODAY(),"",IF(OR(N('Daily Tracking'!I170)&gt;0,'Daily Tracking'!J170="Yes"),1,0))</f>
        <v/>
      </c>
      <c r="G170" s="230" t="str">
        <f ca="1">IF(A170&gt;TODAY(),"",IF(N('Daily Tracking'!K170)&gt;=Settings!$B$15,1,0))</f>
        <v/>
      </c>
      <c r="H170" s="231" t="str">
        <f ca="1">IF(B170="","",AVERAGE(B170:G170))</f>
        <v/>
      </c>
      <c r="I170" s="136" t="str">
        <f ca="1">IF(B170="","",IF(B170=1,N(I169)+1,0))</f>
        <v/>
      </c>
      <c r="J170" s="232"/>
      <c r="K170" s="232"/>
      <c r="L170" s="232"/>
      <c r="M170" s="232"/>
    </row>
    <row r="171" spans="1:13" ht="18" customHeight="1" x14ac:dyDescent="0.3">
      <c r="A171" s="132">
        <f>'Daily Tracking'!A171</f>
        <v>46443</v>
      </c>
      <c r="B171" s="230" t="str">
        <f ca="1">IF(A171&gt;TODAY(),"",IF('Daily Tracking'!B171&lt;&gt;"",1,0))</f>
        <v/>
      </c>
      <c r="C171" s="230" t="str">
        <f ca="1">IF(A171&gt;TODAY(),"",IF('Daily Tracking'!E171&lt;&gt;"",1,0))</f>
        <v/>
      </c>
      <c r="D171" s="230" t="str">
        <f ca="1">IF(A171&gt;TODAY(),"",IF(N('Daily Tracking'!G171)&gt;=Settings!$B$13,1,0))</f>
        <v/>
      </c>
      <c r="E171" s="230" t="str">
        <f ca="1">IF(A171&gt;TODAY(),"",IF(N('Daily Tracking'!H171)&gt;=Settings!$B$14,1,0))</f>
        <v/>
      </c>
      <c r="F171" s="230" t="str">
        <f ca="1">IF(A171&gt;TODAY(),"",IF(OR(N('Daily Tracking'!I171)&gt;0,'Daily Tracking'!J171="Yes"),1,0))</f>
        <v/>
      </c>
      <c r="G171" s="230" t="str">
        <f ca="1">IF(A171&gt;TODAY(),"",IF(N('Daily Tracking'!K171)&gt;=Settings!$B$15,1,0))</f>
        <v/>
      </c>
      <c r="H171" s="231" t="str">
        <f ca="1">IF(B171="","",AVERAGE(B171:G171))</f>
        <v/>
      </c>
      <c r="I171" s="136" t="str">
        <f ca="1">IF(B171="","",IF(B171=1,N(I170)+1,0))</f>
        <v/>
      </c>
      <c r="J171" s="232"/>
      <c r="K171" s="232"/>
      <c r="L171" s="232"/>
      <c r="M171" s="232"/>
    </row>
    <row r="172" spans="1:13" ht="18" customHeight="1" x14ac:dyDescent="0.3">
      <c r="A172" s="132">
        <f>'Daily Tracking'!A172</f>
        <v>46444</v>
      </c>
      <c r="B172" s="230" t="str">
        <f ca="1">IF(A172&gt;TODAY(),"",IF('Daily Tracking'!B172&lt;&gt;"",1,0))</f>
        <v/>
      </c>
      <c r="C172" s="230" t="str">
        <f ca="1">IF(A172&gt;TODAY(),"",IF('Daily Tracking'!E172&lt;&gt;"",1,0))</f>
        <v/>
      </c>
      <c r="D172" s="230" t="str">
        <f ca="1">IF(A172&gt;TODAY(),"",IF(N('Daily Tracking'!G172)&gt;=Settings!$B$13,1,0))</f>
        <v/>
      </c>
      <c r="E172" s="230" t="str">
        <f ca="1">IF(A172&gt;TODAY(),"",IF(N('Daily Tracking'!H172)&gt;=Settings!$B$14,1,0))</f>
        <v/>
      </c>
      <c r="F172" s="230" t="str">
        <f ca="1">IF(A172&gt;TODAY(),"",IF(OR(N('Daily Tracking'!I172)&gt;0,'Daily Tracking'!J172="Yes"),1,0))</f>
        <v/>
      </c>
      <c r="G172" s="230" t="str">
        <f ca="1">IF(A172&gt;TODAY(),"",IF(N('Daily Tracking'!K172)&gt;=Settings!$B$15,1,0))</f>
        <v/>
      </c>
      <c r="H172" s="231" t="str">
        <f ca="1">IF(B172="","",AVERAGE(B172:G172))</f>
        <v/>
      </c>
      <c r="I172" s="136" t="str">
        <f ca="1">IF(B172="","",IF(B172=1,N(I171)+1,0))</f>
        <v/>
      </c>
      <c r="J172" s="232"/>
      <c r="K172" s="232"/>
      <c r="L172" s="232"/>
      <c r="M172" s="232"/>
    </row>
    <row r="173" spans="1:13" ht="18" customHeight="1" x14ac:dyDescent="0.3">
      <c r="A173" s="132">
        <f>'Daily Tracking'!A173</f>
        <v>46445</v>
      </c>
      <c r="B173" s="230" t="str">
        <f ca="1">IF(A173&gt;TODAY(),"",IF('Daily Tracking'!B173&lt;&gt;"",1,0))</f>
        <v/>
      </c>
      <c r="C173" s="230" t="str">
        <f ca="1">IF(A173&gt;TODAY(),"",IF('Daily Tracking'!E173&lt;&gt;"",1,0))</f>
        <v/>
      </c>
      <c r="D173" s="230" t="str">
        <f ca="1">IF(A173&gt;TODAY(),"",IF(N('Daily Tracking'!G173)&gt;=Settings!$B$13,1,0))</f>
        <v/>
      </c>
      <c r="E173" s="230" t="str">
        <f ca="1">IF(A173&gt;TODAY(),"",IF(N('Daily Tracking'!H173)&gt;=Settings!$B$14,1,0))</f>
        <v/>
      </c>
      <c r="F173" s="230" t="str">
        <f ca="1">IF(A173&gt;TODAY(),"",IF(OR(N('Daily Tracking'!I173)&gt;0,'Daily Tracking'!J173="Yes"),1,0))</f>
        <v/>
      </c>
      <c r="G173" s="230" t="str">
        <f ca="1">IF(A173&gt;TODAY(),"",IF(N('Daily Tracking'!K173)&gt;=Settings!$B$15,1,0))</f>
        <v/>
      </c>
      <c r="H173" s="231" t="str">
        <f ca="1">IF(B173="","",AVERAGE(B173:G173))</f>
        <v/>
      </c>
      <c r="I173" s="136" t="str">
        <f ca="1">IF(B173="","",IF(B173=1,N(I172)+1,0))</f>
        <v/>
      </c>
      <c r="J173" s="232"/>
      <c r="K173" s="232"/>
      <c r="L173" s="232"/>
      <c r="M173" s="232"/>
    </row>
    <row r="174" spans="1:13" ht="18" customHeight="1" x14ac:dyDescent="0.3">
      <c r="A174" s="132">
        <f>'Daily Tracking'!A174</f>
        <v>46446</v>
      </c>
      <c r="B174" s="230" t="str">
        <f ca="1">IF(A174&gt;TODAY(),"",IF('Daily Tracking'!B174&lt;&gt;"",1,0))</f>
        <v/>
      </c>
      <c r="C174" s="230" t="str">
        <f ca="1">IF(A174&gt;TODAY(),"",IF('Daily Tracking'!E174&lt;&gt;"",1,0))</f>
        <v/>
      </c>
      <c r="D174" s="230" t="str">
        <f ca="1">IF(A174&gt;TODAY(),"",IF(N('Daily Tracking'!G174)&gt;=Settings!$B$13,1,0))</f>
        <v/>
      </c>
      <c r="E174" s="230" t="str">
        <f ca="1">IF(A174&gt;TODAY(),"",IF(N('Daily Tracking'!H174)&gt;=Settings!$B$14,1,0))</f>
        <v/>
      </c>
      <c r="F174" s="230" t="str">
        <f ca="1">IF(A174&gt;TODAY(),"",IF(OR(N('Daily Tracking'!I174)&gt;0,'Daily Tracking'!J174="Yes"),1,0))</f>
        <v/>
      </c>
      <c r="G174" s="230" t="str">
        <f ca="1">IF(A174&gt;TODAY(),"",IF(N('Daily Tracking'!K174)&gt;=Settings!$B$15,1,0))</f>
        <v/>
      </c>
      <c r="H174" s="231" t="str">
        <f ca="1">IF(B174="","",AVERAGE(B174:G174))</f>
        <v/>
      </c>
      <c r="I174" s="136" t="str">
        <f ca="1">IF(B174="","",IF(B174=1,N(I173)+1,0))</f>
        <v/>
      </c>
      <c r="J174" s="232"/>
      <c r="K174" s="232"/>
      <c r="L174" s="232"/>
      <c r="M174" s="232"/>
    </row>
    <row r="175" spans="1:13" ht="18" customHeight="1" x14ac:dyDescent="0.3">
      <c r="A175" s="132">
        <f>'Daily Tracking'!A175</f>
        <v>46447</v>
      </c>
      <c r="B175" s="230" t="str">
        <f ca="1">IF(A175&gt;TODAY(),"",IF('Daily Tracking'!B175&lt;&gt;"",1,0))</f>
        <v/>
      </c>
      <c r="C175" s="230" t="str">
        <f ca="1">IF(A175&gt;TODAY(),"",IF('Daily Tracking'!E175&lt;&gt;"",1,0))</f>
        <v/>
      </c>
      <c r="D175" s="230" t="str">
        <f ca="1">IF(A175&gt;TODAY(),"",IF(N('Daily Tracking'!G175)&gt;=Settings!$B$13,1,0))</f>
        <v/>
      </c>
      <c r="E175" s="230" t="str">
        <f ca="1">IF(A175&gt;TODAY(),"",IF(N('Daily Tracking'!H175)&gt;=Settings!$B$14,1,0))</f>
        <v/>
      </c>
      <c r="F175" s="230" t="str">
        <f ca="1">IF(A175&gt;TODAY(),"",IF(OR(N('Daily Tracking'!I175)&gt;0,'Daily Tracking'!J175="Yes"),1,0))</f>
        <v/>
      </c>
      <c r="G175" s="230" t="str">
        <f ca="1">IF(A175&gt;TODAY(),"",IF(N('Daily Tracking'!K175)&gt;=Settings!$B$15,1,0))</f>
        <v/>
      </c>
      <c r="H175" s="231" t="str">
        <f ca="1">IF(B175="","",AVERAGE(B175:G175))</f>
        <v/>
      </c>
      <c r="I175" s="136" t="str">
        <f ca="1">IF(B175="","",IF(B175=1,N(I174)+1,0))</f>
        <v/>
      </c>
      <c r="J175" s="232"/>
      <c r="K175" s="232"/>
      <c r="L175" s="232"/>
      <c r="M175" s="232"/>
    </row>
    <row r="176" spans="1:13" ht="18" customHeight="1" x14ac:dyDescent="0.3">
      <c r="A176" s="132">
        <f>'Daily Tracking'!A176</f>
        <v>46448</v>
      </c>
      <c r="B176" s="230" t="str">
        <f ca="1">IF(A176&gt;TODAY(),"",IF('Daily Tracking'!B176&lt;&gt;"",1,0))</f>
        <v/>
      </c>
      <c r="C176" s="230" t="str">
        <f ca="1">IF(A176&gt;TODAY(),"",IF('Daily Tracking'!E176&lt;&gt;"",1,0))</f>
        <v/>
      </c>
      <c r="D176" s="230" t="str">
        <f ca="1">IF(A176&gt;TODAY(),"",IF(N('Daily Tracking'!G176)&gt;=Settings!$B$13,1,0))</f>
        <v/>
      </c>
      <c r="E176" s="230" t="str">
        <f ca="1">IF(A176&gt;TODAY(),"",IF(N('Daily Tracking'!H176)&gt;=Settings!$B$14,1,0))</f>
        <v/>
      </c>
      <c r="F176" s="230" t="str">
        <f ca="1">IF(A176&gt;TODAY(),"",IF(OR(N('Daily Tracking'!I176)&gt;0,'Daily Tracking'!J176="Yes"),1,0))</f>
        <v/>
      </c>
      <c r="G176" s="230" t="str">
        <f ca="1">IF(A176&gt;TODAY(),"",IF(N('Daily Tracking'!K176)&gt;=Settings!$B$15,1,0))</f>
        <v/>
      </c>
      <c r="H176" s="231" t="str">
        <f ca="1">IF(B176="","",AVERAGE(B176:G176))</f>
        <v/>
      </c>
      <c r="I176" s="136" t="str">
        <f ca="1">IF(B176="","",IF(B176=1,N(I175)+1,0))</f>
        <v/>
      </c>
      <c r="J176" s="232"/>
      <c r="K176" s="232"/>
      <c r="L176" s="232"/>
      <c r="M176" s="232"/>
    </row>
    <row r="177" spans="1:13" ht="18" customHeight="1" x14ac:dyDescent="0.3">
      <c r="A177" s="132">
        <f>'Daily Tracking'!A177</f>
        <v>46449</v>
      </c>
      <c r="B177" s="230" t="str">
        <f ca="1">IF(A177&gt;TODAY(),"",IF('Daily Tracking'!B177&lt;&gt;"",1,0))</f>
        <v/>
      </c>
      <c r="C177" s="230" t="str">
        <f ca="1">IF(A177&gt;TODAY(),"",IF('Daily Tracking'!E177&lt;&gt;"",1,0))</f>
        <v/>
      </c>
      <c r="D177" s="230" t="str">
        <f ca="1">IF(A177&gt;TODAY(),"",IF(N('Daily Tracking'!G177)&gt;=Settings!$B$13,1,0))</f>
        <v/>
      </c>
      <c r="E177" s="230" t="str">
        <f ca="1">IF(A177&gt;TODAY(),"",IF(N('Daily Tracking'!H177)&gt;=Settings!$B$14,1,0))</f>
        <v/>
      </c>
      <c r="F177" s="230" t="str">
        <f ca="1">IF(A177&gt;TODAY(),"",IF(OR(N('Daily Tracking'!I177)&gt;0,'Daily Tracking'!J177="Yes"),1,0))</f>
        <v/>
      </c>
      <c r="G177" s="230" t="str">
        <f ca="1">IF(A177&gt;TODAY(),"",IF(N('Daily Tracking'!K177)&gt;=Settings!$B$15,1,0))</f>
        <v/>
      </c>
      <c r="H177" s="231" t="str">
        <f ca="1">IF(B177="","",AVERAGE(B177:G177))</f>
        <v/>
      </c>
      <c r="I177" s="136" t="str">
        <f ca="1">IF(B177="","",IF(B177=1,N(I176)+1,0))</f>
        <v/>
      </c>
      <c r="J177" s="232"/>
      <c r="K177" s="232"/>
      <c r="L177" s="232"/>
      <c r="M177" s="232"/>
    </row>
    <row r="178" spans="1:13" ht="18" customHeight="1" x14ac:dyDescent="0.3">
      <c r="A178" s="132">
        <f>'Daily Tracking'!A178</f>
        <v>46450</v>
      </c>
      <c r="B178" s="230" t="str">
        <f ca="1">IF(A178&gt;TODAY(),"",IF('Daily Tracking'!B178&lt;&gt;"",1,0))</f>
        <v/>
      </c>
      <c r="C178" s="230" t="str">
        <f ca="1">IF(A178&gt;TODAY(),"",IF('Daily Tracking'!E178&lt;&gt;"",1,0))</f>
        <v/>
      </c>
      <c r="D178" s="230" t="str">
        <f ca="1">IF(A178&gt;TODAY(),"",IF(N('Daily Tracking'!G178)&gt;=Settings!$B$13,1,0))</f>
        <v/>
      </c>
      <c r="E178" s="230" t="str">
        <f ca="1">IF(A178&gt;TODAY(),"",IF(N('Daily Tracking'!H178)&gt;=Settings!$B$14,1,0))</f>
        <v/>
      </c>
      <c r="F178" s="230" t="str">
        <f ca="1">IF(A178&gt;TODAY(),"",IF(OR(N('Daily Tracking'!I178)&gt;0,'Daily Tracking'!J178="Yes"),1,0))</f>
        <v/>
      </c>
      <c r="G178" s="230" t="str">
        <f ca="1">IF(A178&gt;TODAY(),"",IF(N('Daily Tracking'!K178)&gt;=Settings!$B$15,1,0))</f>
        <v/>
      </c>
      <c r="H178" s="231" t="str">
        <f ca="1">IF(B178="","",AVERAGE(B178:G178))</f>
        <v/>
      </c>
      <c r="I178" s="136" t="str">
        <f ca="1">IF(B178="","",IF(B178=1,N(I177)+1,0))</f>
        <v/>
      </c>
      <c r="J178" s="232"/>
      <c r="K178" s="232"/>
      <c r="L178" s="232"/>
      <c r="M178" s="232"/>
    </row>
    <row r="179" spans="1:13" ht="18" customHeight="1" x14ac:dyDescent="0.3">
      <c r="A179" s="132">
        <f>'Daily Tracking'!A179</f>
        <v>46451</v>
      </c>
      <c r="B179" s="230" t="str">
        <f ca="1">IF(A179&gt;TODAY(),"",IF('Daily Tracking'!B179&lt;&gt;"",1,0))</f>
        <v/>
      </c>
      <c r="C179" s="230" t="str">
        <f ca="1">IF(A179&gt;TODAY(),"",IF('Daily Tracking'!E179&lt;&gt;"",1,0))</f>
        <v/>
      </c>
      <c r="D179" s="230" t="str">
        <f ca="1">IF(A179&gt;TODAY(),"",IF(N('Daily Tracking'!G179)&gt;=Settings!$B$13,1,0))</f>
        <v/>
      </c>
      <c r="E179" s="230" t="str">
        <f ca="1">IF(A179&gt;TODAY(),"",IF(N('Daily Tracking'!H179)&gt;=Settings!$B$14,1,0))</f>
        <v/>
      </c>
      <c r="F179" s="230" t="str">
        <f ca="1">IF(A179&gt;TODAY(),"",IF(OR(N('Daily Tracking'!I179)&gt;0,'Daily Tracking'!J179="Yes"),1,0))</f>
        <v/>
      </c>
      <c r="G179" s="230" t="str">
        <f ca="1">IF(A179&gt;TODAY(),"",IF(N('Daily Tracking'!K179)&gt;=Settings!$B$15,1,0))</f>
        <v/>
      </c>
      <c r="H179" s="231" t="str">
        <f ca="1">IF(B179="","",AVERAGE(B179:G179))</f>
        <v/>
      </c>
      <c r="I179" s="136" t="str">
        <f ca="1">IF(B179="","",IF(B179=1,N(I178)+1,0))</f>
        <v/>
      </c>
      <c r="J179" s="232"/>
      <c r="K179" s="232"/>
      <c r="L179" s="232"/>
      <c r="M179" s="232"/>
    </row>
    <row r="180" spans="1:13" ht="18" customHeight="1" x14ac:dyDescent="0.3">
      <c r="A180" s="132">
        <f>'Daily Tracking'!A180</f>
        <v>46452</v>
      </c>
      <c r="B180" s="230" t="str">
        <f ca="1">IF(A180&gt;TODAY(),"",IF('Daily Tracking'!B180&lt;&gt;"",1,0))</f>
        <v/>
      </c>
      <c r="C180" s="230" t="str">
        <f ca="1">IF(A180&gt;TODAY(),"",IF('Daily Tracking'!E180&lt;&gt;"",1,0))</f>
        <v/>
      </c>
      <c r="D180" s="230" t="str">
        <f ca="1">IF(A180&gt;TODAY(),"",IF(N('Daily Tracking'!G180)&gt;=Settings!$B$13,1,0))</f>
        <v/>
      </c>
      <c r="E180" s="230" t="str">
        <f ca="1">IF(A180&gt;TODAY(),"",IF(N('Daily Tracking'!H180)&gt;=Settings!$B$14,1,0))</f>
        <v/>
      </c>
      <c r="F180" s="230" t="str">
        <f ca="1">IF(A180&gt;TODAY(),"",IF(OR(N('Daily Tracking'!I180)&gt;0,'Daily Tracking'!J180="Yes"),1,0))</f>
        <v/>
      </c>
      <c r="G180" s="230" t="str">
        <f ca="1">IF(A180&gt;TODAY(),"",IF(N('Daily Tracking'!K180)&gt;=Settings!$B$15,1,0))</f>
        <v/>
      </c>
      <c r="H180" s="231" t="str">
        <f ca="1">IF(B180="","",AVERAGE(B180:G180))</f>
        <v/>
      </c>
      <c r="I180" s="136" t="str">
        <f ca="1">IF(B180="","",IF(B180=1,N(I179)+1,0))</f>
        <v/>
      </c>
      <c r="J180" s="232"/>
      <c r="K180" s="232"/>
      <c r="L180" s="232"/>
      <c r="M180" s="232"/>
    </row>
    <row r="181" spans="1:13" ht="18" customHeight="1" x14ac:dyDescent="0.3">
      <c r="A181" s="132">
        <f>'Daily Tracking'!A181</f>
        <v>46453</v>
      </c>
      <c r="B181" s="230" t="str">
        <f ca="1">IF(A181&gt;TODAY(),"",IF('Daily Tracking'!B181&lt;&gt;"",1,0))</f>
        <v/>
      </c>
      <c r="C181" s="230" t="str">
        <f ca="1">IF(A181&gt;TODAY(),"",IF('Daily Tracking'!E181&lt;&gt;"",1,0))</f>
        <v/>
      </c>
      <c r="D181" s="230" t="str">
        <f ca="1">IF(A181&gt;TODAY(),"",IF(N('Daily Tracking'!G181)&gt;=Settings!$B$13,1,0))</f>
        <v/>
      </c>
      <c r="E181" s="230" t="str">
        <f ca="1">IF(A181&gt;TODAY(),"",IF(N('Daily Tracking'!H181)&gt;=Settings!$B$14,1,0))</f>
        <v/>
      </c>
      <c r="F181" s="230" t="str">
        <f ca="1">IF(A181&gt;TODAY(),"",IF(OR(N('Daily Tracking'!I181)&gt;0,'Daily Tracking'!J181="Yes"),1,0))</f>
        <v/>
      </c>
      <c r="G181" s="230" t="str">
        <f ca="1">IF(A181&gt;TODAY(),"",IF(N('Daily Tracking'!K181)&gt;=Settings!$B$15,1,0))</f>
        <v/>
      </c>
      <c r="H181" s="231" t="str">
        <f ca="1">IF(B181="","",AVERAGE(B181:G181))</f>
        <v/>
      </c>
      <c r="I181" s="136" t="str">
        <f ca="1">IF(B181="","",IF(B181=1,N(I180)+1,0))</f>
        <v/>
      </c>
      <c r="J181" s="232"/>
      <c r="K181" s="232"/>
      <c r="L181" s="232"/>
      <c r="M181" s="232"/>
    </row>
    <row r="182" spans="1:13" ht="18" customHeight="1" x14ac:dyDescent="0.3">
      <c r="A182" s="132">
        <f>'Daily Tracking'!A182</f>
        <v>46454</v>
      </c>
      <c r="B182" s="230" t="str">
        <f ca="1">IF(A182&gt;TODAY(),"",IF('Daily Tracking'!B182&lt;&gt;"",1,0))</f>
        <v/>
      </c>
      <c r="C182" s="230" t="str">
        <f ca="1">IF(A182&gt;TODAY(),"",IF('Daily Tracking'!E182&lt;&gt;"",1,0))</f>
        <v/>
      </c>
      <c r="D182" s="230" t="str">
        <f ca="1">IF(A182&gt;TODAY(),"",IF(N('Daily Tracking'!G182)&gt;=Settings!$B$13,1,0))</f>
        <v/>
      </c>
      <c r="E182" s="230" t="str">
        <f ca="1">IF(A182&gt;TODAY(),"",IF(N('Daily Tracking'!H182)&gt;=Settings!$B$14,1,0))</f>
        <v/>
      </c>
      <c r="F182" s="230" t="str">
        <f ca="1">IF(A182&gt;TODAY(),"",IF(OR(N('Daily Tracking'!I182)&gt;0,'Daily Tracking'!J182="Yes"),1,0))</f>
        <v/>
      </c>
      <c r="G182" s="230" t="str">
        <f ca="1">IF(A182&gt;TODAY(),"",IF(N('Daily Tracking'!K182)&gt;=Settings!$B$15,1,0))</f>
        <v/>
      </c>
      <c r="H182" s="231" t="str">
        <f ca="1">IF(B182="","",AVERAGE(B182:G182))</f>
        <v/>
      </c>
      <c r="I182" s="136" t="str">
        <f ca="1">IF(B182="","",IF(B182=1,N(I181)+1,0))</f>
        <v/>
      </c>
      <c r="J182" s="232"/>
      <c r="K182" s="232"/>
      <c r="L182" s="232"/>
      <c r="M182" s="232"/>
    </row>
    <row r="183" spans="1:13" ht="18" customHeight="1" x14ac:dyDescent="0.3">
      <c r="A183" s="132">
        <f>'Daily Tracking'!A183</f>
        <v>46455</v>
      </c>
      <c r="B183" s="230" t="str">
        <f ca="1">IF(A183&gt;TODAY(),"",IF('Daily Tracking'!B183&lt;&gt;"",1,0))</f>
        <v/>
      </c>
      <c r="C183" s="230" t="str">
        <f ca="1">IF(A183&gt;TODAY(),"",IF('Daily Tracking'!E183&lt;&gt;"",1,0))</f>
        <v/>
      </c>
      <c r="D183" s="230" t="str">
        <f ca="1">IF(A183&gt;TODAY(),"",IF(N('Daily Tracking'!G183)&gt;=Settings!$B$13,1,0))</f>
        <v/>
      </c>
      <c r="E183" s="230" t="str">
        <f ca="1">IF(A183&gt;TODAY(),"",IF(N('Daily Tracking'!H183)&gt;=Settings!$B$14,1,0))</f>
        <v/>
      </c>
      <c r="F183" s="230" t="str">
        <f ca="1">IF(A183&gt;TODAY(),"",IF(OR(N('Daily Tracking'!I183)&gt;0,'Daily Tracking'!J183="Yes"),1,0))</f>
        <v/>
      </c>
      <c r="G183" s="230" t="str">
        <f ca="1">IF(A183&gt;TODAY(),"",IF(N('Daily Tracking'!K183)&gt;=Settings!$B$15,1,0))</f>
        <v/>
      </c>
      <c r="H183" s="231" t="str">
        <f ca="1">IF(B183="","",AVERAGE(B183:G183))</f>
        <v/>
      </c>
      <c r="I183" s="136" t="str">
        <f ca="1">IF(B183="","",IF(B183=1,N(I182)+1,0))</f>
        <v/>
      </c>
      <c r="J183" s="232"/>
      <c r="K183" s="232"/>
      <c r="L183" s="232"/>
      <c r="M183" s="232"/>
    </row>
    <row r="184" spans="1:13" ht="18" customHeight="1" x14ac:dyDescent="0.3">
      <c r="A184" s="132">
        <f>'Daily Tracking'!A184</f>
        <v>46456</v>
      </c>
      <c r="B184" s="230" t="str">
        <f ca="1">IF(A184&gt;TODAY(),"",IF('Daily Tracking'!B184&lt;&gt;"",1,0))</f>
        <v/>
      </c>
      <c r="C184" s="230" t="str">
        <f ca="1">IF(A184&gt;TODAY(),"",IF('Daily Tracking'!E184&lt;&gt;"",1,0))</f>
        <v/>
      </c>
      <c r="D184" s="230" t="str">
        <f ca="1">IF(A184&gt;TODAY(),"",IF(N('Daily Tracking'!G184)&gt;=Settings!$B$13,1,0))</f>
        <v/>
      </c>
      <c r="E184" s="230" t="str">
        <f ca="1">IF(A184&gt;TODAY(),"",IF(N('Daily Tracking'!H184)&gt;=Settings!$B$14,1,0))</f>
        <v/>
      </c>
      <c r="F184" s="230" t="str">
        <f ca="1">IF(A184&gt;TODAY(),"",IF(OR(N('Daily Tracking'!I184)&gt;0,'Daily Tracking'!J184="Yes"),1,0))</f>
        <v/>
      </c>
      <c r="G184" s="230" t="str">
        <f ca="1">IF(A184&gt;TODAY(),"",IF(N('Daily Tracking'!K184)&gt;=Settings!$B$15,1,0))</f>
        <v/>
      </c>
      <c r="H184" s="231" t="str">
        <f ca="1">IF(B184="","",AVERAGE(B184:G184))</f>
        <v/>
      </c>
      <c r="I184" s="136" t="str">
        <f ca="1">IF(B184="","",IF(B184=1,N(I183)+1,0))</f>
        <v/>
      </c>
      <c r="J184" s="232"/>
      <c r="K184" s="232"/>
      <c r="L184" s="232"/>
      <c r="M184" s="232"/>
    </row>
    <row r="185" spans="1:13" ht="18" customHeight="1" x14ac:dyDescent="0.3">
      <c r="A185" s="132">
        <f>'Daily Tracking'!A185</f>
        <v>46457</v>
      </c>
      <c r="B185" s="230" t="str">
        <f ca="1">IF(A185&gt;TODAY(),"",IF('Daily Tracking'!B185&lt;&gt;"",1,0))</f>
        <v/>
      </c>
      <c r="C185" s="230" t="str">
        <f ca="1">IF(A185&gt;TODAY(),"",IF('Daily Tracking'!E185&lt;&gt;"",1,0))</f>
        <v/>
      </c>
      <c r="D185" s="230" t="str">
        <f ca="1">IF(A185&gt;TODAY(),"",IF(N('Daily Tracking'!G185)&gt;=Settings!$B$13,1,0))</f>
        <v/>
      </c>
      <c r="E185" s="230" t="str">
        <f ca="1">IF(A185&gt;TODAY(),"",IF(N('Daily Tracking'!H185)&gt;=Settings!$B$14,1,0))</f>
        <v/>
      </c>
      <c r="F185" s="230" t="str">
        <f ca="1">IF(A185&gt;TODAY(),"",IF(OR(N('Daily Tracking'!I185)&gt;0,'Daily Tracking'!J185="Yes"),1,0))</f>
        <v/>
      </c>
      <c r="G185" s="230" t="str">
        <f ca="1">IF(A185&gt;TODAY(),"",IF(N('Daily Tracking'!K185)&gt;=Settings!$B$15,1,0))</f>
        <v/>
      </c>
      <c r="H185" s="231" t="str">
        <f ca="1">IF(B185="","",AVERAGE(B185:G185))</f>
        <v/>
      </c>
      <c r="I185" s="136" t="str">
        <f ca="1">IF(B185="","",IF(B185=1,N(I184)+1,0))</f>
        <v/>
      </c>
      <c r="J185" s="232"/>
      <c r="K185" s="232"/>
      <c r="L185" s="232"/>
      <c r="M185" s="232"/>
    </row>
    <row r="186" spans="1:13" ht="18" customHeight="1" x14ac:dyDescent="0.3">
      <c r="A186" s="132">
        <f>'Daily Tracking'!A186</f>
        <v>46458</v>
      </c>
      <c r="B186" s="230" t="str">
        <f ca="1">IF(A186&gt;TODAY(),"",IF('Daily Tracking'!B186&lt;&gt;"",1,0))</f>
        <v/>
      </c>
      <c r="C186" s="230" t="str">
        <f ca="1">IF(A186&gt;TODAY(),"",IF('Daily Tracking'!E186&lt;&gt;"",1,0))</f>
        <v/>
      </c>
      <c r="D186" s="230" t="str">
        <f ca="1">IF(A186&gt;TODAY(),"",IF(N('Daily Tracking'!G186)&gt;=Settings!$B$13,1,0))</f>
        <v/>
      </c>
      <c r="E186" s="230" t="str">
        <f ca="1">IF(A186&gt;TODAY(),"",IF(N('Daily Tracking'!H186)&gt;=Settings!$B$14,1,0))</f>
        <v/>
      </c>
      <c r="F186" s="230" t="str">
        <f ca="1">IF(A186&gt;TODAY(),"",IF(OR(N('Daily Tracking'!I186)&gt;0,'Daily Tracking'!J186="Yes"),1,0))</f>
        <v/>
      </c>
      <c r="G186" s="230" t="str">
        <f ca="1">IF(A186&gt;TODAY(),"",IF(N('Daily Tracking'!K186)&gt;=Settings!$B$15,1,0))</f>
        <v/>
      </c>
      <c r="H186" s="231" t="str">
        <f ca="1">IF(B186="","",AVERAGE(B186:G186))</f>
        <v/>
      </c>
      <c r="I186" s="136" t="str">
        <f ca="1">IF(B186="","",IF(B186=1,N(I185)+1,0))</f>
        <v/>
      </c>
      <c r="J186" s="232"/>
      <c r="K186" s="232"/>
      <c r="L186" s="232"/>
      <c r="M186" s="232"/>
    </row>
    <row r="187" spans="1:13" ht="18" customHeight="1" x14ac:dyDescent="0.3">
      <c r="A187" s="132">
        <f>'Daily Tracking'!A187</f>
        <v>46459</v>
      </c>
      <c r="B187" s="230" t="str">
        <f ca="1">IF(A187&gt;TODAY(),"",IF('Daily Tracking'!B187&lt;&gt;"",1,0))</f>
        <v/>
      </c>
      <c r="C187" s="230" t="str">
        <f ca="1">IF(A187&gt;TODAY(),"",IF('Daily Tracking'!E187&lt;&gt;"",1,0))</f>
        <v/>
      </c>
      <c r="D187" s="230" t="str">
        <f ca="1">IF(A187&gt;TODAY(),"",IF(N('Daily Tracking'!G187)&gt;=Settings!$B$13,1,0))</f>
        <v/>
      </c>
      <c r="E187" s="230" t="str">
        <f ca="1">IF(A187&gt;TODAY(),"",IF(N('Daily Tracking'!H187)&gt;=Settings!$B$14,1,0))</f>
        <v/>
      </c>
      <c r="F187" s="230" t="str">
        <f ca="1">IF(A187&gt;TODAY(),"",IF(OR(N('Daily Tracking'!I187)&gt;0,'Daily Tracking'!J187="Yes"),1,0))</f>
        <v/>
      </c>
      <c r="G187" s="230" t="str">
        <f ca="1">IF(A187&gt;TODAY(),"",IF(N('Daily Tracking'!K187)&gt;=Settings!$B$15,1,0))</f>
        <v/>
      </c>
      <c r="H187" s="231" t="str">
        <f ca="1">IF(B187="","",AVERAGE(B187:G187))</f>
        <v/>
      </c>
      <c r="I187" s="136" t="str">
        <f ca="1">IF(B187="","",IF(B187=1,N(I186)+1,0))</f>
        <v/>
      </c>
      <c r="J187" s="232"/>
      <c r="K187" s="232"/>
      <c r="L187" s="232"/>
      <c r="M187" s="232"/>
    </row>
    <row r="188" spans="1:13" ht="18" customHeight="1" x14ac:dyDescent="0.3">
      <c r="A188" s="132">
        <f>'Daily Tracking'!A188</f>
        <v>46460</v>
      </c>
      <c r="B188" s="230" t="str">
        <f ca="1">IF(A188&gt;TODAY(),"",IF('Daily Tracking'!B188&lt;&gt;"",1,0))</f>
        <v/>
      </c>
      <c r="C188" s="230" t="str">
        <f ca="1">IF(A188&gt;TODAY(),"",IF('Daily Tracking'!E188&lt;&gt;"",1,0))</f>
        <v/>
      </c>
      <c r="D188" s="230" t="str">
        <f ca="1">IF(A188&gt;TODAY(),"",IF(N('Daily Tracking'!G188)&gt;=Settings!$B$13,1,0))</f>
        <v/>
      </c>
      <c r="E188" s="230" t="str">
        <f ca="1">IF(A188&gt;TODAY(),"",IF(N('Daily Tracking'!H188)&gt;=Settings!$B$14,1,0))</f>
        <v/>
      </c>
      <c r="F188" s="230" t="str">
        <f ca="1">IF(A188&gt;TODAY(),"",IF(OR(N('Daily Tracking'!I188)&gt;0,'Daily Tracking'!J188="Yes"),1,0))</f>
        <v/>
      </c>
      <c r="G188" s="230" t="str">
        <f ca="1">IF(A188&gt;TODAY(),"",IF(N('Daily Tracking'!K188)&gt;=Settings!$B$15,1,0))</f>
        <v/>
      </c>
      <c r="H188" s="231" t="str">
        <f ca="1">IF(B188="","",AVERAGE(B188:G188))</f>
        <v/>
      </c>
      <c r="I188" s="136" t="str">
        <f ca="1">IF(B188="","",IF(B188=1,N(I187)+1,0))</f>
        <v/>
      </c>
      <c r="J188" s="232"/>
      <c r="K188" s="232"/>
      <c r="L188" s="232"/>
      <c r="M188" s="232"/>
    </row>
    <row r="189" spans="1:13" ht="18" customHeight="1" x14ac:dyDescent="0.3">
      <c r="A189" s="132">
        <f>'Daily Tracking'!A189</f>
        <v>46461</v>
      </c>
      <c r="B189" s="230" t="str">
        <f ca="1">IF(A189&gt;TODAY(),"",IF('Daily Tracking'!B189&lt;&gt;"",1,0))</f>
        <v/>
      </c>
      <c r="C189" s="230" t="str">
        <f ca="1">IF(A189&gt;TODAY(),"",IF('Daily Tracking'!E189&lt;&gt;"",1,0))</f>
        <v/>
      </c>
      <c r="D189" s="230" t="str">
        <f ca="1">IF(A189&gt;TODAY(),"",IF(N('Daily Tracking'!G189)&gt;=Settings!$B$13,1,0))</f>
        <v/>
      </c>
      <c r="E189" s="230" t="str">
        <f ca="1">IF(A189&gt;TODAY(),"",IF(N('Daily Tracking'!H189)&gt;=Settings!$B$14,1,0))</f>
        <v/>
      </c>
      <c r="F189" s="230" t="str">
        <f ca="1">IF(A189&gt;TODAY(),"",IF(OR(N('Daily Tracking'!I189)&gt;0,'Daily Tracking'!J189="Yes"),1,0))</f>
        <v/>
      </c>
      <c r="G189" s="230" t="str">
        <f ca="1">IF(A189&gt;TODAY(),"",IF(N('Daily Tracking'!K189)&gt;=Settings!$B$15,1,0))</f>
        <v/>
      </c>
      <c r="H189" s="231" t="str">
        <f ca="1">IF(B189="","",AVERAGE(B189:G189))</f>
        <v/>
      </c>
      <c r="I189" s="136" t="str">
        <f ca="1">IF(B189="","",IF(B189=1,N(I188)+1,0))</f>
        <v/>
      </c>
      <c r="J189" s="232"/>
      <c r="K189" s="232"/>
      <c r="L189" s="232"/>
      <c r="M189" s="232"/>
    </row>
    <row r="190" spans="1:13" ht="18" customHeight="1" x14ac:dyDescent="0.3">
      <c r="A190" s="132">
        <f>'Daily Tracking'!A190</f>
        <v>46462</v>
      </c>
      <c r="B190" s="230" t="str">
        <f ca="1">IF(A190&gt;TODAY(),"",IF('Daily Tracking'!B190&lt;&gt;"",1,0))</f>
        <v/>
      </c>
      <c r="C190" s="230" t="str">
        <f ca="1">IF(A190&gt;TODAY(),"",IF('Daily Tracking'!E190&lt;&gt;"",1,0))</f>
        <v/>
      </c>
      <c r="D190" s="230" t="str">
        <f ca="1">IF(A190&gt;TODAY(),"",IF(N('Daily Tracking'!G190)&gt;=Settings!$B$13,1,0))</f>
        <v/>
      </c>
      <c r="E190" s="230" t="str">
        <f ca="1">IF(A190&gt;TODAY(),"",IF(N('Daily Tracking'!H190)&gt;=Settings!$B$14,1,0))</f>
        <v/>
      </c>
      <c r="F190" s="230" t="str">
        <f ca="1">IF(A190&gt;TODAY(),"",IF(OR(N('Daily Tracking'!I190)&gt;0,'Daily Tracking'!J190="Yes"),1,0))</f>
        <v/>
      </c>
      <c r="G190" s="230" t="str">
        <f ca="1">IF(A190&gt;TODAY(),"",IF(N('Daily Tracking'!K190)&gt;=Settings!$B$15,1,0))</f>
        <v/>
      </c>
      <c r="H190" s="231" t="str">
        <f ca="1">IF(B190="","",AVERAGE(B190:G190))</f>
        <v/>
      </c>
      <c r="I190" s="136" t="str">
        <f ca="1">IF(B190="","",IF(B190=1,N(I189)+1,0))</f>
        <v/>
      </c>
      <c r="J190" s="232"/>
      <c r="K190" s="232"/>
      <c r="L190" s="232"/>
      <c r="M190" s="232"/>
    </row>
    <row r="191" spans="1:13" ht="18" customHeight="1" x14ac:dyDescent="0.3">
      <c r="A191" s="132">
        <f>'Daily Tracking'!A191</f>
        <v>46463</v>
      </c>
      <c r="B191" s="230" t="str">
        <f ca="1">IF(A191&gt;TODAY(),"",IF('Daily Tracking'!B191&lt;&gt;"",1,0))</f>
        <v/>
      </c>
      <c r="C191" s="230" t="str">
        <f ca="1">IF(A191&gt;TODAY(),"",IF('Daily Tracking'!E191&lt;&gt;"",1,0))</f>
        <v/>
      </c>
      <c r="D191" s="230" t="str">
        <f ca="1">IF(A191&gt;TODAY(),"",IF(N('Daily Tracking'!G191)&gt;=Settings!$B$13,1,0))</f>
        <v/>
      </c>
      <c r="E191" s="230" t="str">
        <f ca="1">IF(A191&gt;TODAY(),"",IF(N('Daily Tracking'!H191)&gt;=Settings!$B$14,1,0))</f>
        <v/>
      </c>
      <c r="F191" s="230" t="str">
        <f ca="1">IF(A191&gt;TODAY(),"",IF(OR(N('Daily Tracking'!I191)&gt;0,'Daily Tracking'!J191="Yes"),1,0))</f>
        <v/>
      </c>
      <c r="G191" s="230" t="str">
        <f ca="1">IF(A191&gt;TODAY(),"",IF(N('Daily Tracking'!K191)&gt;=Settings!$B$15,1,0))</f>
        <v/>
      </c>
      <c r="H191" s="231" t="str">
        <f ca="1">IF(B191="","",AVERAGE(B191:G191))</f>
        <v/>
      </c>
      <c r="I191" s="136" t="str">
        <f ca="1">IF(B191="","",IF(B191=1,N(I190)+1,0))</f>
        <v/>
      </c>
      <c r="J191" s="232"/>
      <c r="K191" s="232"/>
      <c r="L191" s="232"/>
      <c r="M191" s="232"/>
    </row>
    <row r="192" spans="1:13" ht="18" customHeight="1" x14ac:dyDescent="0.3">
      <c r="A192" s="132">
        <f>'Daily Tracking'!A192</f>
        <v>46464</v>
      </c>
      <c r="B192" s="230" t="str">
        <f ca="1">IF(A192&gt;TODAY(),"",IF('Daily Tracking'!B192&lt;&gt;"",1,0))</f>
        <v/>
      </c>
      <c r="C192" s="230" t="str">
        <f ca="1">IF(A192&gt;TODAY(),"",IF('Daily Tracking'!E192&lt;&gt;"",1,0))</f>
        <v/>
      </c>
      <c r="D192" s="230" t="str">
        <f ca="1">IF(A192&gt;TODAY(),"",IF(N('Daily Tracking'!G192)&gt;=Settings!$B$13,1,0))</f>
        <v/>
      </c>
      <c r="E192" s="230" t="str">
        <f ca="1">IF(A192&gt;TODAY(),"",IF(N('Daily Tracking'!H192)&gt;=Settings!$B$14,1,0))</f>
        <v/>
      </c>
      <c r="F192" s="230" t="str">
        <f ca="1">IF(A192&gt;TODAY(),"",IF(OR(N('Daily Tracking'!I192)&gt;0,'Daily Tracking'!J192="Yes"),1,0))</f>
        <v/>
      </c>
      <c r="G192" s="230" t="str">
        <f ca="1">IF(A192&gt;TODAY(),"",IF(N('Daily Tracking'!K192)&gt;=Settings!$B$15,1,0))</f>
        <v/>
      </c>
      <c r="H192" s="231" t="str">
        <f ca="1">IF(B192="","",AVERAGE(B192:G192))</f>
        <v/>
      </c>
      <c r="I192" s="136" t="str">
        <f ca="1">IF(B192="","",IF(B192=1,N(I191)+1,0))</f>
        <v/>
      </c>
      <c r="J192" s="232"/>
      <c r="K192" s="232"/>
      <c r="L192" s="232"/>
      <c r="M192" s="232"/>
    </row>
    <row r="193" spans="1:13" ht="18" customHeight="1" x14ac:dyDescent="0.3">
      <c r="A193" s="132">
        <f>'Daily Tracking'!A193</f>
        <v>46465</v>
      </c>
      <c r="B193" s="230" t="str">
        <f ca="1">IF(A193&gt;TODAY(),"",IF('Daily Tracking'!B193&lt;&gt;"",1,0))</f>
        <v/>
      </c>
      <c r="C193" s="230" t="str">
        <f ca="1">IF(A193&gt;TODAY(),"",IF('Daily Tracking'!E193&lt;&gt;"",1,0))</f>
        <v/>
      </c>
      <c r="D193" s="230" t="str">
        <f ca="1">IF(A193&gt;TODAY(),"",IF(N('Daily Tracking'!G193)&gt;=Settings!$B$13,1,0))</f>
        <v/>
      </c>
      <c r="E193" s="230" t="str">
        <f ca="1">IF(A193&gt;TODAY(),"",IF(N('Daily Tracking'!H193)&gt;=Settings!$B$14,1,0))</f>
        <v/>
      </c>
      <c r="F193" s="230" t="str">
        <f ca="1">IF(A193&gt;TODAY(),"",IF(OR(N('Daily Tracking'!I193)&gt;0,'Daily Tracking'!J193="Yes"),1,0))</f>
        <v/>
      </c>
      <c r="G193" s="230" t="str">
        <f ca="1">IF(A193&gt;TODAY(),"",IF(N('Daily Tracking'!K193)&gt;=Settings!$B$15,1,0))</f>
        <v/>
      </c>
      <c r="H193" s="231" t="str">
        <f ca="1">IF(B193="","",AVERAGE(B193:G193))</f>
        <v/>
      </c>
      <c r="I193" s="136" t="str">
        <f ca="1">IF(B193="","",IF(B193=1,N(I192)+1,0))</f>
        <v/>
      </c>
      <c r="J193" s="232"/>
      <c r="K193" s="232"/>
      <c r="L193" s="232"/>
      <c r="M193" s="232"/>
    </row>
    <row r="194" spans="1:13" ht="18" customHeight="1" x14ac:dyDescent="0.3">
      <c r="A194" s="132">
        <f>'Daily Tracking'!A194</f>
        <v>46466</v>
      </c>
      <c r="B194" s="230" t="str">
        <f ca="1">IF(A194&gt;TODAY(),"",IF('Daily Tracking'!B194&lt;&gt;"",1,0))</f>
        <v/>
      </c>
      <c r="C194" s="230" t="str">
        <f ca="1">IF(A194&gt;TODAY(),"",IF('Daily Tracking'!E194&lt;&gt;"",1,0))</f>
        <v/>
      </c>
      <c r="D194" s="230" t="str">
        <f ca="1">IF(A194&gt;TODAY(),"",IF(N('Daily Tracking'!G194)&gt;=Settings!$B$13,1,0))</f>
        <v/>
      </c>
      <c r="E194" s="230" t="str">
        <f ca="1">IF(A194&gt;TODAY(),"",IF(N('Daily Tracking'!H194)&gt;=Settings!$B$14,1,0))</f>
        <v/>
      </c>
      <c r="F194" s="230" t="str">
        <f ca="1">IF(A194&gt;TODAY(),"",IF(OR(N('Daily Tracking'!I194)&gt;0,'Daily Tracking'!J194="Yes"),1,0))</f>
        <v/>
      </c>
      <c r="G194" s="230" t="str">
        <f ca="1">IF(A194&gt;TODAY(),"",IF(N('Daily Tracking'!K194)&gt;=Settings!$B$15,1,0))</f>
        <v/>
      </c>
      <c r="H194" s="231" t="str">
        <f ca="1">IF(B194="","",AVERAGE(B194:G194))</f>
        <v/>
      </c>
      <c r="I194" s="136" t="str">
        <f ca="1">IF(B194="","",IF(B194=1,N(I193)+1,0))</f>
        <v/>
      </c>
      <c r="J194" s="232"/>
      <c r="K194" s="232"/>
      <c r="L194" s="232"/>
      <c r="M194" s="232"/>
    </row>
    <row r="195" spans="1:13" ht="18" customHeight="1" x14ac:dyDescent="0.3">
      <c r="A195" s="132">
        <f>'Daily Tracking'!A195</f>
        <v>46467</v>
      </c>
      <c r="B195" s="230" t="str">
        <f ca="1">IF(A195&gt;TODAY(),"",IF('Daily Tracking'!B195&lt;&gt;"",1,0))</f>
        <v/>
      </c>
      <c r="C195" s="230" t="str">
        <f ca="1">IF(A195&gt;TODAY(),"",IF('Daily Tracking'!E195&lt;&gt;"",1,0))</f>
        <v/>
      </c>
      <c r="D195" s="230" t="str">
        <f ca="1">IF(A195&gt;TODAY(),"",IF(N('Daily Tracking'!G195)&gt;=Settings!$B$13,1,0))</f>
        <v/>
      </c>
      <c r="E195" s="230" t="str">
        <f ca="1">IF(A195&gt;TODAY(),"",IF(N('Daily Tracking'!H195)&gt;=Settings!$B$14,1,0))</f>
        <v/>
      </c>
      <c r="F195" s="230" t="str">
        <f ca="1">IF(A195&gt;TODAY(),"",IF(OR(N('Daily Tracking'!I195)&gt;0,'Daily Tracking'!J195="Yes"),1,0))</f>
        <v/>
      </c>
      <c r="G195" s="230" t="str">
        <f ca="1">IF(A195&gt;TODAY(),"",IF(N('Daily Tracking'!K195)&gt;=Settings!$B$15,1,0))</f>
        <v/>
      </c>
      <c r="H195" s="231" t="str">
        <f ca="1">IF(B195="","",AVERAGE(B195:G195))</f>
        <v/>
      </c>
      <c r="I195" s="136" t="str">
        <f ca="1">IF(B195="","",IF(B195=1,N(I194)+1,0))</f>
        <v/>
      </c>
      <c r="J195" s="232"/>
      <c r="K195" s="232"/>
      <c r="L195" s="232"/>
      <c r="M195" s="232"/>
    </row>
    <row r="196" spans="1:13" ht="18" customHeight="1" x14ac:dyDescent="0.3">
      <c r="A196" s="132">
        <f>'Daily Tracking'!A196</f>
        <v>46468</v>
      </c>
      <c r="B196" s="230" t="str">
        <f ca="1">IF(A196&gt;TODAY(),"",IF('Daily Tracking'!B196&lt;&gt;"",1,0))</f>
        <v/>
      </c>
      <c r="C196" s="230" t="str">
        <f ca="1">IF(A196&gt;TODAY(),"",IF('Daily Tracking'!E196&lt;&gt;"",1,0))</f>
        <v/>
      </c>
      <c r="D196" s="230" t="str">
        <f ca="1">IF(A196&gt;TODAY(),"",IF(N('Daily Tracking'!G196)&gt;=Settings!$B$13,1,0))</f>
        <v/>
      </c>
      <c r="E196" s="230" t="str">
        <f ca="1">IF(A196&gt;TODAY(),"",IF(N('Daily Tracking'!H196)&gt;=Settings!$B$14,1,0))</f>
        <v/>
      </c>
      <c r="F196" s="230" t="str">
        <f ca="1">IF(A196&gt;TODAY(),"",IF(OR(N('Daily Tracking'!I196)&gt;0,'Daily Tracking'!J196="Yes"),1,0))</f>
        <v/>
      </c>
      <c r="G196" s="230" t="str">
        <f ca="1">IF(A196&gt;TODAY(),"",IF(N('Daily Tracking'!K196)&gt;=Settings!$B$15,1,0))</f>
        <v/>
      </c>
      <c r="H196" s="231" t="str">
        <f ca="1">IF(B196="","",AVERAGE(B196:G196))</f>
        <v/>
      </c>
      <c r="I196" s="136" t="str">
        <f ca="1">IF(B196="","",IF(B196=1,N(I195)+1,0))</f>
        <v/>
      </c>
      <c r="J196" s="232"/>
      <c r="K196" s="232"/>
      <c r="L196" s="232"/>
      <c r="M196" s="232"/>
    </row>
    <row r="197" spans="1:13" ht="18" customHeight="1" x14ac:dyDescent="0.3">
      <c r="A197" s="132">
        <f>'Daily Tracking'!A197</f>
        <v>46469</v>
      </c>
      <c r="B197" s="230" t="str">
        <f ca="1">IF(A197&gt;TODAY(),"",IF('Daily Tracking'!B197&lt;&gt;"",1,0))</f>
        <v/>
      </c>
      <c r="C197" s="230" t="str">
        <f ca="1">IF(A197&gt;TODAY(),"",IF('Daily Tracking'!E197&lt;&gt;"",1,0))</f>
        <v/>
      </c>
      <c r="D197" s="230" t="str">
        <f ca="1">IF(A197&gt;TODAY(),"",IF(N('Daily Tracking'!G197)&gt;=Settings!$B$13,1,0))</f>
        <v/>
      </c>
      <c r="E197" s="230" t="str">
        <f ca="1">IF(A197&gt;TODAY(),"",IF(N('Daily Tracking'!H197)&gt;=Settings!$B$14,1,0))</f>
        <v/>
      </c>
      <c r="F197" s="230" t="str">
        <f ca="1">IF(A197&gt;TODAY(),"",IF(OR(N('Daily Tracking'!I197)&gt;0,'Daily Tracking'!J197="Yes"),1,0))</f>
        <v/>
      </c>
      <c r="G197" s="230" t="str">
        <f ca="1">IF(A197&gt;TODAY(),"",IF(N('Daily Tracking'!K197)&gt;=Settings!$B$15,1,0))</f>
        <v/>
      </c>
      <c r="H197" s="231" t="str">
        <f ca="1">IF(B197="","",AVERAGE(B197:G197))</f>
        <v/>
      </c>
      <c r="I197" s="136" t="str">
        <f ca="1">IF(B197="","",IF(B197=1,N(I196)+1,0))</f>
        <v/>
      </c>
      <c r="J197" s="232"/>
      <c r="K197" s="232"/>
      <c r="L197" s="232"/>
      <c r="M197" s="232"/>
    </row>
    <row r="198" spans="1:13" ht="18" customHeight="1" x14ac:dyDescent="0.3">
      <c r="A198" s="132">
        <f>'Daily Tracking'!A198</f>
        <v>46470</v>
      </c>
      <c r="B198" s="230" t="str">
        <f ca="1">IF(A198&gt;TODAY(),"",IF('Daily Tracking'!B198&lt;&gt;"",1,0))</f>
        <v/>
      </c>
      <c r="C198" s="230" t="str">
        <f ca="1">IF(A198&gt;TODAY(),"",IF('Daily Tracking'!E198&lt;&gt;"",1,0))</f>
        <v/>
      </c>
      <c r="D198" s="230" t="str">
        <f ca="1">IF(A198&gt;TODAY(),"",IF(N('Daily Tracking'!G198)&gt;=Settings!$B$13,1,0))</f>
        <v/>
      </c>
      <c r="E198" s="230" t="str">
        <f ca="1">IF(A198&gt;TODAY(),"",IF(N('Daily Tracking'!H198)&gt;=Settings!$B$14,1,0))</f>
        <v/>
      </c>
      <c r="F198" s="230" t="str">
        <f ca="1">IF(A198&gt;TODAY(),"",IF(OR(N('Daily Tracking'!I198)&gt;0,'Daily Tracking'!J198="Yes"),1,0))</f>
        <v/>
      </c>
      <c r="G198" s="230" t="str">
        <f ca="1">IF(A198&gt;TODAY(),"",IF(N('Daily Tracking'!K198)&gt;=Settings!$B$15,1,0))</f>
        <v/>
      </c>
      <c r="H198" s="231" t="str">
        <f ca="1">IF(B198="","",AVERAGE(B198:G198))</f>
        <v/>
      </c>
      <c r="I198" s="136" t="str">
        <f ca="1">IF(B198="","",IF(B198=1,N(I197)+1,0))</f>
        <v/>
      </c>
      <c r="J198" s="232"/>
      <c r="K198" s="232"/>
      <c r="L198" s="232"/>
      <c r="M198" s="232"/>
    </row>
    <row r="199" spans="1:13" ht="18" customHeight="1" x14ac:dyDescent="0.3">
      <c r="A199" s="132">
        <f>'Daily Tracking'!A199</f>
        <v>46471</v>
      </c>
      <c r="B199" s="230" t="str">
        <f ca="1">IF(A199&gt;TODAY(),"",IF('Daily Tracking'!B199&lt;&gt;"",1,0))</f>
        <v/>
      </c>
      <c r="C199" s="230" t="str">
        <f ca="1">IF(A199&gt;TODAY(),"",IF('Daily Tracking'!E199&lt;&gt;"",1,0))</f>
        <v/>
      </c>
      <c r="D199" s="230" t="str">
        <f ca="1">IF(A199&gt;TODAY(),"",IF(N('Daily Tracking'!G199)&gt;=Settings!$B$13,1,0))</f>
        <v/>
      </c>
      <c r="E199" s="230" t="str">
        <f ca="1">IF(A199&gt;TODAY(),"",IF(N('Daily Tracking'!H199)&gt;=Settings!$B$14,1,0))</f>
        <v/>
      </c>
      <c r="F199" s="230" t="str">
        <f ca="1">IF(A199&gt;TODAY(),"",IF(OR(N('Daily Tracking'!I199)&gt;0,'Daily Tracking'!J199="Yes"),1,0))</f>
        <v/>
      </c>
      <c r="G199" s="230" t="str">
        <f ca="1">IF(A199&gt;TODAY(),"",IF(N('Daily Tracking'!K199)&gt;=Settings!$B$15,1,0))</f>
        <v/>
      </c>
      <c r="H199" s="231" t="str">
        <f ca="1">IF(B199="","",AVERAGE(B199:G199))</f>
        <v/>
      </c>
      <c r="I199" s="136" t="str">
        <f ca="1">IF(B199="","",IF(B199=1,N(I198)+1,0))</f>
        <v/>
      </c>
      <c r="J199" s="232"/>
      <c r="K199" s="232"/>
      <c r="L199" s="232"/>
      <c r="M199" s="232"/>
    </row>
    <row r="200" spans="1:13" ht="18" customHeight="1" x14ac:dyDescent="0.3">
      <c r="A200" s="132">
        <f>'Daily Tracking'!A200</f>
        <v>46472</v>
      </c>
      <c r="B200" s="230" t="str">
        <f ca="1">IF(A200&gt;TODAY(),"",IF('Daily Tracking'!B200&lt;&gt;"",1,0))</f>
        <v/>
      </c>
      <c r="C200" s="230" t="str">
        <f ca="1">IF(A200&gt;TODAY(),"",IF('Daily Tracking'!E200&lt;&gt;"",1,0))</f>
        <v/>
      </c>
      <c r="D200" s="230" t="str">
        <f ca="1">IF(A200&gt;TODAY(),"",IF(N('Daily Tracking'!G200)&gt;=Settings!$B$13,1,0))</f>
        <v/>
      </c>
      <c r="E200" s="230" t="str">
        <f ca="1">IF(A200&gt;TODAY(),"",IF(N('Daily Tracking'!H200)&gt;=Settings!$B$14,1,0))</f>
        <v/>
      </c>
      <c r="F200" s="230" t="str">
        <f ca="1">IF(A200&gt;TODAY(),"",IF(OR(N('Daily Tracking'!I200)&gt;0,'Daily Tracking'!J200="Yes"),1,0))</f>
        <v/>
      </c>
      <c r="G200" s="230" t="str">
        <f ca="1">IF(A200&gt;TODAY(),"",IF(N('Daily Tracking'!K200)&gt;=Settings!$B$15,1,0))</f>
        <v/>
      </c>
      <c r="H200" s="231" t="str">
        <f ca="1">IF(B200="","",AVERAGE(B200:G200))</f>
        <v/>
      </c>
      <c r="I200" s="136" t="str">
        <f ca="1">IF(B200="","",IF(B200=1,N(I199)+1,0))</f>
        <v/>
      </c>
      <c r="J200" s="232"/>
      <c r="K200" s="232"/>
      <c r="L200" s="232"/>
      <c r="M200" s="232"/>
    </row>
    <row r="201" spans="1:13" ht="18" customHeight="1" x14ac:dyDescent="0.3">
      <c r="A201" s="132">
        <f>'Daily Tracking'!A201</f>
        <v>46473</v>
      </c>
      <c r="B201" s="230" t="str">
        <f ca="1">IF(A201&gt;TODAY(),"",IF('Daily Tracking'!B201&lt;&gt;"",1,0))</f>
        <v/>
      </c>
      <c r="C201" s="230" t="str">
        <f ca="1">IF(A201&gt;TODAY(),"",IF('Daily Tracking'!E201&lt;&gt;"",1,0))</f>
        <v/>
      </c>
      <c r="D201" s="230" t="str">
        <f ca="1">IF(A201&gt;TODAY(),"",IF(N('Daily Tracking'!G201)&gt;=Settings!$B$13,1,0))</f>
        <v/>
      </c>
      <c r="E201" s="230" t="str">
        <f ca="1">IF(A201&gt;TODAY(),"",IF(N('Daily Tracking'!H201)&gt;=Settings!$B$14,1,0))</f>
        <v/>
      </c>
      <c r="F201" s="230" t="str">
        <f ca="1">IF(A201&gt;TODAY(),"",IF(OR(N('Daily Tracking'!I201)&gt;0,'Daily Tracking'!J201="Yes"),1,0))</f>
        <v/>
      </c>
      <c r="G201" s="230" t="str">
        <f ca="1">IF(A201&gt;TODAY(),"",IF(N('Daily Tracking'!K201)&gt;=Settings!$B$15,1,0))</f>
        <v/>
      </c>
      <c r="H201" s="231" t="str">
        <f ca="1">IF(B201="","",AVERAGE(B201:G201))</f>
        <v/>
      </c>
      <c r="I201" s="136" t="str">
        <f ca="1">IF(B201="","",IF(B201=1,N(I200)+1,0))</f>
        <v/>
      </c>
      <c r="J201" s="232"/>
      <c r="K201" s="232"/>
      <c r="L201" s="232"/>
      <c r="M201" s="232"/>
    </row>
    <row r="202" spans="1:13" ht="18" customHeight="1" x14ac:dyDescent="0.3">
      <c r="A202" s="132">
        <f>'Daily Tracking'!A202</f>
        <v>46474</v>
      </c>
      <c r="B202" s="230" t="str">
        <f ca="1">IF(A202&gt;TODAY(),"",IF('Daily Tracking'!B202&lt;&gt;"",1,0))</f>
        <v/>
      </c>
      <c r="C202" s="230" t="str">
        <f ca="1">IF(A202&gt;TODAY(),"",IF('Daily Tracking'!E202&lt;&gt;"",1,0))</f>
        <v/>
      </c>
      <c r="D202" s="230" t="str">
        <f ca="1">IF(A202&gt;TODAY(),"",IF(N('Daily Tracking'!G202)&gt;=Settings!$B$13,1,0))</f>
        <v/>
      </c>
      <c r="E202" s="230" t="str">
        <f ca="1">IF(A202&gt;TODAY(),"",IF(N('Daily Tracking'!H202)&gt;=Settings!$B$14,1,0))</f>
        <v/>
      </c>
      <c r="F202" s="230" t="str">
        <f ca="1">IF(A202&gt;TODAY(),"",IF(OR(N('Daily Tracking'!I202)&gt;0,'Daily Tracking'!J202="Yes"),1,0))</f>
        <v/>
      </c>
      <c r="G202" s="230" t="str">
        <f ca="1">IF(A202&gt;TODAY(),"",IF(N('Daily Tracking'!K202)&gt;=Settings!$B$15,1,0))</f>
        <v/>
      </c>
      <c r="H202" s="231" t="str">
        <f ca="1">IF(B202="","",AVERAGE(B202:G202))</f>
        <v/>
      </c>
      <c r="I202" s="136" t="str">
        <f ca="1">IF(B202="","",IF(B202=1,N(I201)+1,0))</f>
        <v/>
      </c>
      <c r="J202" s="232"/>
      <c r="K202" s="232"/>
      <c r="L202" s="232"/>
      <c r="M202" s="232"/>
    </row>
    <row r="203" spans="1:13" ht="18" customHeight="1" x14ac:dyDescent="0.3">
      <c r="A203" s="132">
        <f>'Daily Tracking'!A203</f>
        <v>46475</v>
      </c>
      <c r="B203" s="230" t="str">
        <f ca="1">IF(A203&gt;TODAY(),"",IF('Daily Tracking'!B203&lt;&gt;"",1,0))</f>
        <v/>
      </c>
      <c r="C203" s="230" t="str">
        <f ca="1">IF(A203&gt;TODAY(),"",IF('Daily Tracking'!E203&lt;&gt;"",1,0))</f>
        <v/>
      </c>
      <c r="D203" s="230" t="str">
        <f ca="1">IF(A203&gt;TODAY(),"",IF(N('Daily Tracking'!G203)&gt;=Settings!$B$13,1,0))</f>
        <v/>
      </c>
      <c r="E203" s="230" t="str">
        <f ca="1">IF(A203&gt;TODAY(),"",IF(N('Daily Tracking'!H203)&gt;=Settings!$B$14,1,0))</f>
        <v/>
      </c>
      <c r="F203" s="230" t="str">
        <f ca="1">IF(A203&gt;TODAY(),"",IF(OR(N('Daily Tracking'!I203)&gt;0,'Daily Tracking'!J203="Yes"),1,0))</f>
        <v/>
      </c>
      <c r="G203" s="230" t="str">
        <f ca="1">IF(A203&gt;TODAY(),"",IF(N('Daily Tracking'!K203)&gt;=Settings!$B$15,1,0))</f>
        <v/>
      </c>
      <c r="H203" s="231" t="str">
        <f ca="1">IF(B203="","",AVERAGE(B203:G203))</f>
        <v/>
      </c>
      <c r="I203" s="136" t="str">
        <f ca="1">IF(B203="","",IF(B203=1,N(I202)+1,0))</f>
        <v/>
      </c>
      <c r="J203" s="232"/>
      <c r="K203" s="232"/>
      <c r="L203" s="232"/>
      <c r="M203" s="232"/>
    </row>
    <row r="204" spans="1:13" ht="18" customHeight="1" x14ac:dyDescent="0.3">
      <c r="A204" s="132">
        <f>'Daily Tracking'!A204</f>
        <v>46476</v>
      </c>
      <c r="B204" s="230" t="str">
        <f ca="1">IF(A204&gt;TODAY(),"",IF('Daily Tracking'!B204&lt;&gt;"",1,0))</f>
        <v/>
      </c>
      <c r="C204" s="230" t="str">
        <f ca="1">IF(A204&gt;TODAY(),"",IF('Daily Tracking'!E204&lt;&gt;"",1,0))</f>
        <v/>
      </c>
      <c r="D204" s="230" t="str">
        <f ca="1">IF(A204&gt;TODAY(),"",IF(N('Daily Tracking'!G204)&gt;=Settings!$B$13,1,0))</f>
        <v/>
      </c>
      <c r="E204" s="230" t="str">
        <f ca="1">IF(A204&gt;TODAY(),"",IF(N('Daily Tracking'!H204)&gt;=Settings!$B$14,1,0))</f>
        <v/>
      </c>
      <c r="F204" s="230" t="str">
        <f ca="1">IF(A204&gt;TODAY(),"",IF(OR(N('Daily Tracking'!I204)&gt;0,'Daily Tracking'!J204="Yes"),1,0))</f>
        <v/>
      </c>
      <c r="G204" s="230" t="str">
        <f ca="1">IF(A204&gt;TODAY(),"",IF(N('Daily Tracking'!K204)&gt;=Settings!$B$15,1,0))</f>
        <v/>
      </c>
      <c r="H204" s="231" t="str">
        <f ca="1">IF(B204="","",AVERAGE(B204:G204))</f>
        <v/>
      </c>
      <c r="I204" s="136" t="str">
        <f ca="1">IF(B204="","",IF(B204=1,N(I203)+1,0))</f>
        <v/>
      </c>
      <c r="J204" s="232"/>
      <c r="K204" s="232"/>
      <c r="L204" s="232"/>
      <c r="M204" s="232"/>
    </row>
    <row r="205" spans="1:13" ht="18" customHeight="1" x14ac:dyDescent="0.3">
      <c r="A205" s="132">
        <f>'Daily Tracking'!A205</f>
        <v>46477</v>
      </c>
      <c r="B205" s="230" t="str">
        <f ca="1">IF(A205&gt;TODAY(),"",IF('Daily Tracking'!B205&lt;&gt;"",1,0))</f>
        <v/>
      </c>
      <c r="C205" s="230" t="str">
        <f ca="1">IF(A205&gt;TODAY(),"",IF('Daily Tracking'!E205&lt;&gt;"",1,0))</f>
        <v/>
      </c>
      <c r="D205" s="230" t="str">
        <f ca="1">IF(A205&gt;TODAY(),"",IF(N('Daily Tracking'!G205)&gt;=Settings!$B$13,1,0))</f>
        <v/>
      </c>
      <c r="E205" s="230" t="str">
        <f ca="1">IF(A205&gt;TODAY(),"",IF(N('Daily Tracking'!H205)&gt;=Settings!$B$14,1,0))</f>
        <v/>
      </c>
      <c r="F205" s="230" t="str">
        <f ca="1">IF(A205&gt;TODAY(),"",IF(OR(N('Daily Tracking'!I205)&gt;0,'Daily Tracking'!J205="Yes"),1,0))</f>
        <v/>
      </c>
      <c r="G205" s="230" t="str">
        <f ca="1">IF(A205&gt;TODAY(),"",IF(N('Daily Tracking'!K205)&gt;=Settings!$B$15,1,0))</f>
        <v/>
      </c>
      <c r="H205" s="231" t="str">
        <f ca="1">IF(B205="","",AVERAGE(B205:G205))</f>
        <v/>
      </c>
      <c r="I205" s="136" t="str">
        <f ca="1">IF(B205="","",IF(B205=1,N(I204)+1,0))</f>
        <v/>
      </c>
      <c r="J205" s="232"/>
      <c r="K205" s="232"/>
      <c r="L205" s="232"/>
      <c r="M205" s="232"/>
    </row>
    <row r="206" spans="1:13" ht="18" customHeight="1" x14ac:dyDescent="0.3">
      <c r="A206" s="132">
        <f>'Daily Tracking'!A206</f>
        <v>46478</v>
      </c>
      <c r="B206" s="230" t="str">
        <f ca="1">IF(A206&gt;TODAY(),"",IF('Daily Tracking'!B206&lt;&gt;"",1,0))</f>
        <v/>
      </c>
      <c r="C206" s="230" t="str">
        <f ca="1">IF(A206&gt;TODAY(),"",IF('Daily Tracking'!E206&lt;&gt;"",1,0))</f>
        <v/>
      </c>
      <c r="D206" s="230" t="str">
        <f ca="1">IF(A206&gt;TODAY(),"",IF(N('Daily Tracking'!G206)&gt;=Settings!$B$13,1,0))</f>
        <v/>
      </c>
      <c r="E206" s="230" t="str">
        <f ca="1">IF(A206&gt;TODAY(),"",IF(N('Daily Tracking'!H206)&gt;=Settings!$B$14,1,0))</f>
        <v/>
      </c>
      <c r="F206" s="230" t="str">
        <f ca="1">IF(A206&gt;TODAY(),"",IF(OR(N('Daily Tracking'!I206)&gt;0,'Daily Tracking'!J206="Yes"),1,0))</f>
        <v/>
      </c>
      <c r="G206" s="230" t="str">
        <f ca="1">IF(A206&gt;TODAY(),"",IF(N('Daily Tracking'!K206)&gt;=Settings!$B$15,1,0))</f>
        <v/>
      </c>
      <c r="H206" s="231" t="str">
        <f ca="1">IF(B206="","",AVERAGE(B206:G206))</f>
        <v/>
      </c>
      <c r="I206" s="136" t="str">
        <f ca="1">IF(B206="","",IF(B206=1,N(I205)+1,0))</f>
        <v/>
      </c>
      <c r="J206" s="232"/>
      <c r="K206" s="232"/>
      <c r="L206" s="232"/>
      <c r="M206" s="232"/>
    </row>
    <row r="207" spans="1:13" ht="18" customHeight="1" x14ac:dyDescent="0.3">
      <c r="A207" s="132">
        <f>'Daily Tracking'!A207</f>
        <v>46479</v>
      </c>
      <c r="B207" s="230" t="str">
        <f ca="1">IF(A207&gt;TODAY(),"",IF('Daily Tracking'!B207&lt;&gt;"",1,0))</f>
        <v/>
      </c>
      <c r="C207" s="230" t="str">
        <f ca="1">IF(A207&gt;TODAY(),"",IF('Daily Tracking'!E207&lt;&gt;"",1,0))</f>
        <v/>
      </c>
      <c r="D207" s="230" t="str">
        <f ca="1">IF(A207&gt;TODAY(),"",IF(N('Daily Tracking'!G207)&gt;=Settings!$B$13,1,0))</f>
        <v/>
      </c>
      <c r="E207" s="230" t="str">
        <f ca="1">IF(A207&gt;TODAY(),"",IF(N('Daily Tracking'!H207)&gt;=Settings!$B$14,1,0))</f>
        <v/>
      </c>
      <c r="F207" s="230" t="str">
        <f ca="1">IF(A207&gt;TODAY(),"",IF(OR(N('Daily Tracking'!I207)&gt;0,'Daily Tracking'!J207="Yes"),1,0))</f>
        <v/>
      </c>
      <c r="G207" s="230" t="str">
        <f ca="1">IF(A207&gt;TODAY(),"",IF(N('Daily Tracking'!K207)&gt;=Settings!$B$15,1,0))</f>
        <v/>
      </c>
      <c r="H207" s="231" t="str">
        <f ca="1">IF(B207="","",AVERAGE(B207:G207))</f>
        <v/>
      </c>
      <c r="I207" s="136" t="str">
        <f ca="1">IF(B207="","",IF(B207=1,N(I206)+1,0))</f>
        <v/>
      </c>
      <c r="J207" s="232"/>
      <c r="K207" s="232"/>
      <c r="L207" s="232"/>
      <c r="M207" s="232"/>
    </row>
    <row r="208" spans="1:13" ht="18" customHeight="1" x14ac:dyDescent="0.3">
      <c r="A208" s="132">
        <f>'Daily Tracking'!A208</f>
        <v>46480</v>
      </c>
      <c r="B208" s="230" t="str">
        <f ca="1">IF(A208&gt;TODAY(),"",IF('Daily Tracking'!B208&lt;&gt;"",1,0))</f>
        <v/>
      </c>
      <c r="C208" s="230" t="str">
        <f ca="1">IF(A208&gt;TODAY(),"",IF('Daily Tracking'!E208&lt;&gt;"",1,0))</f>
        <v/>
      </c>
      <c r="D208" s="230" t="str">
        <f ca="1">IF(A208&gt;TODAY(),"",IF(N('Daily Tracking'!G208)&gt;=Settings!$B$13,1,0))</f>
        <v/>
      </c>
      <c r="E208" s="230" t="str">
        <f ca="1">IF(A208&gt;TODAY(),"",IF(N('Daily Tracking'!H208)&gt;=Settings!$B$14,1,0))</f>
        <v/>
      </c>
      <c r="F208" s="230" t="str">
        <f ca="1">IF(A208&gt;TODAY(),"",IF(OR(N('Daily Tracking'!I208)&gt;0,'Daily Tracking'!J208="Yes"),1,0))</f>
        <v/>
      </c>
      <c r="G208" s="230" t="str">
        <f ca="1">IF(A208&gt;TODAY(),"",IF(N('Daily Tracking'!K208)&gt;=Settings!$B$15,1,0))</f>
        <v/>
      </c>
      <c r="H208" s="231" t="str">
        <f ca="1">IF(B208="","",AVERAGE(B208:G208))</f>
        <v/>
      </c>
      <c r="I208" s="136" t="str">
        <f ca="1">IF(B208="","",IF(B208=1,N(I207)+1,0))</f>
        <v/>
      </c>
      <c r="J208" s="232"/>
      <c r="K208" s="232"/>
      <c r="L208" s="232"/>
      <c r="M208" s="232"/>
    </row>
    <row r="209" spans="1:13" ht="18" customHeight="1" x14ac:dyDescent="0.3">
      <c r="A209" s="132">
        <f>'Daily Tracking'!A209</f>
        <v>46481</v>
      </c>
      <c r="B209" s="230" t="str">
        <f ca="1">IF(A209&gt;TODAY(),"",IF('Daily Tracking'!B209&lt;&gt;"",1,0))</f>
        <v/>
      </c>
      <c r="C209" s="230" t="str">
        <f ca="1">IF(A209&gt;TODAY(),"",IF('Daily Tracking'!E209&lt;&gt;"",1,0))</f>
        <v/>
      </c>
      <c r="D209" s="230" t="str">
        <f ca="1">IF(A209&gt;TODAY(),"",IF(N('Daily Tracking'!G209)&gt;=Settings!$B$13,1,0))</f>
        <v/>
      </c>
      <c r="E209" s="230" t="str">
        <f ca="1">IF(A209&gt;TODAY(),"",IF(N('Daily Tracking'!H209)&gt;=Settings!$B$14,1,0))</f>
        <v/>
      </c>
      <c r="F209" s="230" t="str">
        <f ca="1">IF(A209&gt;TODAY(),"",IF(OR(N('Daily Tracking'!I209)&gt;0,'Daily Tracking'!J209="Yes"),1,0))</f>
        <v/>
      </c>
      <c r="G209" s="230" t="str">
        <f ca="1">IF(A209&gt;TODAY(),"",IF(N('Daily Tracking'!K209)&gt;=Settings!$B$15,1,0))</f>
        <v/>
      </c>
      <c r="H209" s="231" t="str">
        <f ca="1">IF(B209="","",AVERAGE(B209:G209))</f>
        <v/>
      </c>
      <c r="I209" s="136" t="str">
        <f ca="1">IF(B209="","",IF(B209=1,N(I208)+1,0))</f>
        <v/>
      </c>
      <c r="J209" s="232"/>
      <c r="K209" s="232"/>
      <c r="L209" s="232"/>
      <c r="M209" s="232"/>
    </row>
    <row r="210" spans="1:13" ht="18" customHeight="1" x14ac:dyDescent="0.3">
      <c r="A210" s="132">
        <f>'Daily Tracking'!A210</f>
        <v>46482</v>
      </c>
      <c r="B210" s="230" t="str">
        <f ca="1">IF(A210&gt;TODAY(),"",IF('Daily Tracking'!B210&lt;&gt;"",1,0))</f>
        <v/>
      </c>
      <c r="C210" s="230" t="str">
        <f ca="1">IF(A210&gt;TODAY(),"",IF('Daily Tracking'!E210&lt;&gt;"",1,0))</f>
        <v/>
      </c>
      <c r="D210" s="230" t="str">
        <f ca="1">IF(A210&gt;TODAY(),"",IF(N('Daily Tracking'!G210)&gt;=Settings!$B$13,1,0))</f>
        <v/>
      </c>
      <c r="E210" s="230" t="str">
        <f ca="1">IF(A210&gt;TODAY(),"",IF(N('Daily Tracking'!H210)&gt;=Settings!$B$14,1,0))</f>
        <v/>
      </c>
      <c r="F210" s="230" t="str">
        <f ca="1">IF(A210&gt;TODAY(),"",IF(OR(N('Daily Tracking'!I210)&gt;0,'Daily Tracking'!J210="Yes"),1,0))</f>
        <v/>
      </c>
      <c r="G210" s="230" t="str">
        <f ca="1">IF(A210&gt;TODAY(),"",IF(N('Daily Tracking'!K210)&gt;=Settings!$B$15,1,0))</f>
        <v/>
      </c>
      <c r="H210" s="231" t="str">
        <f ca="1">IF(B210="","",AVERAGE(B210:G210))</f>
        <v/>
      </c>
      <c r="I210" s="136" t="str">
        <f ca="1">IF(B210="","",IF(B210=1,N(I209)+1,0))</f>
        <v/>
      </c>
      <c r="J210" s="232"/>
      <c r="K210" s="232"/>
      <c r="L210" s="232"/>
      <c r="M210" s="232"/>
    </row>
    <row r="211" spans="1:13" ht="18" customHeight="1" x14ac:dyDescent="0.3">
      <c r="A211" s="132">
        <f>'Daily Tracking'!A211</f>
        <v>46483</v>
      </c>
      <c r="B211" s="230" t="str">
        <f ca="1">IF(A211&gt;TODAY(),"",IF('Daily Tracking'!B211&lt;&gt;"",1,0))</f>
        <v/>
      </c>
      <c r="C211" s="230" t="str">
        <f ca="1">IF(A211&gt;TODAY(),"",IF('Daily Tracking'!E211&lt;&gt;"",1,0))</f>
        <v/>
      </c>
      <c r="D211" s="230" t="str">
        <f ca="1">IF(A211&gt;TODAY(),"",IF(N('Daily Tracking'!G211)&gt;=Settings!$B$13,1,0))</f>
        <v/>
      </c>
      <c r="E211" s="230" t="str">
        <f ca="1">IF(A211&gt;TODAY(),"",IF(N('Daily Tracking'!H211)&gt;=Settings!$B$14,1,0))</f>
        <v/>
      </c>
      <c r="F211" s="230" t="str">
        <f ca="1">IF(A211&gt;TODAY(),"",IF(OR(N('Daily Tracking'!I211)&gt;0,'Daily Tracking'!J211="Yes"),1,0))</f>
        <v/>
      </c>
      <c r="G211" s="230" t="str">
        <f ca="1">IF(A211&gt;TODAY(),"",IF(N('Daily Tracking'!K211)&gt;=Settings!$B$15,1,0))</f>
        <v/>
      </c>
      <c r="H211" s="231" t="str">
        <f ca="1">IF(B211="","",AVERAGE(B211:G211))</f>
        <v/>
      </c>
      <c r="I211" s="136" t="str">
        <f ca="1">IF(B211="","",IF(B211=1,N(I210)+1,0))</f>
        <v/>
      </c>
      <c r="J211" s="232"/>
      <c r="K211" s="232"/>
      <c r="L211" s="232"/>
      <c r="M211" s="232"/>
    </row>
    <row r="212" spans="1:13" ht="18" customHeight="1" x14ac:dyDescent="0.3">
      <c r="A212" s="132">
        <f>'Daily Tracking'!A212</f>
        <v>46484</v>
      </c>
      <c r="B212" s="230" t="str">
        <f ca="1">IF(A212&gt;TODAY(),"",IF('Daily Tracking'!B212&lt;&gt;"",1,0))</f>
        <v/>
      </c>
      <c r="C212" s="230" t="str">
        <f ca="1">IF(A212&gt;TODAY(),"",IF('Daily Tracking'!E212&lt;&gt;"",1,0))</f>
        <v/>
      </c>
      <c r="D212" s="230" t="str">
        <f ca="1">IF(A212&gt;TODAY(),"",IF(N('Daily Tracking'!G212)&gt;=Settings!$B$13,1,0))</f>
        <v/>
      </c>
      <c r="E212" s="230" t="str">
        <f ca="1">IF(A212&gt;TODAY(),"",IF(N('Daily Tracking'!H212)&gt;=Settings!$B$14,1,0))</f>
        <v/>
      </c>
      <c r="F212" s="230" t="str">
        <f ca="1">IF(A212&gt;TODAY(),"",IF(OR(N('Daily Tracking'!I212)&gt;0,'Daily Tracking'!J212="Yes"),1,0))</f>
        <v/>
      </c>
      <c r="G212" s="230" t="str">
        <f ca="1">IF(A212&gt;TODAY(),"",IF(N('Daily Tracking'!K212)&gt;=Settings!$B$15,1,0))</f>
        <v/>
      </c>
      <c r="H212" s="231" t="str">
        <f ca="1">IF(B212="","",AVERAGE(B212:G212))</f>
        <v/>
      </c>
      <c r="I212" s="136" t="str">
        <f ca="1">IF(B212="","",IF(B212=1,N(I211)+1,0))</f>
        <v/>
      </c>
      <c r="J212" s="232"/>
      <c r="K212" s="232"/>
      <c r="L212" s="232"/>
      <c r="M212" s="232"/>
    </row>
    <row r="213" spans="1:13" ht="18" customHeight="1" x14ac:dyDescent="0.3">
      <c r="A213" s="132">
        <f>'Daily Tracking'!A213</f>
        <v>46485</v>
      </c>
      <c r="B213" s="230" t="str">
        <f ca="1">IF(A213&gt;TODAY(),"",IF('Daily Tracking'!B213&lt;&gt;"",1,0))</f>
        <v/>
      </c>
      <c r="C213" s="230" t="str">
        <f ca="1">IF(A213&gt;TODAY(),"",IF('Daily Tracking'!E213&lt;&gt;"",1,0))</f>
        <v/>
      </c>
      <c r="D213" s="230" t="str">
        <f ca="1">IF(A213&gt;TODAY(),"",IF(N('Daily Tracking'!G213)&gt;=Settings!$B$13,1,0))</f>
        <v/>
      </c>
      <c r="E213" s="230" t="str">
        <f ca="1">IF(A213&gt;TODAY(),"",IF(N('Daily Tracking'!H213)&gt;=Settings!$B$14,1,0))</f>
        <v/>
      </c>
      <c r="F213" s="230" t="str">
        <f ca="1">IF(A213&gt;TODAY(),"",IF(OR(N('Daily Tracking'!I213)&gt;0,'Daily Tracking'!J213="Yes"),1,0))</f>
        <v/>
      </c>
      <c r="G213" s="230" t="str">
        <f ca="1">IF(A213&gt;TODAY(),"",IF(N('Daily Tracking'!K213)&gt;=Settings!$B$15,1,0))</f>
        <v/>
      </c>
      <c r="H213" s="231" t="str">
        <f ca="1">IF(B213="","",AVERAGE(B213:G213))</f>
        <v/>
      </c>
      <c r="I213" s="136" t="str">
        <f ca="1">IF(B213="","",IF(B213=1,N(I212)+1,0))</f>
        <v/>
      </c>
      <c r="J213" s="232"/>
      <c r="K213" s="232"/>
      <c r="L213" s="232"/>
      <c r="M213" s="232"/>
    </row>
    <row r="214" spans="1:13" ht="18" customHeight="1" x14ac:dyDescent="0.3">
      <c r="A214" s="132">
        <f>'Daily Tracking'!A214</f>
        <v>46486</v>
      </c>
      <c r="B214" s="230" t="str">
        <f ca="1">IF(A214&gt;TODAY(),"",IF('Daily Tracking'!B214&lt;&gt;"",1,0))</f>
        <v/>
      </c>
      <c r="C214" s="230" t="str">
        <f ca="1">IF(A214&gt;TODAY(),"",IF('Daily Tracking'!E214&lt;&gt;"",1,0))</f>
        <v/>
      </c>
      <c r="D214" s="230" t="str">
        <f ca="1">IF(A214&gt;TODAY(),"",IF(N('Daily Tracking'!G214)&gt;=Settings!$B$13,1,0))</f>
        <v/>
      </c>
      <c r="E214" s="230" t="str">
        <f ca="1">IF(A214&gt;TODAY(),"",IF(N('Daily Tracking'!H214)&gt;=Settings!$B$14,1,0))</f>
        <v/>
      </c>
      <c r="F214" s="230" t="str">
        <f ca="1">IF(A214&gt;TODAY(),"",IF(OR(N('Daily Tracking'!I214)&gt;0,'Daily Tracking'!J214="Yes"),1,0))</f>
        <v/>
      </c>
      <c r="G214" s="230" t="str">
        <f ca="1">IF(A214&gt;TODAY(),"",IF(N('Daily Tracking'!K214)&gt;=Settings!$B$15,1,0))</f>
        <v/>
      </c>
      <c r="H214" s="231" t="str">
        <f ca="1">IF(B214="","",AVERAGE(B214:G214))</f>
        <v/>
      </c>
      <c r="I214" s="136" t="str">
        <f ca="1">IF(B214="","",IF(B214=1,N(I213)+1,0))</f>
        <v/>
      </c>
      <c r="J214" s="232"/>
      <c r="K214" s="232"/>
      <c r="L214" s="232"/>
      <c r="M214" s="232"/>
    </row>
    <row r="215" spans="1:13" ht="18" customHeight="1" x14ac:dyDescent="0.3">
      <c r="A215" s="132">
        <f>'Daily Tracking'!A215</f>
        <v>46487</v>
      </c>
      <c r="B215" s="230" t="str">
        <f ca="1">IF(A215&gt;TODAY(),"",IF('Daily Tracking'!B215&lt;&gt;"",1,0))</f>
        <v/>
      </c>
      <c r="C215" s="230" t="str">
        <f ca="1">IF(A215&gt;TODAY(),"",IF('Daily Tracking'!E215&lt;&gt;"",1,0))</f>
        <v/>
      </c>
      <c r="D215" s="230" t="str">
        <f ca="1">IF(A215&gt;TODAY(),"",IF(N('Daily Tracking'!G215)&gt;=Settings!$B$13,1,0))</f>
        <v/>
      </c>
      <c r="E215" s="230" t="str">
        <f ca="1">IF(A215&gt;TODAY(),"",IF(N('Daily Tracking'!H215)&gt;=Settings!$B$14,1,0))</f>
        <v/>
      </c>
      <c r="F215" s="230" t="str">
        <f ca="1">IF(A215&gt;TODAY(),"",IF(OR(N('Daily Tracking'!I215)&gt;0,'Daily Tracking'!J215="Yes"),1,0))</f>
        <v/>
      </c>
      <c r="G215" s="230" t="str">
        <f ca="1">IF(A215&gt;TODAY(),"",IF(N('Daily Tracking'!K215)&gt;=Settings!$B$15,1,0))</f>
        <v/>
      </c>
      <c r="H215" s="231" t="str">
        <f ca="1">IF(B215="","",AVERAGE(B215:G215))</f>
        <v/>
      </c>
      <c r="I215" s="136" t="str">
        <f ca="1">IF(B215="","",IF(B215=1,N(I214)+1,0))</f>
        <v/>
      </c>
      <c r="J215" s="232"/>
      <c r="K215" s="232"/>
      <c r="L215" s="232"/>
      <c r="M215" s="232"/>
    </row>
    <row r="216" spans="1:13" ht="18" customHeight="1" x14ac:dyDescent="0.3">
      <c r="A216" s="132">
        <f>'Daily Tracking'!A216</f>
        <v>46488</v>
      </c>
      <c r="B216" s="230" t="str">
        <f ca="1">IF(A216&gt;TODAY(),"",IF('Daily Tracking'!B216&lt;&gt;"",1,0))</f>
        <v/>
      </c>
      <c r="C216" s="230" t="str">
        <f ca="1">IF(A216&gt;TODAY(),"",IF('Daily Tracking'!E216&lt;&gt;"",1,0))</f>
        <v/>
      </c>
      <c r="D216" s="230" t="str">
        <f ca="1">IF(A216&gt;TODAY(),"",IF(N('Daily Tracking'!G216)&gt;=Settings!$B$13,1,0))</f>
        <v/>
      </c>
      <c r="E216" s="230" t="str">
        <f ca="1">IF(A216&gt;TODAY(),"",IF(N('Daily Tracking'!H216)&gt;=Settings!$B$14,1,0))</f>
        <v/>
      </c>
      <c r="F216" s="230" t="str">
        <f ca="1">IF(A216&gt;TODAY(),"",IF(OR(N('Daily Tracking'!I216)&gt;0,'Daily Tracking'!J216="Yes"),1,0))</f>
        <v/>
      </c>
      <c r="G216" s="230" t="str">
        <f ca="1">IF(A216&gt;TODAY(),"",IF(N('Daily Tracking'!K216)&gt;=Settings!$B$15,1,0))</f>
        <v/>
      </c>
      <c r="H216" s="231" t="str">
        <f ca="1">IF(B216="","",AVERAGE(B216:G216))</f>
        <v/>
      </c>
      <c r="I216" s="136" t="str">
        <f ca="1">IF(B216="","",IF(B216=1,N(I215)+1,0))</f>
        <v/>
      </c>
      <c r="J216" s="232"/>
      <c r="K216" s="232"/>
      <c r="L216" s="232"/>
      <c r="M216" s="232"/>
    </row>
    <row r="217" spans="1:13" ht="18" customHeight="1" x14ac:dyDescent="0.3">
      <c r="A217" s="132">
        <f>'Daily Tracking'!A217</f>
        <v>46489</v>
      </c>
      <c r="B217" s="230" t="str">
        <f ca="1">IF(A217&gt;TODAY(),"",IF('Daily Tracking'!B217&lt;&gt;"",1,0))</f>
        <v/>
      </c>
      <c r="C217" s="230" t="str">
        <f ca="1">IF(A217&gt;TODAY(),"",IF('Daily Tracking'!E217&lt;&gt;"",1,0))</f>
        <v/>
      </c>
      <c r="D217" s="230" t="str">
        <f ca="1">IF(A217&gt;TODAY(),"",IF(N('Daily Tracking'!G217)&gt;=Settings!$B$13,1,0))</f>
        <v/>
      </c>
      <c r="E217" s="230" t="str">
        <f ca="1">IF(A217&gt;TODAY(),"",IF(N('Daily Tracking'!H217)&gt;=Settings!$B$14,1,0))</f>
        <v/>
      </c>
      <c r="F217" s="230" t="str">
        <f ca="1">IF(A217&gt;TODAY(),"",IF(OR(N('Daily Tracking'!I217)&gt;0,'Daily Tracking'!J217="Yes"),1,0))</f>
        <v/>
      </c>
      <c r="G217" s="230" t="str">
        <f ca="1">IF(A217&gt;TODAY(),"",IF(N('Daily Tracking'!K217)&gt;=Settings!$B$15,1,0))</f>
        <v/>
      </c>
      <c r="H217" s="231" t="str">
        <f ca="1">IF(B217="","",AVERAGE(B217:G217))</f>
        <v/>
      </c>
      <c r="I217" s="136" t="str">
        <f ca="1">IF(B217="","",IF(B217=1,N(I216)+1,0))</f>
        <v/>
      </c>
      <c r="J217" s="232"/>
      <c r="K217" s="232"/>
      <c r="L217" s="232"/>
      <c r="M217" s="232"/>
    </row>
    <row r="218" spans="1:13" ht="18" customHeight="1" x14ac:dyDescent="0.3">
      <c r="A218" s="132">
        <f>'Daily Tracking'!A218</f>
        <v>46490</v>
      </c>
      <c r="B218" s="230" t="str">
        <f ca="1">IF(A218&gt;TODAY(),"",IF('Daily Tracking'!B218&lt;&gt;"",1,0))</f>
        <v/>
      </c>
      <c r="C218" s="230" t="str">
        <f ca="1">IF(A218&gt;TODAY(),"",IF('Daily Tracking'!E218&lt;&gt;"",1,0))</f>
        <v/>
      </c>
      <c r="D218" s="230" t="str">
        <f ca="1">IF(A218&gt;TODAY(),"",IF(N('Daily Tracking'!G218)&gt;=Settings!$B$13,1,0))</f>
        <v/>
      </c>
      <c r="E218" s="230" t="str">
        <f ca="1">IF(A218&gt;TODAY(),"",IF(N('Daily Tracking'!H218)&gt;=Settings!$B$14,1,0))</f>
        <v/>
      </c>
      <c r="F218" s="230" t="str">
        <f ca="1">IF(A218&gt;TODAY(),"",IF(OR(N('Daily Tracking'!I218)&gt;0,'Daily Tracking'!J218="Yes"),1,0))</f>
        <v/>
      </c>
      <c r="G218" s="230" t="str">
        <f ca="1">IF(A218&gt;TODAY(),"",IF(N('Daily Tracking'!K218)&gt;=Settings!$B$15,1,0))</f>
        <v/>
      </c>
      <c r="H218" s="231" t="str">
        <f ca="1">IF(B218="","",AVERAGE(B218:G218))</f>
        <v/>
      </c>
      <c r="I218" s="136" t="str">
        <f ca="1">IF(B218="","",IF(B218=1,N(I217)+1,0))</f>
        <v/>
      </c>
      <c r="J218" s="232"/>
      <c r="K218" s="232"/>
      <c r="L218" s="232"/>
      <c r="M218" s="232"/>
    </row>
    <row r="219" spans="1:13" ht="18" customHeight="1" x14ac:dyDescent="0.3">
      <c r="A219" s="132">
        <f>'Daily Tracking'!A219</f>
        <v>46491</v>
      </c>
      <c r="B219" s="230" t="str">
        <f ca="1">IF(A219&gt;TODAY(),"",IF('Daily Tracking'!B219&lt;&gt;"",1,0))</f>
        <v/>
      </c>
      <c r="C219" s="230" t="str">
        <f ca="1">IF(A219&gt;TODAY(),"",IF('Daily Tracking'!E219&lt;&gt;"",1,0))</f>
        <v/>
      </c>
      <c r="D219" s="230" t="str">
        <f ca="1">IF(A219&gt;TODAY(),"",IF(N('Daily Tracking'!G219)&gt;=Settings!$B$13,1,0))</f>
        <v/>
      </c>
      <c r="E219" s="230" t="str">
        <f ca="1">IF(A219&gt;TODAY(),"",IF(N('Daily Tracking'!H219)&gt;=Settings!$B$14,1,0))</f>
        <v/>
      </c>
      <c r="F219" s="230" t="str">
        <f ca="1">IF(A219&gt;TODAY(),"",IF(OR(N('Daily Tracking'!I219)&gt;0,'Daily Tracking'!J219="Yes"),1,0))</f>
        <v/>
      </c>
      <c r="G219" s="230" t="str">
        <f ca="1">IF(A219&gt;TODAY(),"",IF(N('Daily Tracking'!K219)&gt;=Settings!$B$15,1,0))</f>
        <v/>
      </c>
      <c r="H219" s="231" t="str">
        <f ca="1">IF(B219="","",AVERAGE(B219:G219))</f>
        <v/>
      </c>
      <c r="I219" s="136" t="str">
        <f ca="1">IF(B219="","",IF(B219=1,N(I218)+1,0))</f>
        <v/>
      </c>
      <c r="J219" s="232"/>
      <c r="K219" s="232"/>
      <c r="L219" s="232"/>
      <c r="M219" s="232"/>
    </row>
    <row r="220" spans="1:13" ht="18" customHeight="1" x14ac:dyDescent="0.3">
      <c r="A220" s="132">
        <f>'Daily Tracking'!A220</f>
        <v>46492</v>
      </c>
      <c r="B220" s="230" t="str">
        <f ca="1">IF(A220&gt;TODAY(),"",IF('Daily Tracking'!B220&lt;&gt;"",1,0))</f>
        <v/>
      </c>
      <c r="C220" s="230" t="str">
        <f ca="1">IF(A220&gt;TODAY(),"",IF('Daily Tracking'!E220&lt;&gt;"",1,0))</f>
        <v/>
      </c>
      <c r="D220" s="230" t="str">
        <f ca="1">IF(A220&gt;TODAY(),"",IF(N('Daily Tracking'!G220)&gt;=Settings!$B$13,1,0))</f>
        <v/>
      </c>
      <c r="E220" s="230" t="str">
        <f ca="1">IF(A220&gt;TODAY(),"",IF(N('Daily Tracking'!H220)&gt;=Settings!$B$14,1,0))</f>
        <v/>
      </c>
      <c r="F220" s="230" t="str">
        <f ca="1">IF(A220&gt;TODAY(),"",IF(OR(N('Daily Tracking'!I220)&gt;0,'Daily Tracking'!J220="Yes"),1,0))</f>
        <v/>
      </c>
      <c r="G220" s="230" t="str">
        <f ca="1">IF(A220&gt;TODAY(),"",IF(N('Daily Tracking'!K220)&gt;=Settings!$B$15,1,0))</f>
        <v/>
      </c>
      <c r="H220" s="231" t="str">
        <f ca="1">IF(B220="","",AVERAGE(B220:G220))</f>
        <v/>
      </c>
      <c r="I220" s="136" t="str">
        <f ca="1">IF(B220="","",IF(B220=1,N(I219)+1,0))</f>
        <v/>
      </c>
      <c r="J220" s="232"/>
      <c r="K220" s="232"/>
      <c r="L220" s="232"/>
      <c r="M220" s="232"/>
    </row>
    <row r="221" spans="1:13" ht="18" customHeight="1" x14ac:dyDescent="0.3">
      <c r="A221" s="132">
        <f>'Daily Tracking'!A221</f>
        <v>46493</v>
      </c>
      <c r="B221" s="230" t="str">
        <f ca="1">IF(A221&gt;TODAY(),"",IF('Daily Tracking'!B221&lt;&gt;"",1,0))</f>
        <v/>
      </c>
      <c r="C221" s="230" t="str">
        <f ca="1">IF(A221&gt;TODAY(),"",IF('Daily Tracking'!E221&lt;&gt;"",1,0))</f>
        <v/>
      </c>
      <c r="D221" s="230" t="str">
        <f ca="1">IF(A221&gt;TODAY(),"",IF(N('Daily Tracking'!G221)&gt;=Settings!$B$13,1,0))</f>
        <v/>
      </c>
      <c r="E221" s="230" t="str">
        <f ca="1">IF(A221&gt;TODAY(),"",IF(N('Daily Tracking'!H221)&gt;=Settings!$B$14,1,0))</f>
        <v/>
      </c>
      <c r="F221" s="230" t="str">
        <f ca="1">IF(A221&gt;TODAY(),"",IF(OR(N('Daily Tracking'!I221)&gt;0,'Daily Tracking'!J221="Yes"),1,0))</f>
        <v/>
      </c>
      <c r="G221" s="230" t="str">
        <f ca="1">IF(A221&gt;TODAY(),"",IF(N('Daily Tracking'!K221)&gt;=Settings!$B$15,1,0))</f>
        <v/>
      </c>
      <c r="H221" s="231" t="str">
        <f ca="1">IF(B221="","",AVERAGE(B221:G221))</f>
        <v/>
      </c>
      <c r="I221" s="136" t="str">
        <f ca="1">IF(B221="","",IF(B221=1,N(I220)+1,0))</f>
        <v/>
      </c>
      <c r="J221" s="232"/>
      <c r="K221" s="232"/>
      <c r="L221" s="232"/>
      <c r="M221" s="232"/>
    </row>
    <row r="222" spans="1:13" ht="18" customHeight="1" x14ac:dyDescent="0.3">
      <c r="A222" s="132">
        <f>'Daily Tracking'!A222</f>
        <v>46494</v>
      </c>
      <c r="B222" s="230" t="str">
        <f ca="1">IF(A222&gt;TODAY(),"",IF('Daily Tracking'!B222&lt;&gt;"",1,0))</f>
        <v/>
      </c>
      <c r="C222" s="230" t="str">
        <f ca="1">IF(A222&gt;TODAY(),"",IF('Daily Tracking'!E222&lt;&gt;"",1,0))</f>
        <v/>
      </c>
      <c r="D222" s="230" t="str">
        <f ca="1">IF(A222&gt;TODAY(),"",IF(N('Daily Tracking'!G222)&gt;=Settings!$B$13,1,0))</f>
        <v/>
      </c>
      <c r="E222" s="230" t="str">
        <f ca="1">IF(A222&gt;TODAY(),"",IF(N('Daily Tracking'!H222)&gt;=Settings!$B$14,1,0))</f>
        <v/>
      </c>
      <c r="F222" s="230" t="str">
        <f ca="1">IF(A222&gt;TODAY(),"",IF(OR(N('Daily Tracking'!I222)&gt;0,'Daily Tracking'!J222="Yes"),1,0))</f>
        <v/>
      </c>
      <c r="G222" s="230" t="str">
        <f ca="1">IF(A222&gt;TODAY(),"",IF(N('Daily Tracking'!K222)&gt;=Settings!$B$15,1,0))</f>
        <v/>
      </c>
      <c r="H222" s="231" t="str">
        <f ca="1">IF(B222="","",AVERAGE(B222:G222))</f>
        <v/>
      </c>
      <c r="I222" s="136" t="str">
        <f ca="1">IF(B222="","",IF(B222=1,N(I221)+1,0))</f>
        <v/>
      </c>
      <c r="J222" s="232"/>
      <c r="K222" s="232"/>
      <c r="L222" s="232"/>
      <c r="M222" s="232"/>
    </row>
    <row r="223" spans="1:13" ht="18" customHeight="1" x14ac:dyDescent="0.3">
      <c r="A223" s="132">
        <f>'Daily Tracking'!A223</f>
        <v>46495</v>
      </c>
      <c r="B223" s="230" t="str">
        <f ca="1">IF(A223&gt;TODAY(),"",IF('Daily Tracking'!B223&lt;&gt;"",1,0))</f>
        <v/>
      </c>
      <c r="C223" s="230" t="str">
        <f ca="1">IF(A223&gt;TODAY(),"",IF('Daily Tracking'!E223&lt;&gt;"",1,0))</f>
        <v/>
      </c>
      <c r="D223" s="230" t="str">
        <f ca="1">IF(A223&gt;TODAY(),"",IF(N('Daily Tracking'!G223)&gt;=Settings!$B$13,1,0))</f>
        <v/>
      </c>
      <c r="E223" s="230" t="str">
        <f ca="1">IF(A223&gt;TODAY(),"",IF(N('Daily Tracking'!H223)&gt;=Settings!$B$14,1,0))</f>
        <v/>
      </c>
      <c r="F223" s="230" t="str">
        <f ca="1">IF(A223&gt;TODAY(),"",IF(OR(N('Daily Tracking'!I223)&gt;0,'Daily Tracking'!J223="Yes"),1,0))</f>
        <v/>
      </c>
      <c r="G223" s="230" t="str">
        <f ca="1">IF(A223&gt;TODAY(),"",IF(N('Daily Tracking'!K223)&gt;=Settings!$B$15,1,0))</f>
        <v/>
      </c>
      <c r="H223" s="231" t="str">
        <f ca="1">IF(B223="","",AVERAGE(B223:G223))</f>
        <v/>
      </c>
      <c r="I223" s="136" t="str">
        <f ca="1">IF(B223="","",IF(B223=1,N(I222)+1,0))</f>
        <v/>
      </c>
      <c r="J223" s="232"/>
      <c r="K223" s="232"/>
      <c r="L223" s="232"/>
      <c r="M223" s="232"/>
    </row>
    <row r="224" spans="1:13" ht="18" customHeight="1" x14ac:dyDescent="0.3">
      <c r="A224" s="132">
        <f>'Daily Tracking'!A224</f>
        <v>46496</v>
      </c>
      <c r="B224" s="230" t="str">
        <f ca="1">IF(A224&gt;TODAY(),"",IF('Daily Tracking'!B224&lt;&gt;"",1,0))</f>
        <v/>
      </c>
      <c r="C224" s="230" t="str">
        <f ca="1">IF(A224&gt;TODAY(),"",IF('Daily Tracking'!E224&lt;&gt;"",1,0))</f>
        <v/>
      </c>
      <c r="D224" s="230" t="str">
        <f ca="1">IF(A224&gt;TODAY(),"",IF(N('Daily Tracking'!G224)&gt;=Settings!$B$13,1,0))</f>
        <v/>
      </c>
      <c r="E224" s="230" t="str">
        <f ca="1">IF(A224&gt;TODAY(),"",IF(N('Daily Tracking'!H224)&gt;=Settings!$B$14,1,0))</f>
        <v/>
      </c>
      <c r="F224" s="230" t="str">
        <f ca="1">IF(A224&gt;TODAY(),"",IF(OR(N('Daily Tracking'!I224)&gt;0,'Daily Tracking'!J224="Yes"),1,0))</f>
        <v/>
      </c>
      <c r="G224" s="230" t="str">
        <f ca="1">IF(A224&gt;TODAY(),"",IF(N('Daily Tracking'!K224)&gt;=Settings!$B$15,1,0))</f>
        <v/>
      </c>
      <c r="H224" s="231" t="str">
        <f ca="1">IF(B224="","",AVERAGE(B224:G224))</f>
        <v/>
      </c>
      <c r="I224" s="136" t="str">
        <f ca="1">IF(B224="","",IF(B224=1,N(I223)+1,0))</f>
        <v/>
      </c>
      <c r="J224" s="232"/>
      <c r="K224" s="232"/>
      <c r="L224" s="232"/>
      <c r="M224" s="232"/>
    </row>
    <row r="225" spans="1:13" ht="18" customHeight="1" x14ac:dyDescent="0.3">
      <c r="A225" s="132">
        <f>'Daily Tracking'!A225</f>
        <v>46497</v>
      </c>
      <c r="B225" s="230" t="str">
        <f ca="1">IF(A225&gt;TODAY(),"",IF('Daily Tracking'!B225&lt;&gt;"",1,0))</f>
        <v/>
      </c>
      <c r="C225" s="230" t="str">
        <f ca="1">IF(A225&gt;TODAY(),"",IF('Daily Tracking'!E225&lt;&gt;"",1,0))</f>
        <v/>
      </c>
      <c r="D225" s="230" t="str">
        <f ca="1">IF(A225&gt;TODAY(),"",IF(N('Daily Tracking'!G225)&gt;=Settings!$B$13,1,0))</f>
        <v/>
      </c>
      <c r="E225" s="230" t="str">
        <f ca="1">IF(A225&gt;TODAY(),"",IF(N('Daily Tracking'!H225)&gt;=Settings!$B$14,1,0))</f>
        <v/>
      </c>
      <c r="F225" s="230" t="str">
        <f ca="1">IF(A225&gt;TODAY(),"",IF(OR(N('Daily Tracking'!I225)&gt;0,'Daily Tracking'!J225="Yes"),1,0))</f>
        <v/>
      </c>
      <c r="G225" s="230" t="str">
        <f ca="1">IF(A225&gt;TODAY(),"",IF(N('Daily Tracking'!K225)&gt;=Settings!$B$15,1,0))</f>
        <v/>
      </c>
      <c r="H225" s="231" t="str">
        <f ca="1">IF(B225="","",AVERAGE(B225:G225))</f>
        <v/>
      </c>
      <c r="I225" s="136" t="str">
        <f ca="1">IF(B225="","",IF(B225=1,N(I224)+1,0))</f>
        <v/>
      </c>
      <c r="J225" s="232"/>
      <c r="K225" s="232"/>
      <c r="L225" s="232"/>
      <c r="M225" s="232"/>
    </row>
    <row r="226" spans="1:13" ht="18" customHeight="1" x14ac:dyDescent="0.3">
      <c r="A226" s="132">
        <f>'Daily Tracking'!A226</f>
        <v>46498</v>
      </c>
      <c r="B226" s="230" t="str">
        <f ca="1">IF(A226&gt;TODAY(),"",IF('Daily Tracking'!B226&lt;&gt;"",1,0))</f>
        <v/>
      </c>
      <c r="C226" s="230" t="str">
        <f ca="1">IF(A226&gt;TODAY(),"",IF('Daily Tracking'!E226&lt;&gt;"",1,0))</f>
        <v/>
      </c>
      <c r="D226" s="230" t="str">
        <f ca="1">IF(A226&gt;TODAY(),"",IF(N('Daily Tracking'!G226)&gt;=Settings!$B$13,1,0))</f>
        <v/>
      </c>
      <c r="E226" s="230" t="str">
        <f ca="1">IF(A226&gt;TODAY(),"",IF(N('Daily Tracking'!H226)&gt;=Settings!$B$14,1,0))</f>
        <v/>
      </c>
      <c r="F226" s="230" t="str">
        <f ca="1">IF(A226&gt;TODAY(),"",IF(OR(N('Daily Tracking'!I226)&gt;0,'Daily Tracking'!J226="Yes"),1,0))</f>
        <v/>
      </c>
      <c r="G226" s="230" t="str">
        <f ca="1">IF(A226&gt;TODAY(),"",IF(N('Daily Tracking'!K226)&gt;=Settings!$B$15,1,0))</f>
        <v/>
      </c>
      <c r="H226" s="231" t="str">
        <f ca="1">IF(B226="","",AVERAGE(B226:G226))</f>
        <v/>
      </c>
      <c r="I226" s="136" t="str">
        <f ca="1">IF(B226="","",IF(B226=1,N(I225)+1,0))</f>
        <v/>
      </c>
      <c r="J226" s="232"/>
      <c r="K226" s="232"/>
      <c r="L226" s="232"/>
      <c r="M226" s="232"/>
    </row>
    <row r="227" spans="1:13" ht="18" customHeight="1" x14ac:dyDescent="0.3">
      <c r="A227" s="132">
        <f>'Daily Tracking'!A227</f>
        <v>46499</v>
      </c>
      <c r="B227" s="230" t="str">
        <f ca="1">IF(A227&gt;TODAY(),"",IF('Daily Tracking'!B227&lt;&gt;"",1,0))</f>
        <v/>
      </c>
      <c r="C227" s="230" t="str">
        <f ca="1">IF(A227&gt;TODAY(),"",IF('Daily Tracking'!E227&lt;&gt;"",1,0))</f>
        <v/>
      </c>
      <c r="D227" s="230" t="str">
        <f ca="1">IF(A227&gt;TODAY(),"",IF(N('Daily Tracking'!G227)&gt;=Settings!$B$13,1,0))</f>
        <v/>
      </c>
      <c r="E227" s="230" t="str">
        <f ca="1">IF(A227&gt;TODAY(),"",IF(N('Daily Tracking'!H227)&gt;=Settings!$B$14,1,0))</f>
        <v/>
      </c>
      <c r="F227" s="230" t="str">
        <f ca="1">IF(A227&gt;TODAY(),"",IF(OR(N('Daily Tracking'!I227)&gt;0,'Daily Tracking'!J227="Yes"),1,0))</f>
        <v/>
      </c>
      <c r="G227" s="230" t="str">
        <f ca="1">IF(A227&gt;TODAY(),"",IF(N('Daily Tracking'!K227)&gt;=Settings!$B$15,1,0))</f>
        <v/>
      </c>
      <c r="H227" s="231" t="str">
        <f ca="1">IF(B227="","",AVERAGE(B227:G227))</f>
        <v/>
      </c>
      <c r="I227" s="136" t="str">
        <f ca="1">IF(B227="","",IF(B227=1,N(I226)+1,0))</f>
        <v/>
      </c>
      <c r="J227" s="232"/>
      <c r="K227" s="232"/>
      <c r="L227" s="232"/>
      <c r="M227" s="232"/>
    </row>
    <row r="228" spans="1:13" ht="18" customHeight="1" x14ac:dyDescent="0.3">
      <c r="A228" s="132">
        <f>'Daily Tracking'!A228</f>
        <v>46500</v>
      </c>
      <c r="B228" s="230" t="str">
        <f ca="1">IF(A228&gt;TODAY(),"",IF('Daily Tracking'!B228&lt;&gt;"",1,0))</f>
        <v/>
      </c>
      <c r="C228" s="230" t="str">
        <f ca="1">IF(A228&gt;TODAY(),"",IF('Daily Tracking'!E228&lt;&gt;"",1,0))</f>
        <v/>
      </c>
      <c r="D228" s="230" t="str">
        <f ca="1">IF(A228&gt;TODAY(),"",IF(N('Daily Tracking'!G228)&gt;=Settings!$B$13,1,0))</f>
        <v/>
      </c>
      <c r="E228" s="230" t="str">
        <f ca="1">IF(A228&gt;TODAY(),"",IF(N('Daily Tracking'!H228)&gt;=Settings!$B$14,1,0))</f>
        <v/>
      </c>
      <c r="F228" s="230" t="str">
        <f ca="1">IF(A228&gt;TODAY(),"",IF(OR(N('Daily Tracking'!I228)&gt;0,'Daily Tracking'!J228="Yes"),1,0))</f>
        <v/>
      </c>
      <c r="G228" s="230" t="str">
        <f ca="1">IF(A228&gt;TODAY(),"",IF(N('Daily Tracking'!K228)&gt;=Settings!$B$15,1,0))</f>
        <v/>
      </c>
      <c r="H228" s="231" t="str">
        <f ca="1">IF(B228="","",AVERAGE(B228:G228))</f>
        <v/>
      </c>
      <c r="I228" s="136" t="str">
        <f ca="1">IF(B228="","",IF(B228=1,N(I227)+1,0))</f>
        <v/>
      </c>
      <c r="J228" s="232"/>
      <c r="K228" s="232"/>
      <c r="L228" s="232"/>
      <c r="M228" s="232"/>
    </row>
    <row r="229" spans="1:13" ht="18" customHeight="1" x14ac:dyDescent="0.3">
      <c r="A229" s="132">
        <f>'Daily Tracking'!A229</f>
        <v>46501</v>
      </c>
      <c r="B229" s="230" t="str">
        <f ca="1">IF(A229&gt;TODAY(),"",IF('Daily Tracking'!B229&lt;&gt;"",1,0))</f>
        <v/>
      </c>
      <c r="C229" s="230" t="str">
        <f ca="1">IF(A229&gt;TODAY(),"",IF('Daily Tracking'!E229&lt;&gt;"",1,0))</f>
        <v/>
      </c>
      <c r="D229" s="230" t="str">
        <f ca="1">IF(A229&gt;TODAY(),"",IF(N('Daily Tracking'!G229)&gt;=Settings!$B$13,1,0))</f>
        <v/>
      </c>
      <c r="E229" s="230" t="str">
        <f ca="1">IF(A229&gt;TODAY(),"",IF(N('Daily Tracking'!H229)&gt;=Settings!$B$14,1,0))</f>
        <v/>
      </c>
      <c r="F229" s="230" t="str">
        <f ca="1">IF(A229&gt;TODAY(),"",IF(OR(N('Daily Tracking'!I229)&gt;0,'Daily Tracking'!J229="Yes"),1,0))</f>
        <v/>
      </c>
      <c r="G229" s="230" t="str">
        <f ca="1">IF(A229&gt;TODAY(),"",IF(N('Daily Tracking'!K229)&gt;=Settings!$B$15,1,0))</f>
        <v/>
      </c>
      <c r="H229" s="231" t="str">
        <f ca="1">IF(B229="","",AVERAGE(B229:G229))</f>
        <v/>
      </c>
      <c r="I229" s="136" t="str">
        <f ca="1">IF(B229="","",IF(B229=1,N(I228)+1,0))</f>
        <v/>
      </c>
      <c r="J229" s="232"/>
      <c r="K229" s="232"/>
      <c r="L229" s="232"/>
      <c r="M229" s="232"/>
    </row>
    <row r="230" spans="1:13" ht="18" customHeight="1" x14ac:dyDescent="0.3">
      <c r="A230" s="132">
        <f>'Daily Tracking'!A230</f>
        <v>46502</v>
      </c>
      <c r="B230" s="230" t="str">
        <f ca="1">IF(A230&gt;TODAY(),"",IF('Daily Tracking'!B230&lt;&gt;"",1,0))</f>
        <v/>
      </c>
      <c r="C230" s="230" t="str">
        <f ca="1">IF(A230&gt;TODAY(),"",IF('Daily Tracking'!E230&lt;&gt;"",1,0))</f>
        <v/>
      </c>
      <c r="D230" s="230" t="str">
        <f ca="1">IF(A230&gt;TODAY(),"",IF(N('Daily Tracking'!G230)&gt;=Settings!$B$13,1,0))</f>
        <v/>
      </c>
      <c r="E230" s="230" t="str">
        <f ca="1">IF(A230&gt;TODAY(),"",IF(N('Daily Tracking'!H230)&gt;=Settings!$B$14,1,0))</f>
        <v/>
      </c>
      <c r="F230" s="230" t="str">
        <f ca="1">IF(A230&gt;TODAY(),"",IF(OR(N('Daily Tracking'!I230)&gt;0,'Daily Tracking'!J230="Yes"),1,0))</f>
        <v/>
      </c>
      <c r="G230" s="230" t="str">
        <f ca="1">IF(A230&gt;TODAY(),"",IF(N('Daily Tracking'!K230)&gt;=Settings!$B$15,1,0))</f>
        <v/>
      </c>
      <c r="H230" s="231" t="str">
        <f ca="1">IF(B230="","",AVERAGE(B230:G230))</f>
        <v/>
      </c>
      <c r="I230" s="136" t="str">
        <f ca="1">IF(B230="","",IF(B230=1,N(I229)+1,0))</f>
        <v/>
      </c>
      <c r="J230" s="232"/>
      <c r="K230" s="232"/>
      <c r="L230" s="232"/>
      <c r="M230" s="232"/>
    </row>
    <row r="231" spans="1:13" ht="18" customHeight="1" x14ac:dyDescent="0.3">
      <c r="A231" s="132">
        <f>'Daily Tracking'!A231</f>
        <v>46503</v>
      </c>
      <c r="B231" s="230" t="str">
        <f ca="1">IF(A231&gt;TODAY(),"",IF('Daily Tracking'!B231&lt;&gt;"",1,0))</f>
        <v/>
      </c>
      <c r="C231" s="230" t="str">
        <f ca="1">IF(A231&gt;TODAY(),"",IF('Daily Tracking'!E231&lt;&gt;"",1,0))</f>
        <v/>
      </c>
      <c r="D231" s="230" t="str">
        <f ca="1">IF(A231&gt;TODAY(),"",IF(N('Daily Tracking'!G231)&gt;=Settings!$B$13,1,0))</f>
        <v/>
      </c>
      <c r="E231" s="230" t="str">
        <f ca="1">IF(A231&gt;TODAY(),"",IF(N('Daily Tracking'!H231)&gt;=Settings!$B$14,1,0))</f>
        <v/>
      </c>
      <c r="F231" s="230" t="str">
        <f ca="1">IF(A231&gt;TODAY(),"",IF(OR(N('Daily Tracking'!I231)&gt;0,'Daily Tracking'!J231="Yes"),1,0))</f>
        <v/>
      </c>
      <c r="G231" s="230" t="str">
        <f ca="1">IF(A231&gt;TODAY(),"",IF(N('Daily Tracking'!K231)&gt;=Settings!$B$15,1,0))</f>
        <v/>
      </c>
      <c r="H231" s="231" t="str">
        <f ca="1">IF(B231="","",AVERAGE(B231:G231))</f>
        <v/>
      </c>
      <c r="I231" s="136" t="str">
        <f ca="1">IF(B231="","",IF(B231=1,N(I230)+1,0))</f>
        <v/>
      </c>
      <c r="J231" s="232"/>
      <c r="K231" s="232"/>
      <c r="L231" s="232"/>
      <c r="M231" s="232"/>
    </row>
    <row r="232" spans="1:13" ht="18" customHeight="1" x14ac:dyDescent="0.3">
      <c r="A232" s="132">
        <f>'Daily Tracking'!A232</f>
        <v>46504</v>
      </c>
      <c r="B232" s="230" t="str">
        <f ca="1">IF(A232&gt;TODAY(),"",IF('Daily Tracking'!B232&lt;&gt;"",1,0))</f>
        <v/>
      </c>
      <c r="C232" s="230" t="str">
        <f ca="1">IF(A232&gt;TODAY(),"",IF('Daily Tracking'!E232&lt;&gt;"",1,0))</f>
        <v/>
      </c>
      <c r="D232" s="230" t="str">
        <f ca="1">IF(A232&gt;TODAY(),"",IF(N('Daily Tracking'!G232)&gt;=Settings!$B$13,1,0))</f>
        <v/>
      </c>
      <c r="E232" s="230" t="str">
        <f ca="1">IF(A232&gt;TODAY(),"",IF(N('Daily Tracking'!H232)&gt;=Settings!$B$14,1,0))</f>
        <v/>
      </c>
      <c r="F232" s="230" t="str">
        <f ca="1">IF(A232&gt;TODAY(),"",IF(OR(N('Daily Tracking'!I232)&gt;0,'Daily Tracking'!J232="Yes"),1,0))</f>
        <v/>
      </c>
      <c r="G232" s="230" t="str">
        <f ca="1">IF(A232&gt;TODAY(),"",IF(N('Daily Tracking'!K232)&gt;=Settings!$B$15,1,0))</f>
        <v/>
      </c>
      <c r="H232" s="231" t="str">
        <f ca="1">IF(B232="","",AVERAGE(B232:G232))</f>
        <v/>
      </c>
      <c r="I232" s="136" t="str">
        <f ca="1">IF(B232="","",IF(B232=1,N(I231)+1,0))</f>
        <v/>
      </c>
      <c r="J232" s="232"/>
      <c r="K232" s="232"/>
      <c r="L232" s="232"/>
      <c r="M232" s="232"/>
    </row>
    <row r="233" spans="1:13" ht="18" customHeight="1" x14ac:dyDescent="0.3">
      <c r="A233" s="132">
        <f>'Daily Tracking'!A233</f>
        <v>46505</v>
      </c>
      <c r="B233" s="230" t="str">
        <f ca="1">IF(A233&gt;TODAY(),"",IF('Daily Tracking'!B233&lt;&gt;"",1,0))</f>
        <v/>
      </c>
      <c r="C233" s="230" t="str">
        <f ca="1">IF(A233&gt;TODAY(),"",IF('Daily Tracking'!E233&lt;&gt;"",1,0))</f>
        <v/>
      </c>
      <c r="D233" s="230" t="str">
        <f ca="1">IF(A233&gt;TODAY(),"",IF(N('Daily Tracking'!G233)&gt;=Settings!$B$13,1,0))</f>
        <v/>
      </c>
      <c r="E233" s="230" t="str">
        <f ca="1">IF(A233&gt;TODAY(),"",IF(N('Daily Tracking'!H233)&gt;=Settings!$B$14,1,0))</f>
        <v/>
      </c>
      <c r="F233" s="230" t="str">
        <f ca="1">IF(A233&gt;TODAY(),"",IF(OR(N('Daily Tracking'!I233)&gt;0,'Daily Tracking'!J233="Yes"),1,0))</f>
        <v/>
      </c>
      <c r="G233" s="230" t="str">
        <f ca="1">IF(A233&gt;TODAY(),"",IF(N('Daily Tracking'!K233)&gt;=Settings!$B$15,1,0))</f>
        <v/>
      </c>
      <c r="H233" s="231" t="str">
        <f ca="1">IF(B233="","",AVERAGE(B233:G233))</f>
        <v/>
      </c>
      <c r="I233" s="136" t="str">
        <f ca="1">IF(B233="","",IF(B233=1,N(I232)+1,0))</f>
        <v/>
      </c>
      <c r="J233" s="232"/>
      <c r="K233" s="232"/>
      <c r="L233" s="232"/>
      <c r="M233" s="232"/>
    </row>
    <row r="234" spans="1:13" ht="18" customHeight="1" x14ac:dyDescent="0.3">
      <c r="A234" s="132">
        <f>'Daily Tracking'!A234</f>
        <v>46506</v>
      </c>
      <c r="B234" s="230" t="str">
        <f ca="1">IF(A234&gt;TODAY(),"",IF('Daily Tracking'!B234&lt;&gt;"",1,0))</f>
        <v/>
      </c>
      <c r="C234" s="230" t="str">
        <f ca="1">IF(A234&gt;TODAY(),"",IF('Daily Tracking'!E234&lt;&gt;"",1,0))</f>
        <v/>
      </c>
      <c r="D234" s="230" t="str">
        <f ca="1">IF(A234&gt;TODAY(),"",IF(N('Daily Tracking'!G234)&gt;=Settings!$B$13,1,0))</f>
        <v/>
      </c>
      <c r="E234" s="230" t="str">
        <f ca="1">IF(A234&gt;TODAY(),"",IF(N('Daily Tracking'!H234)&gt;=Settings!$B$14,1,0))</f>
        <v/>
      </c>
      <c r="F234" s="230" t="str">
        <f ca="1">IF(A234&gt;TODAY(),"",IF(OR(N('Daily Tracking'!I234)&gt;0,'Daily Tracking'!J234="Yes"),1,0))</f>
        <v/>
      </c>
      <c r="G234" s="230" t="str">
        <f ca="1">IF(A234&gt;TODAY(),"",IF(N('Daily Tracking'!K234)&gt;=Settings!$B$15,1,0))</f>
        <v/>
      </c>
      <c r="H234" s="231" t="str">
        <f ca="1">IF(B234="","",AVERAGE(B234:G234))</f>
        <v/>
      </c>
      <c r="I234" s="136" t="str">
        <f ca="1">IF(B234="","",IF(B234=1,N(I233)+1,0))</f>
        <v/>
      </c>
      <c r="J234" s="232"/>
      <c r="K234" s="232"/>
      <c r="L234" s="232"/>
      <c r="M234" s="232"/>
    </row>
    <row r="235" spans="1:13" ht="18" customHeight="1" x14ac:dyDescent="0.3">
      <c r="A235" s="132">
        <f>'Daily Tracking'!A235</f>
        <v>46507</v>
      </c>
      <c r="B235" s="230" t="str">
        <f ca="1">IF(A235&gt;TODAY(),"",IF('Daily Tracking'!B235&lt;&gt;"",1,0))</f>
        <v/>
      </c>
      <c r="C235" s="230" t="str">
        <f ca="1">IF(A235&gt;TODAY(),"",IF('Daily Tracking'!E235&lt;&gt;"",1,0))</f>
        <v/>
      </c>
      <c r="D235" s="230" t="str">
        <f ca="1">IF(A235&gt;TODAY(),"",IF(N('Daily Tracking'!G235)&gt;=Settings!$B$13,1,0))</f>
        <v/>
      </c>
      <c r="E235" s="230" t="str">
        <f ca="1">IF(A235&gt;TODAY(),"",IF(N('Daily Tracking'!H235)&gt;=Settings!$B$14,1,0))</f>
        <v/>
      </c>
      <c r="F235" s="230" t="str">
        <f ca="1">IF(A235&gt;TODAY(),"",IF(OR(N('Daily Tracking'!I235)&gt;0,'Daily Tracking'!J235="Yes"),1,0))</f>
        <v/>
      </c>
      <c r="G235" s="230" t="str">
        <f ca="1">IF(A235&gt;TODAY(),"",IF(N('Daily Tracking'!K235)&gt;=Settings!$B$15,1,0))</f>
        <v/>
      </c>
      <c r="H235" s="231" t="str">
        <f ca="1">IF(B235="","",AVERAGE(B235:G235))</f>
        <v/>
      </c>
      <c r="I235" s="136" t="str">
        <f ca="1">IF(B235="","",IF(B235=1,N(I234)+1,0))</f>
        <v/>
      </c>
      <c r="J235" s="232"/>
      <c r="K235" s="232"/>
      <c r="L235" s="232"/>
      <c r="M235" s="232"/>
    </row>
    <row r="236" spans="1:13" ht="18" customHeight="1" x14ac:dyDescent="0.3">
      <c r="A236" s="132">
        <f>'Daily Tracking'!A236</f>
        <v>46508</v>
      </c>
      <c r="B236" s="230" t="str">
        <f ca="1">IF(A236&gt;TODAY(),"",IF('Daily Tracking'!B236&lt;&gt;"",1,0))</f>
        <v/>
      </c>
      <c r="C236" s="230" t="str">
        <f ca="1">IF(A236&gt;TODAY(),"",IF('Daily Tracking'!E236&lt;&gt;"",1,0))</f>
        <v/>
      </c>
      <c r="D236" s="230" t="str">
        <f ca="1">IF(A236&gt;TODAY(),"",IF(N('Daily Tracking'!G236)&gt;=Settings!$B$13,1,0))</f>
        <v/>
      </c>
      <c r="E236" s="230" t="str">
        <f ca="1">IF(A236&gt;TODAY(),"",IF(N('Daily Tracking'!H236)&gt;=Settings!$B$14,1,0))</f>
        <v/>
      </c>
      <c r="F236" s="230" t="str">
        <f ca="1">IF(A236&gt;TODAY(),"",IF(OR(N('Daily Tracking'!I236)&gt;0,'Daily Tracking'!J236="Yes"),1,0))</f>
        <v/>
      </c>
      <c r="G236" s="230" t="str">
        <f ca="1">IF(A236&gt;TODAY(),"",IF(N('Daily Tracking'!K236)&gt;=Settings!$B$15,1,0))</f>
        <v/>
      </c>
      <c r="H236" s="231" t="str">
        <f ca="1">IF(B236="","",AVERAGE(B236:G236))</f>
        <v/>
      </c>
      <c r="I236" s="136" t="str">
        <f ca="1">IF(B236="","",IF(B236=1,N(I235)+1,0))</f>
        <v/>
      </c>
      <c r="J236" s="232"/>
      <c r="K236" s="232"/>
      <c r="L236" s="232"/>
      <c r="M236" s="232"/>
    </row>
    <row r="237" spans="1:13" ht="18" customHeight="1" x14ac:dyDescent="0.3">
      <c r="A237" s="132">
        <f>'Daily Tracking'!A237</f>
        <v>46509</v>
      </c>
      <c r="B237" s="230" t="str">
        <f ca="1">IF(A237&gt;TODAY(),"",IF('Daily Tracking'!B237&lt;&gt;"",1,0))</f>
        <v/>
      </c>
      <c r="C237" s="230" t="str">
        <f ca="1">IF(A237&gt;TODAY(),"",IF('Daily Tracking'!E237&lt;&gt;"",1,0))</f>
        <v/>
      </c>
      <c r="D237" s="230" t="str">
        <f ca="1">IF(A237&gt;TODAY(),"",IF(N('Daily Tracking'!G237)&gt;=Settings!$B$13,1,0))</f>
        <v/>
      </c>
      <c r="E237" s="230" t="str">
        <f ca="1">IF(A237&gt;TODAY(),"",IF(N('Daily Tracking'!H237)&gt;=Settings!$B$14,1,0))</f>
        <v/>
      </c>
      <c r="F237" s="230" t="str">
        <f ca="1">IF(A237&gt;TODAY(),"",IF(OR(N('Daily Tracking'!I237)&gt;0,'Daily Tracking'!J237="Yes"),1,0))</f>
        <v/>
      </c>
      <c r="G237" s="230" t="str">
        <f ca="1">IF(A237&gt;TODAY(),"",IF(N('Daily Tracking'!K237)&gt;=Settings!$B$15,1,0))</f>
        <v/>
      </c>
      <c r="H237" s="231" t="str">
        <f ca="1">IF(B237="","",AVERAGE(B237:G237))</f>
        <v/>
      </c>
      <c r="I237" s="136" t="str">
        <f ca="1">IF(B237="","",IF(B237=1,N(I236)+1,0))</f>
        <v/>
      </c>
      <c r="J237" s="232"/>
      <c r="K237" s="232"/>
      <c r="L237" s="232"/>
      <c r="M237" s="232"/>
    </row>
    <row r="238" spans="1:13" ht="18" customHeight="1" x14ac:dyDescent="0.3">
      <c r="A238" s="132">
        <f>'Daily Tracking'!A238</f>
        <v>46510</v>
      </c>
      <c r="B238" s="230" t="str">
        <f ca="1">IF(A238&gt;TODAY(),"",IF('Daily Tracking'!B238&lt;&gt;"",1,0))</f>
        <v/>
      </c>
      <c r="C238" s="230" t="str">
        <f ca="1">IF(A238&gt;TODAY(),"",IF('Daily Tracking'!E238&lt;&gt;"",1,0))</f>
        <v/>
      </c>
      <c r="D238" s="230" t="str">
        <f ca="1">IF(A238&gt;TODAY(),"",IF(N('Daily Tracking'!G238)&gt;=Settings!$B$13,1,0))</f>
        <v/>
      </c>
      <c r="E238" s="230" t="str">
        <f ca="1">IF(A238&gt;TODAY(),"",IF(N('Daily Tracking'!H238)&gt;=Settings!$B$14,1,0))</f>
        <v/>
      </c>
      <c r="F238" s="230" t="str">
        <f ca="1">IF(A238&gt;TODAY(),"",IF(OR(N('Daily Tracking'!I238)&gt;0,'Daily Tracking'!J238="Yes"),1,0))</f>
        <v/>
      </c>
      <c r="G238" s="230" t="str">
        <f ca="1">IF(A238&gt;TODAY(),"",IF(N('Daily Tracking'!K238)&gt;=Settings!$B$15,1,0))</f>
        <v/>
      </c>
      <c r="H238" s="231" t="str">
        <f ca="1">IF(B238="","",AVERAGE(B238:G238))</f>
        <v/>
      </c>
      <c r="I238" s="136" t="str">
        <f ca="1">IF(B238="","",IF(B238=1,N(I237)+1,0))</f>
        <v/>
      </c>
      <c r="J238" s="232"/>
      <c r="K238" s="232"/>
      <c r="L238" s="232"/>
      <c r="M238" s="232"/>
    </row>
    <row r="239" spans="1:13" ht="18" customHeight="1" x14ac:dyDescent="0.3">
      <c r="A239" s="132">
        <f>'Daily Tracking'!A239</f>
        <v>46511</v>
      </c>
      <c r="B239" s="230" t="str">
        <f ca="1">IF(A239&gt;TODAY(),"",IF('Daily Tracking'!B239&lt;&gt;"",1,0))</f>
        <v/>
      </c>
      <c r="C239" s="230" t="str">
        <f ca="1">IF(A239&gt;TODAY(),"",IF('Daily Tracking'!E239&lt;&gt;"",1,0))</f>
        <v/>
      </c>
      <c r="D239" s="230" t="str">
        <f ca="1">IF(A239&gt;TODAY(),"",IF(N('Daily Tracking'!G239)&gt;=Settings!$B$13,1,0))</f>
        <v/>
      </c>
      <c r="E239" s="230" t="str">
        <f ca="1">IF(A239&gt;TODAY(),"",IF(N('Daily Tracking'!H239)&gt;=Settings!$B$14,1,0))</f>
        <v/>
      </c>
      <c r="F239" s="230" t="str">
        <f ca="1">IF(A239&gt;TODAY(),"",IF(OR(N('Daily Tracking'!I239)&gt;0,'Daily Tracking'!J239="Yes"),1,0))</f>
        <v/>
      </c>
      <c r="G239" s="230" t="str">
        <f ca="1">IF(A239&gt;TODAY(),"",IF(N('Daily Tracking'!K239)&gt;=Settings!$B$15,1,0))</f>
        <v/>
      </c>
      <c r="H239" s="231" t="str">
        <f ca="1">IF(B239="","",AVERAGE(B239:G239))</f>
        <v/>
      </c>
      <c r="I239" s="136" t="str">
        <f ca="1">IF(B239="","",IF(B239=1,N(I238)+1,0))</f>
        <v/>
      </c>
      <c r="J239" s="232"/>
      <c r="K239" s="232"/>
      <c r="L239" s="232"/>
      <c r="M239" s="232"/>
    </row>
    <row r="240" spans="1:13" ht="18" customHeight="1" x14ac:dyDescent="0.3">
      <c r="A240" s="132">
        <f>'Daily Tracking'!A240</f>
        <v>46512</v>
      </c>
      <c r="B240" s="230" t="str">
        <f ca="1">IF(A240&gt;TODAY(),"",IF('Daily Tracking'!B240&lt;&gt;"",1,0))</f>
        <v/>
      </c>
      <c r="C240" s="230" t="str">
        <f ca="1">IF(A240&gt;TODAY(),"",IF('Daily Tracking'!E240&lt;&gt;"",1,0))</f>
        <v/>
      </c>
      <c r="D240" s="230" t="str">
        <f ca="1">IF(A240&gt;TODAY(),"",IF(N('Daily Tracking'!G240)&gt;=Settings!$B$13,1,0))</f>
        <v/>
      </c>
      <c r="E240" s="230" t="str">
        <f ca="1">IF(A240&gt;TODAY(),"",IF(N('Daily Tracking'!H240)&gt;=Settings!$B$14,1,0))</f>
        <v/>
      </c>
      <c r="F240" s="230" t="str">
        <f ca="1">IF(A240&gt;TODAY(),"",IF(OR(N('Daily Tracking'!I240)&gt;0,'Daily Tracking'!J240="Yes"),1,0))</f>
        <v/>
      </c>
      <c r="G240" s="230" t="str">
        <f ca="1">IF(A240&gt;TODAY(),"",IF(N('Daily Tracking'!K240)&gt;=Settings!$B$15,1,0))</f>
        <v/>
      </c>
      <c r="H240" s="231" t="str">
        <f ca="1">IF(B240="","",AVERAGE(B240:G240))</f>
        <v/>
      </c>
      <c r="I240" s="136" t="str">
        <f ca="1">IF(B240="","",IF(B240=1,N(I239)+1,0))</f>
        <v/>
      </c>
      <c r="J240" s="232"/>
      <c r="K240" s="232"/>
      <c r="L240" s="232"/>
      <c r="M240" s="232"/>
    </row>
    <row r="241" spans="1:13" ht="18" customHeight="1" x14ac:dyDescent="0.3">
      <c r="A241" s="132">
        <f>'Daily Tracking'!A241</f>
        <v>46513</v>
      </c>
      <c r="B241" s="230" t="str">
        <f ca="1">IF(A241&gt;TODAY(),"",IF('Daily Tracking'!B241&lt;&gt;"",1,0))</f>
        <v/>
      </c>
      <c r="C241" s="230" t="str">
        <f ca="1">IF(A241&gt;TODAY(),"",IF('Daily Tracking'!E241&lt;&gt;"",1,0))</f>
        <v/>
      </c>
      <c r="D241" s="230" t="str">
        <f ca="1">IF(A241&gt;TODAY(),"",IF(N('Daily Tracking'!G241)&gt;=Settings!$B$13,1,0))</f>
        <v/>
      </c>
      <c r="E241" s="230" t="str">
        <f ca="1">IF(A241&gt;TODAY(),"",IF(N('Daily Tracking'!H241)&gt;=Settings!$B$14,1,0))</f>
        <v/>
      </c>
      <c r="F241" s="230" t="str">
        <f ca="1">IF(A241&gt;TODAY(),"",IF(OR(N('Daily Tracking'!I241)&gt;0,'Daily Tracking'!J241="Yes"),1,0))</f>
        <v/>
      </c>
      <c r="G241" s="230" t="str">
        <f ca="1">IF(A241&gt;TODAY(),"",IF(N('Daily Tracking'!K241)&gt;=Settings!$B$15,1,0))</f>
        <v/>
      </c>
      <c r="H241" s="231" t="str">
        <f ca="1">IF(B241="","",AVERAGE(B241:G241))</f>
        <v/>
      </c>
      <c r="I241" s="136" t="str">
        <f ca="1">IF(B241="","",IF(B241=1,N(I240)+1,0))</f>
        <v/>
      </c>
      <c r="J241" s="232"/>
      <c r="K241" s="232"/>
      <c r="L241" s="232"/>
      <c r="M241" s="232"/>
    </row>
    <row r="242" spans="1:13" ht="18" customHeight="1" x14ac:dyDescent="0.3">
      <c r="A242" s="132">
        <f>'Daily Tracking'!A242</f>
        <v>46514</v>
      </c>
      <c r="B242" s="230" t="str">
        <f ca="1">IF(A242&gt;TODAY(),"",IF('Daily Tracking'!B242&lt;&gt;"",1,0))</f>
        <v/>
      </c>
      <c r="C242" s="230" t="str">
        <f ca="1">IF(A242&gt;TODAY(),"",IF('Daily Tracking'!E242&lt;&gt;"",1,0))</f>
        <v/>
      </c>
      <c r="D242" s="230" t="str">
        <f ca="1">IF(A242&gt;TODAY(),"",IF(N('Daily Tracking'!G242)&gt;=Settings!$B$13,1,0))</f>
        <v/>
      </c>
      <c r="E242" s="230" t="str">
        <f ca="1">IF(A242&gt;TODAY(),"",IF(N('Daily Tracking'!H242)&gt;=Settings!$B$14,1,0))</f>
        <v/>
      </c>
      <c r="F242" s="230" t="str">
        <f ca="1">IF(A242&gt;TODAY(),"",IF(OR(N('Daily Tracking'!I242)&gt;0,'Daily Tracking'!J242="Yes"),1,0))</f>
        <v/>
      </c>
      <c r="G242" s="230" t="str">
        <f ca="1">IF(A242&gt;TODAY(),"",IF(N('Daily Tracking'!K242)&gt;=Settings!$B$15,1,0))</f>
        <v/>
      </c>
      <c r="H242" s="231" t="str">
        <f ca="1">IF(B242="","",AVERAGE(B242:G242))</f>
        <v/>
      </c>
      <c r="I242" s="136" t="str">
        <f ca="1">IF(B242="","",IF(B242=1,N(I241)+1,0))</f>
        <v/>
      </c>
      <c r="J242" s="232"/>
      <c r="K242" s="232"/>
      <c r="L242" s="232"/>
      <c r="M242" s="232"/>
    </row>
    <row r="243" spans="1:13" ht="18" customHeight="1" x14ac:dyDescent="0.3">
      <c r="A243" s="132">
        <f>'Daily Tracking'!A243</f>
        <v>46515</v>
      </c>
      <c r="B243" s="230" t="str">
        <f ca="1">IF(A243&gt;TODAY(),"",IF('Daily Tracking'!B243&lt;&gt;"",1,0))</f>
        <v/>
      </c>
      <c r="C243" s="230" t="str">
        <f ca="1">IF(A243&gt;TODAY(),"",IF('Daily Tracking'!E243&lt;&gt;"",1,0))</f>
        <v/>
      </c>
      <c r="D243" s="230" t="str">
        <f ca="1">IF(A243&gt;TODAY(),"",IF(N('Daily Tracking'!G243)&gt;=Settings!$B$13,1,0))</f>
        <v/>
      </c>
      <c r="E243" s="230" t="str">
        <f ca="1">IF(A243&gt;TODAY(),"",IF(N('Daily Tracking'!H243)&gt;=Settings!$B$14,1,0))</f>
        <v/>
      </c>
      <c r="F243" s="230" t="str">
        <f ca="1">IF(A243&gt;TODAY(),"",IF(OR(N('Daily Tracking'!I243)&gt;0,'Daily Tracking'!J243="Yes"),1,0))</f>
        <v/>
      </c>
      <c r="G243" s="230" t="str">
        <f ca="1">IF(A243&gt;TODAY(),"",IF(N('Daily Tracking'!K243)&gt;=Settings!$B$15,1,0))</f>
        <v/>
      </c>
      <c r="H243" s="231" t="str">
        <f ca="1">IF(B243="","",AVERAGE(B243:G243))</f>
        <v/>
      </c>
      <c r="I243" s="136" t="str">
        <f ca="1">IF(B243="","",IF(B243=1,N(I242)+1,0))</f>
        <v/>
      </c>
      <c r="J243" s="232"/>
      <c r="K243" s="232"/>
      <c r="L243" s="232"/>
      <c r="M243" s="232"/>
    </row>
    <row r="244" spans="1:13" ht="18" customHeight="1" x14ac:dyDescent="0.3">
      <c r="A244" s="132">
        <f>'Daily Tracking'!A244</f>
        <v>46516</v>
      </c>
      <c r="B244" s="230" t="str">
        <f ca="1">IF(A244&gt;TODAY(),"",IF('Daily Tracking'!B244&lt;&gt;"",1,0))</f>
        <v/>
      </c>
      <c r="C244" s="230" t="str">
        <f ca="1">IF(A244&gt;TODAY(),"",IF('Daily Tracking'!E244&lt;&gt;"",1,0))</f>
        <v/>
      </c>
      <c r="D244" s="230" t="str">
        <f ca="1">IF(A244&gt;TODAY(),"",IF(N('Daily Tracking'!G244)&gt;=Settings!$B$13,1,0))</f>
        <v/>
      </c>
      <c r="E244" s="230" t="str">
        <f ca="1">IF(A244&gt;TODAY(),"",IF(N('Daily Tracking'!H244)&gt;=Settings!$B$14,1,0))</f>
        <v/>
      </c>
      <c r="F244" s="230" t="str">
        <f ca="1">IF(A244&gt;TODAY(),"",IF(OR(N('Daily Tracking'!I244)&gt;0,'Daily Tracking'!J244="Yes"),1,0))</f>
        <v/>
      </c>
      <c r="G244" s="230" t="str">
        <f ca="1">IF(A244&gt;TODAY(),"",IF(N('Daily Tracking'!K244)&gt;=Settings!$B$15,1,0))</f>
        <v/>
      </c>
      <c r="H244" s="231" t="str">
        <f ca="1">IF(B244="","",AVERAGE(B244:G244))</f>
        <v/>
      </c>
      <c r="I244" s="136" t="str">
        <f ca="1">IF(B244="","",IF(B244=1,N(I243)+1,0))</f>
        <v/>
      </c>
      <c r="J244" s="232"/>
      <c r="K244" s="232"/>
      <c r="L244" s="232"/>
      <c r="M244" s="232"/>
    </row>
    <row r="245" spans="1:13" ht="18" customHeight="1" x14ac:dyDescent="0.3">
      <c r="A245" s="132">
        <f>'Daily Tracking'!A245</f>
        <v>46517</v>
      </c>
      <c r="B245" s="230" t="str">
        <f ca="1">IF(A245&gt;TODAY(),"",IF('Daily Tracking'!B245&lt;&gt;"",1,0))</f>
        <v/>
      </c>
      <c r="C245" s="230" t="str">
        <f ca="1">IF(A245&gt;TODAY(),"",IF('Daily Tracking'!E245&lt;&gt;"",1,0))</f>
        <v/>
      </c>
      <c r="D245" s="230" t="str">
        <f ca="1">IF(A245&gt;TODAY(),"",IF(N('Daily Tracking'!G245)&gt;=Settings!$B$13,1,0))</f>
        <v/>
      </c>
      <c r="E245" s="230" t="str">
        <f ca="1">IF(A245&gt;TODAY(),"",IF(N('Daily Tracking'!H245)&gt;=Settings!$B$14,1,0))</f>
        <v/>
      </c>
      <c r="F245" s="230" t="str">
        <f ca="1">IF(A245&gt;TODAY(),"",IF(OR(N('Daily Tracking'!I245)&gt;0,'Daily Tracking'!J245="Yes"),1,0))</f>
        <v/>
      </c>
      <c r="G245" s="230" t="str">
        <f ca="1">IF(A245&gt;TODAY(),"",IF(N('Daily Tracking'!K245)&gt;=Settings!$B$15,1,0))</f>
        <v/>
      </c>
      <c r="H245" s="231" t="str">
        <f ca="1">IF(B245="","",AVERAGE(B245:G245))</f>
        <v/>
      </c>
      <c r="I245" s="136" t="str">
        <f ca="1">IF(B245="","",IF(B245=1,N(I244)+1,0))</f>
        <v/>
      </c>
      <c r="J245" s="232"/>
      <c r="K245" s="232"/>
      <c r="L245" s="232"/>
      <c r="M245" s="232"/>
    </row>
    <row r="246" spans="1:13" ht="18" customHeight="1" x14ac:dyDescent="0.3">
      <c r="A246" s="132">
        <f>'Daily Tracking'!A246</f>
        <v>46518</v>
      </c>
      <c r="B246" s="230" t="str">
        <f ca="1">IF(A246&gt;TODAY(),"",IF('Daily Tracking'!B246&lt;&gt;"",1,0))</f>
        <v/>
      </c>
      <c r="C246" s="230" t="str">
        <f ca="1">IF(A246&gt;TODAY(),"",IF('Daily Tracking'!E246&lt;&gt;"",1,0))</f>
        <v/>
      </c>
      <c r="D246" s="230" t="str">
        <f ca="1">IF(A246&gt;TODAY(),"",IF(N('Daily Tracking'!G246)&gt;=Settings!$B$13,1,0))</f>
        <v/>
      </c>
      <c r="E246" s="230" t="str">
        <f ca="1">IF(A246&gt;TODAY(),"",IF(N('Daily Tracking'!H246)&gt;=Settings!$B$14,1,0))</f>
        <v/>
      </c>
      <c r="F246" s="230" t="str">
        <f ca="1">IF(A246&gt;TODAY(),"",IF(OR(N('Daily Tracking'!I246)&gt;0,'Daily Tracking'!J246="Yes"),1,0))</f>
        <v/>
      </c>
      <c r="G246" s="230" t="str">
        <f ca="1">IF(A246&gt;TODAY(),"",IF(N('Daily Tracking'!K246)&gt;=Settings!$B$15,1,0))</f>
        <v/>
      </c>
      <c r="H246" s="231" t="str">
        <f ca="1">IF(B246="","",AVERAGE(B246:G246))</f>
        <v/>
      </c>
      <c r="I246" s="136" t="str">
        <f ca="1">IF(B246="","",IF(B246=1,N(I245)+1,0))</f>
        <v/>
      </c>
      <c r="J246" s="232"/>
      <c r="K246" s="232"/>
      <c r="L246" s="232"/>
      <c r="M246" s="232"/>
    </row>
    <row r="247" spans="1:13" ht="18" customHeight="1" x14ac:dyDescent="0.3">
      <c r="A247" s="132">
        <f>'Daily Tracking'!A247</f>
        <v>46519</v>
      </c>
      <c r="B247" s="230" t="str">
        <f ca="1">IF(A247&gt;TODAY(),"",IF('Daily Tracking'!B247&lt;&gt;"",1,0))</f>
        <v/>
      </c>
      <c r="C247" s="230" t="str">
        <f ca="1">IF(A247&gt;TODAY(),"",IF('Daily Tracking'!E247&lt;&gt;"",1,0))</f>
        <v/>
      </c>
      <c r="D247" s="230" t="str">
        <f ca="1">IF(A247&gt;TODAY(),"",IF(N('Daily Tracking'!G247)&gt;=Settings!$B$13,1,0))</f>
        <v/>
      </c>
      <c r="E247" s="230" t="str">
        <f ca="1">IF(A247&gt;TODAY(),"",IF(N('Daily Tracking'!H247)&gt;=Settings!$B$14,1,0))</f>
        <v/>
      </c>
      <c r="F247" s="230" t="str">
        <f ca="1">IF(A247&gt;TODAY(),"",IF(OR(N('Daily Tracking'!I247)&gt;0,'Daily Tracking'!J247="Yes"),1,0))</f>
        <v/>
      </c>
      <c r="G247" s="230" t="str">
        <f ca="1">IF(A247&gt;TODAY(),"",IF(N('Daily Tracking'!K247)&gt;=Settings!$B$15,1,0))</f>
        <v/>
      </c>
      <c r="H247" s="231" t="str">
        <f ca="1">IF(B247="","",AVERAGE(B247:G247))</f>
        <v/>
      </c>
      <c r="I247" s="136" t="str">
        <f ca="1">IF(B247="","",IF(B247=1,N(I246)+1,0))</f>
        <v/>
      </c>
      <c r="J247" s="232"/>
      <c r="K247" s="232"/>
      <c r="L247" s="232"/>
      <c r="M247" s="232"/>
    </row>
    <row r="248" spans="1:13" ht="18" customHeight="1" x14ac:dyDescent="0.3">
      <c r="A248" s="132">
        <f>'Daily Tracking'!A248</f>
        <v>46520</v>
      </c>
      <c r="B248" s="230" t="str">
        <f ca="1">IF(A248&gt;TODAY(),"",IF('Daily Tracking'!B248&lt;&gt;"",1,0))</f>
        <v/>
      </c>
      <c r="C248" s="230" t="str">
        <f ca="1">IF(A248&gt;TODAY(),"",IF('Daily Tracking'!E248&lt;&gt;"",1,0))</f>
        <v/>
      </c>
      <c r="D248" s="230" t="str">
        <f ca="1">IF(A248&gt;TODAY(),"",IF(N('Daily Tracking'!G248)&gt;=Settings!$B$13,1,0))</f>
        <v/>
      </c>
      <c r="E248" s="230" t="str">
        <f ca="1">IF(A248&gt;TODAY(),"",IF(N('Daily Tracking'!H248)&gt;=Settings!$B$14,1,0))</f>
        <v/>
      </c>
      <c r="F248" s="230" t="str">
        <f ca="1">IF(A248&gt;TODAY(),"",IF(OR(N('Daily Tracking'!I248)&gt;0,'Daily Tracking'!J248="Yes"),1,0))</f>
        <v/>
      </c>
      <c r="G248" s="230" t="str">
        <f ca="1">IF(A248&gt;TODAY(),"",IF(N('Daily Tracking'!K248)&gt;=Settings!$B$15,1,0))</f>
        <v/>
      </c>
      <c r="H248" s="231" t="str">
        <f ca="1">IF(B248="","",AVERAGE(B248:G248))</f>
        <v/>
      </c>
      <c r="I248" s="136" t="str">
        <f ca="1">IF(B248="","",IF(B248=1,N(I247)+1,0))</f>
        <v/>
      </c>
      <c r="J248" s="232"/>
      <c r="K248" s="232"/>
      <c r="L248" s="232"/>
      <c r="M248" s="232"/>
    </row>
    <row r="249" spans="1:13" ht="18" customHeight="1" x14ac:dyDescent="0.3">
      <c r="A249" s="132">
        <f>'Daily Tracking'!A249</f>
        <v>46521</v>
      </c>
      <c r="B249" s="230" t="str">
        <f ca="1">IF(A249&gt;TODAY(),"",IF('Daily Tracking'!B249&lt;&gt;"",1,0))</f>
        <v/>
      </c>
      <c r="C249" s="230" t="str">
        <f ca="1">IF(A249&gt;TODAY(),"",IF('Daily Tracking'!E249&lt;&gt;"",1,0))</f>
        <v/>
      </c>
      <c r="D249" s="230" t="str">
        <f ca="1">IF(A249&gt;TODAY(),"",IF(N('Daily Tracking'!G249)&gt;=Settings!$B$13,1,0))</f>
        <v/>
      </c>
      <c r="E249" s="230" t="str">
        <f ca="1">IF(A249&gt;TODAY(),"",IF(N('Daily Tracking'!H249)&gt;=Settings!$B$14,1,0))</f>
        <v/>
      </c>
      <c r="F249" s="230" t="str">
        <f ca="1">IF(A249&gt;TODAY(),"",IF(OR(N('Daily Tracking'!I249)&gt;0,'Daily Tracking'!J249="Yes"),1,0))</f>
        <v/>
      </c>
      <c r="G249" s="230" t="str">
        <f ca="1">IF(A249&gt;TODAY(),"",IF(N('Daily Tracking'!K249)&gt;=Settings!$B$15,1,0))</f>
        <v/>
      </c>
      <c r="H249" s="231" t="str">
        <f ca="1">IF(B249="","",AVERAGE(B249:G249))</f>
        <v/>
      </c>
      <c r="I249" s="136" t="str">
        <f ca="1">IF(B249="","",IF(B249=1,N(I248)+1,0))</f>
        <v/>
      </c>
      <c r="J249" s="232"/>
      <c r="K249" s="232"/>
      <c r="L249" s="232"/>
      <c r="M249" s="232"/>
    </row>
    <row r="250" spans="1:13" ht="18" customHeight="1" x14ac:dyDescent="0.3">
      <c r="A250" s="132">
        <f>'Daily Tracking'!A250</f>
        <v>46522</v>
      </c>
      <c r="B250" s="230" t="str">
        <f ca="1">IF(A250&gt;TODAY(),"",IF('Daily Tracking'!B250&lt;&gt;"",1,0))</f>
        <v/>
      </c>
      <c r="C250" s="230" t="str">
        <f ca="1">IF(A250&gt;TODAY(),"",IF('Daily Tracking'!E250&lt;&gt;"",1,0))</f>
        <v/>
      </c>
      <c r="D250" s="230" t="str">
        <f ca="1">IF(A250&gt;TODAY(),"",IF(N('Daily Tracking'!G250)&gt;=Settings!$B$13,1,0))</f>
        <v/>
      </c>
      <c r="E250" s="230" t="str">
        <f ca="1">IF(A250&gt;TODAY(),"",IF(N('Daily Tracking'!H250)&gt;=Settings!$B$14,1,0))</f>
        <v/>
      </c>
      <c r="F250" s="230" t="str">
        <f ca="1">IF(A250&gt;TODAY(),"",IF(OR(N('Daily Tracking'!I250)&gt;0,'Daily Tracking'!J250="Yes"),1,0))</f>
        <v/>
      </c>
      <c r="G250" s="230" t="str">
        <f ca="1">IF(A250&gt;TODAY(),"",IF(N('Daily Tracking'!K250)&gt;=Settings!$B$15,1,0))</f>
        <v/>
      </c>
      <c r="H250" s="231" t="str">
        <f ca="1">IF(B250="","",AVERAGE(B250:G250))</f>
        <v/>
      </c>
      <c r="I250" s="136" t="str">
        <f ca="1">IF(B250="","",IF(B250=1,N(I249)+1,0))</f>
        <v/>
      </c>
      <c r="J250" s="232"/>
      <c r="K250" s="232"/>
      <c r="L250" s="232"/>
      <c r="M250" s="232"/>
    </row>
    <row r="251" spans="1:13" ht="18" customHeight="1" x14ac:dyDescent="0.3">
      <c r="A251" s="132">
        <f>'Daily Tracking'!A251</f>
        <v>46523</v>
      </c>
      <c r="B251" s="230" t="str">
        <f ca="1">IF(A251&gt;TODAY(),"",IF('Daily Tracking'!B251&lt;&gt;"",1,0))</f>
        <v/>
      </c>
      <c r="C251" s="230" t="str">
        <f ca="1">IF(A251&gt;TODAY(),"",IF('Daily Tracking'!E251&lt;&gt;"",1,0))</f>
        <v/>
      </c>
      <c r="D251" s="230" t="str">
        <f ca="1">IF(A251&gt;TODAY(),"",IF(N('Daily Tracking'!G251)&gt;=Settings!$B$13,1,0))</f>
        <v/>
      </c>
      <c r="E251" s="230" t="str">
        <f ca="1">IF(A251&gt;TODAY(),"",IF(N('Daily Tracking'!H251)&gt;=Settings!$B$14,1,0))</f>
        <v/>
      </c>
      <c r="F251" s="230" t="str">
        <f ca="1">IF(A251&gt;TODAY(),"",IF(OR(N('Daily Tracking'!I251)&gt;0,'Daily Tracking'!J251="Yes"),1,0))</f>
        <v/>
      </c>
      <c r="G251" s="230" t="str">
        <f ca="1">IF(A251&gt;TODAY(),"",IF(N('Daily Tracking'!K251)&gt;=Settings!$B$15,1,0))</f>
        <v/>
      </c>
      <c r="H251" s="231" t="str">
        <f ca="1">IF(B251="","",AVERAGE(B251:G251))</f>
        <v/>
      </c>
      <c r="I251" s="136" t="str">
        <f ca="1">IF(B251="","",IF(B251=1,N(I250)+1,0))</f>
        <v/>
      </c>
      <c r="J251" s="232"/>
      <c r="K251" s="232"/>
      <c r="L251" s="232"/>
      <c r="M251" s="232"/>
    </row>
    <row r="252" spans="1:13" ht="18" customHeight="1" x14ac:dyDescent="0.3">
      <c r="A252" s="132">
        <f>'Daily Tracking'!A252</f>
        <v>46524</v>
      </c>
      <c r="B252" s="230" t="str">
        <f ca="1">IF(A252&gt;TODAY(),"",IF('Daily Tracking'!B252&lt;&gt;"",1,0))</f>
        <v/>
      </c>
      <c r="C252" s="230" t="str">
        <f ca="1">IF(A252&gt;TODAY(),"",IF('Daily Tracking'!E252&lt;&gt;"",1,0))</f>
        <v/>
      </c>
      <c r="D252" s="230" t="str">
        <f ca="1">IF(A252&gt;TODAY(),"",IF(N('Daily Tracking'!G252)&gt;=Settings!$B$13,1,0))</f>
        <v/>
      </c>
      <c r="E252" s="230" t="str">
        <f ca="1">IF(A252&gt;TODAY(),"",IF(N('Daily Tracking'!H252)&gt;=Settings!$B$14,1,0))</f>
        <v/>
      </c>
      <c r="F252" s="230" t="str">
        <f ca="1">IF(A252&gt;TODAY(),"",IF(OR(N('Daily Tracking'!I252)&gt;0,'Daily Tracking'!J252="Yes"),1,0))</f>
        <v/>
      </c>
      <c r="G252" s="230" t="str">
        <f ca="1">IF(A252&gt;TODAY(),"",IF(N('Daily Tracking'!K252)&gt;=Settings!$B$15,1,0))</f>
        <v/>
      </c>
      <c r="H252" s="231" t="str">
        <f ca="1">IF(B252="","",AVERAGE(B252:G252))</f>
        <v/>
      </c>
      <c r="I252" s="136" t="str">
        <f ca="1">IF(B252="","",IF(B252=1,N(I251)+1,0))</f>
        <v/>
      </c>
      <c r="J252" s="232"/>
      <c r="K252" s="232"/>
      <c r="L252" s="232"/>
      <c r="M252" s="232"/>
    </row>
    <row r="253" spans="1:13" ht="18" customHeight="1" x14ac:dyDescent="0.3">
      <c r="A253" s="132">
        <f>'Daily Tracking'!A253</f>
        <v>46525</v>
      </c>
      <c r="B253" s="230" t="str">
        <f ca="1">IF(A253&gt;TODAY(),"",IF('Daily Tracking'!B253&lt;&gt;"",1,0))</f>
        <v/>
      </c>
      <c r="C253" s="230" t="str">
        <f ca="1">IF(A253&gt;TODAY(),"",IF('Daily Tracking'!E253&lt;&gt;"",1,0))</f>
        <v/>
      </c>
      <c r="D253" s="230" t="str">
        <f ca="1">IF(A253&gt;TODAY(),"",IF(N('Daily Tracking'!G253)&gt;=Settings!$B$13,1,0))</f>
        <v/>
      </c>
      <c r="E253" s="230" t="str">
        <f ca="1">IF(A253&gt;TODAY(),"",IF(N('Daily Tracking'!H253)&gt;=Settings!$B$14,1,0))</f>
        <v/>
      </c>
      <c r="F253" s="230" t="str">
        <f ca="1">IF(A253&gt;TODAY(),"",IF(OR(N('Daily Tracking'!I253)&gt;0,'Daily Tracking'!J253="Yes"),1,0))</f>
        <v/>
      </c>
      <c r="G253" s="230" t="str">
        <f ca="1">IF(A253&gt;TODAY(),"",IF(N('Daily Tracking'!K253)&gt;=Settings!$B$15,1,0))</f>
        <v/>
      </c>
      <c r="H253" s="231" t="str">
        <f ca="1">IF(B253="","",AVERAGE(B253:G253))</f>
        <v/>
      </c>
      <c r="I253" s="136" t="str">
        <f ca="1">IF(B253="","",IF(B253=1,N(I252)+1,0))</f>
        <v/>
      </c>
      <c r="J253" s="232"/>
      <c r="K253" s="232"/>
      <c r="L253" s="232"/>
      <c r="M253" s="232"/>
    </row>
    <row r="254" spans="1:13" ht="18" customHeight="1" x14ac:dyDescent="0.3">
      <c r="A254" s="132">
        <f>'Daily Tracking'!A254</f>
        <v>46526</v>
      </c>
      <c r="B254" s="230" t="str">
        <f ca="1">IF(A254&gt;TODAY(),"",IF('Daily Tracking'!B254&lt;&gt;"",1,0))</f>
        <v/>
      </c>
      <c r="C254" s="230" t="str">
        <f ca="1">IF(A254&gt;TODAY(),"",IF('Daily Tracking'!E254&lt;&gt;"",1,0))</f>
        <v/>
      </c>
      <c r="D254" s="230" t="str">
        <f ca="1">IF(A254&gt;TODAY(),"",IF(N('Daily Tracking'!G254)&gt;=Settings!$B$13,1,0))</f>
        <v/>
      </c>
      <c r="E254" s="230" t="str">
        <f ca="1">IF(A254&gt;TODAY(),"",IF(N('Daily Tracking'!H254)&gt;=Settings!$B$14,1,0))</f>
        <v/>
      </c>
      <c r="F254" s="230" t="str">
        <f ca="1">IF(A254&gt;TODAY(),"",IF(OR(N('Daily Tracking'!I254)&gt;0,'Daily Tracking'!J254="Yes"),1,0))</f>
        <v/>
      </c>
      <c r="G254" s="230" t="str">
        <f ca="1">IF(A254&gt;TODAY(),"",IF(N('Daily Tracking'!K254)&gt;=Settings!$B$15,1,0))</f>
        <v/>
      </c>
      <c r="H254" s="231" t="str">
        <f ca="1">IF(B254="","",AVERAGE(B254:G254))</f>
        <v/>
      </c>
      <c r="I254" s="136" t="str">
        <f ca="1">IF(B254="","",IF(B254=1,N(I253)+1,0))</f>
        <v/>
      </c>
      <c r="J254" s="232"/>
      <c r="K254" s="232"/>
      <c r="L254" s="232"/>
      <c r="M254" s="232"/>
    </row>
    <row r="255" spans="1:13" ht="18" customHeight="1" x14ac:dyDescent="0.3">
      <c r="A255" s="132">
        <f>'Daily Tracking'!A255</f>
        <v>46527</v>
      </c>
      <c r="B255" s="230" t="str">
        <f ca="1">IF(A255&gt;TODAY(),"",IF('Daily Tracking'!B255&lt;&gt;"",1,0))</f>
        <v/>
      </c>
      <c r="C255" s="230" t="str">
        <f ca="1">IF(A255&gt;TODAY(),"",IF('Daily Tracking'!E255&lt;&gt;"",1,0))</f>
        <v/>
      </c>
      <c r="D255" s="230" t="str">
        <f ca="1">IF(A255&gt;TODAY(),"",IF(N('Daily Tracking'!G255)&gt;=Settings!$B$13,1,0))</f>
        <v/>
      </c>
      <c r="E255" s="230" t="str">
        <f ca="1">IF(A255&gt;TODAY(),"",IF(N('Daily Tracking'!H255)&gt;=Settings!$B$14,1,0))</f>
        <v/>
      </c>
      <c r="F255" s="230" t="str">
        <f ca="1">IF(A255&gt;TODAY(),"",IF(OR(N('Daily Tracking'!I255)&gt;0,'Daily Tracking'!J255="Yes"),1,0))</f>
        <v/>
      </c>
      <c r="G255" s="230" t="str">
        <f ca="1">IF(A255&gt;TODAY(),"",IF(N('Daily Tracking'!K255)&gt;=Settings!$B$15,1,0))</f>
        <v/>
      </c>
      <c r="H255" s="231" t="str">
        <f ca="1">IF(B255="","",AVERAGE(B255:G255))</f>
        <v/>
      </c>
      <c r="I255" s="136" t="str">
        <f ca="1">IF(B255="","",IF(B255=1,N(I254)+1,0))</f>
        <v/>
      </c>
      <c r="J255" s="232"/>
      <c r="K255" s="232"/>
      <c r="L255" s="232"/>
      <c r="M255" s="232"/>
    </row>
    <row r="256" spans="1:13" ht="18" customHeight="1" x14ac:dyDescent="0.3">
      <c r="A256" s="132">
        <f>'Daily Tracking'!A256</f>
        <v>46528</v>
      </c>
      <c r="B256" s="230" t="str">
        <f ca="1">IF(A256&gt;TODAY(),"",IF('Daily Tracking'!B256&lt;&gt;"",1,0))</f>
        <v/>
      </c>
      <c r="C256" s="230" t="str">
        <f ca="1">IF(A256&gt;TODAY(),"",IF('Daily Tracking'!E256&lt;&gt;"",1,0))</f>
        <v/>
      </c>
      <c r="D256" s="230" t="str">
        <f ca="1">IF(A256&gt;TODAY(),"",IF(N('Daily Tracking'!G256)&gt;=Settings!$B$13,1,0))</f>
        <v/>
      </c>
      <c r="E256" s="230" t="str">
        <f ca="1">IF(A256&gt;TODAY(),"",IF(N('Daily Tracking'!H256)&gt;=Settings!$B$14,1,0))</f>
        <v/>
      </c>
      <c r="F256" s="230" t="str">
        <f ca="1">IF(A256&gt;TODAY(),"",IF(OR(N('Daily Tracking'!I256)&gt;0,'Daily Tracking'!J256="Yes"),1,0))</f>
        <v/>
      </c>
      <c r="G256" s="230" t="str">
        <f ca="1">IF(A256&gt;TODAY(),"",IF(N('Daily Tracking'!K256)&gt;=Settings!$B$15,1,0))</f>
        <v/>
      </c>
      <c r="H256" s="231" t="str">
        <f ca="1">IF(B256="","",AVERAGE(B256:G256))</f>
        <v/>
      </c>
      <c r="I256" s="136" t="str">
        <f ca="1">IF(B256="","",IF(B256=1,N(I255)+1,0))</f>
        <v/>
      </c>
      <c r="J256" s="232"/>
      <c r="K256" s="232"/>
      <c r="L256" s="232"/>
      <c r="M256" s="232"/>
    </row>
    <row r="257" spans="1:13" ht="18" customHeight="1" x14ac:dyDescent="0.3">
      <c r="A257" s="132">
        <f>'Daily Tracking'!A257</f>
        <v>46529</v>
      </c>
      <c r="B257" s="230" t="str">
        <f ca="1">IF(A257&gt;TODAY(),"",IF('Daily Tracking'!B257&lt;&gt;"",1,0))</f>
        <v/>
      </c>
      <c r="C257" s="230" t="str">
        <f ca="1">IF(A257&gt;TODAY(),"",IF('Daily Tracking'!E257&lt;&gt;"",1,0))</f>
        <v/>
      </c>
      <c r="D257" s="230" t="str">
        <f ca="1">IF(A257&gt;TODAY(),"",IF(N('Daily Tracking'!G257)&gt;=Settings!$B$13,1,0))</f>
        <v/>
      </c>
      <c r="E257" s="230" t="str">
        <f ca="1">IF(A257&gt;TODAY(),"",IF(N('Daily Tracking'!H257)&gt;=Settings!$B$14,1,0))</f>
        <v/>
      </c>
      <c r="F257" s="230" t="str">
        <f ca="1">IF(A257&gt;TODAY(),"",IF(OR(N('Daily Tracking'!I257)&gt;0,'Daily Tracking'!J257="Yes"),1,0))</f>
        <v/>
      </c>
      <c r="G257" s="230" t="str">
        <f ca="1">IF(A257&gt;TODAY(),"",IF(N('Daily Tracking'!K257)&gt;=Settings!$B$15,1,0))</f>
        <v/>
      </c>
      <c r="H257" s="231" t="str">
        <f ca="1">IF(B257="","",AVERAGE(B257:G257))</f>
        <v/>
      </c>
      <c r="I257" s="136" t="str">
        <f ca="1">IF(B257="","",IF(B257=1,N(I256)+1,0))</f>
        <v/>
      </c>
      <c r="J257" s="232"/>
      <c r="K257" s="232"/>
      <c r="L257" s="232"/>
      <c r="M257" s="232"/>
    </row>
    <row r="258" spans="1:13" ht="18" customHeight="1" x14ac:dyDescent="0.3">
      <c r="A258" s="132">
        <f>'Daily Tracking'!A258</f>
        <v>46530</v>
      </c>
      <c r="B258" s="230" t="str">
        <f ca="1">IF(A258&gt;TODAY(),"",IF('Daily Tracking'!B258&lt;&gt;"",1,0))</f>
        <v/>
      </c>
      <c r="C258" s="230" t="str">
        <f ca="1">IF(A258&gt;TODAY(),"",IF('Daily Tracking'!E258&lt;&gt;"",1,0))</f>
        <v/>
      </c>
      <c r="D258" s="230" t="str">
        <f ca="1">IF(A258&gt;TODAY(),"",IF(N('Daily Tracking'!G258)&gt;=Settings!$B$13,1,0))</f>
        <v/>
      </c>
      <c r="E258" s="230" t="str">
        <f ca="1">IF(A258&gt;TODAY(),"",IF(N('Daily Tracking'!H258)&gt;=Settings!$B$14,1,0))</f>
        <v/>
      </c>
      <c r="F258" s="230" t="str">
        <f ca="1">IF(A258&gt;TODAY(),"",IF(OR(N('Daily Tracking'!I258)&gt;0,'Daily Tracking'!J258="Yes"),1,0))</f>
        <v/>
      </c>
      <c r="G258" s="230" t="str">
        <f ca="1">IF(A258&gt;TODAY(),"",IF(N('Daily Tracking'!K258)&gt;=Settings!$B$15,1,0))</f>
        <v/>
      </c>
      <c r="H258" s="231" t="str">
        <f ca="1">IF(B258="","",AVERAGE(B258:G258))</f>
        <v/>
      </c>
      <c r="I258" s="136" t="str">
        <f ca="1">IF(B258="","",IF(B258=1,N(I257)+1,0))</f>
        <v/>
      </c>
      <c r="J258" s="232"/>
      <c r="K258" s="232"/>
      <c r="L258" s="232"/>
      <c r="M258" s="232"/>
    </row>
    <row r="259" spans="1:13" ht="18" customHeight="1" x14ac:dyDescent="0.3">
      <c r="A259" s="132">
        <f>'Daily Tracking'!A259</f>
        <v>46531</v>
      </c>
      <c r="B259" s="230" t="str">
        <f ca="1">IF(A259&gt;TODAY(),"",IF('Daily Tracking'!B259&lt;&gt;"",1,0))</f>
        <v/>
      </c>
      <c r="C259" s="230" t="str">
        <f ca="1">IF(A259&gt;TODAY(),"",IF('Daily Tracking'!E259&lt;&gt;"",1,0))</f>
        <v/>
      </c>
      <c r="D259" s="230" t="str">
        <f ca="1">IF(A259&gt;TODAY(),"",IF(N('Daily Tracking'!G259)&gt;=Settings!$B$13,1,0))</f>
        <v/>
      </c>
      <c r="E259" s="230" t="str">
        <f ca="1">IF(A259&gt;TODAY(),"",IF(N('Daily Tracking'!H259)&gt;=Settings!$B$14,1,0))</f>
        <v/>
      </c>
      <c r="F259" s="230" t="str">
        <f ca="1">IF(A259&gt;TODAY(),"",IF(OR(N('Daily Tracking'!I259)&gt;0,'Daily Tracking'!J259="Yes"),1,0))</f>
        <v/>
      </c>
      <c r="G259" s="230" t="str">
        <f ca="1">IF(A259&gt;TODAY(),"",IF(N('Daily Tracking'!K259)&gt;=Settings!$B$15,1,0))</f>
        <v/>
      </c>
      <c r="H259" s="231" t="str">
        <f ca="1">IF(B259="","",AVERAGE(B259:G259))</f>
        <v/>
      </c>
      <c r="I259" s="136" t="str">
        <f ca="1">IF(B259="","",IF(B259=1,N(I258)+1,0))</f>
        <v/>
      </c>
      <c r="J259" s="232"/>
      <c r="K259" s="232"/>
      <c r="L259" s="232"/>
      <c r="M259" s="232"/>
    </row>
    <row r="260" spans="1:13" ht="18" customHeight="1" x14ac:dyDescent="0.3">
      <c r="A260" s="132">
        <f>'Daily Tracking'!A260</f>
        <v>46532</v>
      </c>
      <c r="B260" s="230" t="str">
        <f ca="1">IF(A260&gt;TODAY(),"",IF('Daily Tracking'!B260&lt;&gt;"",1,0))</f>
        <v/>
      </c>
      <c r="C260" s="230" t="str">
        <f ca="1">IF(A260&gt;TODAY(),"",IF('Daily Tracking'!E260&lt;&gt;"",1,0))</f>
        <v/>
      </c>
      <c r="D260" s="230" t="str">
        <f ca="1">IF(A260&gt;TODAY(),"",IF(N('Daily Tracking'!G260)&gt;=Settings!$B$13,1,0))</f>
        <v/>
      </c>
      <c r="E260" s="230" t="str">
        <f ca="1">IF(A260&gt;TODAY(),"",IF(N('Daily Tracking'!H260)&gt;=Settings!$B$14,1,0))</f>
        <v/>
      </c>
      <c r="F260" s="230" t="str">
        <f ca="1">IF(A260&gt;TODAY(),"",IF(OR(N('Daily Tracking'!I260)&gt;0,'Daily Tracking'!J260="Yes"),1,0))</f>
        <v/>
      </c>
      <c r="G260" s="230" t="str">
        <f ca="1">IF(A260&gt;TODAY(),"",IF(N('Daily Tracking'!K260)&gt;=Settings!$B$15,1,0))</f>
        <v/>
      </c>
      <c r="H260" s="231" t="str">
        <f ca="1">IF(B260="","",AVERAGE(B260:G260))</f>
        <v/>
      </c>
      <c r="I260" s="136" t="str">
        <f ca="1">IF(B260="","",IF(B260=1,N(I259)+1,0))</f>
        <v/>
      </c>
      <c r="J260" s="232"/>
      <c r="K260" s="232"/>
      <c r="L260" s="232"/>
      <c r="M260" s="232"/>
    </row>
    <row r="261" spans="1:13" ht="18" customHeight="1" x14ac:dyDescent="0.3">
      <c r="A261" s="132">
        <f>'Daily Tracking'!A261</f>
        <v>46533</v>
      </c>
      <c r="B261" s="230" t="str">
        <f ca="1">IF(A261&gt;TODAY(),"",IF('Daily Tracking'!B261&lt;&gt;"",1,0))</f>
        <v/>
      </c>
      <c r="C261" s="230" t="str">
        <f ca="1">IF(A261&gt;TODAY(),"",IF('Daily Tracking'!E261&lt;&gt;"",1,0))</f>
        <v/>
      </c>
      <c r="D261" s="230" t="str">
        <f ca="1">IF(A261&gt;TODAY(),"",IF(N('Daily Tracking'!G261)&gt;=Settings!$B$13,1,0))</f>
        <v/>
      </c>
      <c r="E261" s="230" t="str">
        <f ca="1">IF(A261&gt;TODAY(),"",IF(N('Daily Tracking'!H261)&gt;=Settings!$B$14,1,0))</f>
        <v/>
      </c>
      <c r="F261" s="230" t="str">
        <f ca="1">IF(A261&gt;TODAY(),"",IF(OR(N('Daily Tracking'!I261)&gt;0,'Daily Tracking'!J261="Yes"),1,0))</f>
        <v/>
      </c>
      <c r="G261" s="230" t="str">
        <f ca="1">IF(A261&gt;TODAY(),"",IF(N('Daily Tracking'!K261)&gt;=Settings!$B$15,1,0))</f>
        <v/>
      </c>
      <c r="H261" s="231" t="str">
        <f ca="1">IF(B261="","",AVERAGE(B261:G261))</f>
        <v/>
      </c>
      <c r="I261" s="136" t="str">
        <f ca="1">IF(B261="","",IF(B261=1,N(I260)+1,0))</f>
        <v/>
      </c>
      <c r="J261" s="232"/>
      <c r="K261" s="232"/>
      <c r="L261" s="232"/>
      <c r="M261" s="232"/>
    </row>
    <row r="262" spans="1:13" ht="18" customHeight="1" x14ac:dyDescent="0.3">
      <c r="A262" s="132">
        <f>'Daily Tracking'!A262</f>
        <v>46534</v>
      </c>
      <c r="B262" s="230" t="str">
        <f ca="1">IF(A262&gt;TODAY(),"",IF('Daily Tracking'!B262&lt;&gt;"",1,0))</f>
        <v/>
      </c>
      <c r="C262" s="230" t="str">
        <f ca="1">IF(A262&gt;TODAY(),"",IF('Daily Tracking'!E262&lt;&gt;"",1,0))</f>
        <v/>
      </c>
      <c r="D262" s="230" t="str">
        <f ca="1">IF(A262&gt;TODAY(),"",IF(N('Daily Tracking'!G262)&gt;=Settings!$B$13,1,0))</f>
        <v/>
      </c>
      <c r="E262" s="230" t="str">
        <f ca="1">IF(A262&gt;TODAY(),"",IF(N('Daily Tracking'!H262)&gt;=Settings!$B$14,1,0))</f>
        <v/>
      </c>
      <c r="F262" s="230" t="str">
        <f ca="1">IF(A262&gt;TODAY(),"",IF(OR(N('Daily Tracking'!I262)&gt;0,'Daily Tracking'!J262="Yes"),1,0))</f>
        <v/>
      </c>
      <c r="G262" s="230" t="str">
        <f ca="1">IF(A262&gt;TODAY(),"",IF(N('Daily Tracking'!K262)&gt;=Settings!$B$15,1,0))</f>
        <v/>
      </c>
      <c r="H262" s="231" t="str">
        <f ca="1">IF(B262="","",AVERAGE(B262:G262))</f>
        <v/>
      </c>
      <c r="I262" s="136" t="str">
        <f ca="1">IF(B262="","",IF(B262=1,N(I261)+1,0))</f>
        <v/>
      </c>
      <c r="J262" s="232"/>
      <c r="K262" s="232"/>
      <c r="L262" s="232"/>
      <c r="M262" s="232"/>
    </row>
    <row r="263" spans="1:13" ht="18" customHeight="1" x14ac:dyDescent="0.3">
      <c r="A263" s="132">
        <f>'Daily Tracking'!A263</f>
        <v>46535</v>
      </c>
      <c r="B263" s="230" t="str">
        <f ca="1">IF(A263&gt;TODAY(),"",IF('Daily Tracking'!B263&lt;&gt;"",1,0))</f>
        <v/>
      </c>
      <c r="C263" s="230" t="str">
        <f ca="1">IF(A263&gt;TODAY(),"",IF('Daily Tracking'!E263&lt;&gt;"",1,0))</f>
        <v/>
      </c>
      <c r="D263" s="230" t="str">
        <f ca="1">IF(A263&gt;TODAY(),"",IF(N('Daily Tracking'!G263)&gt;=Settings!$B$13,1,0))</f>
        <v/>
      </c>
      <c r="E263" s="230" t="str">
        <f ca="1">IF(A263&gt;TODAY(),"",IF(N('Daily Tracking'!H263)&gt;=Settings!$B$14,1,0))</f>
        <v/>
      </c>
      <c r="F263" s="230" t="str">
        <f ca="1">IF(A263&gt;TODAY(),"",IF(OR(N('Daily Tracking'!I263)&gt;0,'Daily Tracking'!J263="Yes"),1,0))</f>
        <v/>
      </c>
      <c r="G263" s="230" t="str">
        <f ca="1">IF(A263&gt;TODAY(),"",IF(N('Daily Tracking'!K263)&gt;=Settings!$B$15,1,0))</f>
        <v/>
      </c>
      <c r="H263" s="231" t="str">
        <f ca="1">IF(B263="","",AVERAGE(B263:G263))</f>
        <v/>
      </c>
      <c r="I263" s="136" t="str">
        <f ca="1">IF(B263="","",IF(B263=1,N(I262)+1,0))</f>
        <v/>
      </c>
      <c r="J263" s="232"/>
      <c r="K263" s="232"/>
      <c r="L263" s="232"/>
      <c r="M263" s="232"/>
    </row>
    <row r="264" spans="1:13" ht="18" customHeight="1" x14ac:dyDescent="0.3">
      <c r="A264" s="132">
        <f>'Daily Tracking'!A264</f>
        <v>46536</v>
      </c>
      <c r="B264" s="230" t="str">
        <f ca="1">IF(A264&gt;TODAY(),"",IF('Daily Tracking'!B264&lt;&gt;"",1,0))</f>
        <v/>
      </c>
      <c r="C264" s="230" t="str">
        <f ca="1">IF(A264&gt;TODAY(),"",IF('Daily Tracking'!E264&lt;&gt;"",1,0))</f>
        <v/>
      </c>
      <c r="D264" s="230" t="str">
        <f ca="1">IF(A264&gt;TODAY(),"",IF(N('Daily Tracking'!G264)&gt;=Settings!$B$13,1,0))</f>
        <v/>
      </c>
      <c r="E264" s="230" t="str">
        <f ca="1">IF(A264&gt;TODAY(),"",IF(N('Daily Tracking'!H264)&gt;=Settings!$B$14,1,0))</f>
        <v/>
      </c>
      <c r="F264" s="230" t="str">
        <f ca="1">IF(A264&gt;TODAY(),"",IF(OR(N('Daily Tracking'!I264)&gt;0,'Daily Tracking'!J264="Yes"),1,0))</f>
        <v/>
      </c>
      <c r="G264" s="230" t="str">
        <f ca="1">IF(A264&gt;TODAY(),"",IF(N('Daily Tracking'!K264)&gt;=Settings!$B$15,1,0))</f>
        <v/>
      </c>
      <c r="H264" s="231" t="str">
        <f ca="1">IF(B264="","",AVERAGE(B264:G264))</f>
        <v/>
      </c>
      <c r="I264" s="136" t="str">
        <f ca="1">IF(B264="","",IF(B264=1,N(I263)+1,0))</f>
        <v/>
      </c>
      <c r="J264" s="232"/>
      <c r="K264" s="232"/>
      <c r="L264" s="232"/>
      <c r="M264" s="232"/>
    </row>
    <row r="265" spans="1:13" ht="18" customHeight="1" x14ac:dyDescent="0.3">
      <c r="A265" s="132">
        <f>'Daily Tracking'!A265</f>
        <v>46537</v>
      </c>
      <c r="B265" s="230" t="str">
        <f ca="1">IF(A265&gt;TODAY(),"",IF('Daily Tracking'!B265&lt;&gt;"",1,0))</f>
        <v/>
      </c>
      <c r="C265" s="230" t="str">
        <f ca="1">IF(A265&gt;TODAY(),"",IF('Daily Tracking'!E265&lt;&gt;"",1,0))</f>
        <v/>
      </c>
      <c r="D265" s="230" t="str">
        <f ca="1">IF(A265&gt;TODAY(),"",IF(N('Daily Tracking'!G265)&gt;=Settings!$B$13,1,0))</f>
        <v/>
      </c>
      <c r="E265" s="230" t="str">
        <f ca="1">IF(A265&gt;TODAY(),"",IF(N('Daily Tracking'!H265)&gt;=Settings!$B$14,1,0))</f>
        <v/>
      </c>
      <c r="F265" s="230" t="str">
        <f ca="1">IF(A265&gt;TODAY(),"",IF(OR(N('Daily Tracking'!I265)&gt;0,'Daily Tracking'!J265="Yes"),1,0))</f>
        <v/>
      </c>
      <c r="G265" s="230" t="str">
        <f ca="1">IF(A265&gt;TODAY(),"",IF(N('Daily Tracking'!K265)&gt;=Settings!$B$15,1,0))</f>
        <v/>
      </c>
      <c r="H265" s="231" t="str">
        <f ca="1">IF(B265="","",AVERAGE(B265:G265))</f>
        <v/>
      </c>
      <c r="I265" s="136" t="str">
        <f ca="1">IF(B265="","",IF(B265=1,N(I264)+1,0))</f>
        <v/>
      </c>
      <c r="J265" s="232"/>
      <c r="K265" s="232"/>
      <c r="L265" s="232"/>
      <c r="M265" s="232"/>
    </row>
    <row r="266" spans="1:13" ht="18" customHeight="1" x14ac:dyDescent="0.3">
      <c r="A266" s="132">
        <f>'Daily Tracking'!A266</f>
        <v>46538</v>
      </c>
      <c r="B266" s="230" t="str">
        <f ca="1">IF(A266&gt;TODAY(),"",IF('Daily Tracking'!B266&lt;&gt;"",1,0))</f>
        <v/>
      </c>
      <c r="C266" s="230" t="str">
        <f ca="1">IF(A266&gt;TODAY(),"",IF('Daily Tracking'!E266&lt;&gt;"",1,0))</f>
        <v/>
      </c>
      <c r="D266" s="230" t="str">
        <f ca="1">IF(A266&gt;TODAY(),"",IF(N('Daily Tracking'!G266)&gt;=Settings!$B$13,1,0))</f>
        <v/>
      </c>
      <c r="E266" s="230" t="str">
        <f ca="1">IF(A266&gt;TODAY(),"",IF(N('Daily Tracking'!H266)&gt;=Settings!$B$14,1,0))</f>
        <v/>
      </c>
      <c r="F266" s="230" t="str">
        <f ca="1">IF(A266&gt;TODAY(),"",IF(OR(N('Daily Tracking'!I266)&gt;0,'Daily Tracking'!J266="Yes"),1,0))</f>
        <v/>
      </c>
      <c r="G266" s="230" t="str">
        <f ca="1">IF(A266&gt;TODAY(),"",IF(N('Daily Tracking'!K266)&gt;=Settings!$B$15,1,0))</f>
        <v/>
      </c>
      <c r="H266" s="231" t="str">
        <f ca="1">IF(B266="","",AVERAGE(B266:G266))</f>
        <v/>
      </c>
      <c r="I266" s="136" t="str">
        <f ca="1">IF(B266="","",IF(B266=1,N(I265)+1,0))</f>
        <v/>
      </c>
      <c r="J266" s="232"/>
      <c r="K266" s="232"/>
      <c r="L266" s="232"/>
      <c r="M266" s="232"/>
    </row>
    <row r="267" spans="1:13" ht="18" customHeight="1" x14ac:dyDescent="0.3">
      <c r="A267" s="132">
        <f>'Daily Tracking'!A267</f>
        <v>46539</v>
      </c>
      <c r="B267" s="230" t="str">
        <f ca="1">IF(A267&gt;TODAY(),"",IF('Daily Tracking'!B267&lt;&gt;"",1,0))</f>
        <v/>
      </c>
      <c r="C267" s="230" t="str">
        <f ca="1">IF(A267&gt;TODAY(),"",IF('Daily Tracking'!E267&lt;&gt;"",1,0))</f>
        <v/>
      </c>
      <c r="D267" s="230" t="str">
        <f ca="1">IF(A267&gt;TODAY(),"",IF(N('Daily Tracking'!G267)&gt;=Settings!$B$13,1,0))</f>
        <v/>
      </c>
      <c r="E267" s="230" t="str">
        <f ca="1">IF(A267&gt;TODAY(),"",IF(N('Daily Tracking'!H267)&gt;=Settings!$B$14,1,0))</f>
        <v/>
      </c>
      <c r="F267" s="230" t="str">
        <f ca="1">IF(A267&gt;TODAY(),"",IF(OR(N('Daily Tracking'!I267)&gt;0,'Daily Tracking'!J267="Yes"),1,0))</f>
        <v/>
      </c>
      <c r="G267" s="230" t="str">
        <f ca="1">IF(A267&gt;TODAY(),"",IF(N('Daily Tracking'!K267)&gt;=Settings!$B$15,1,0))</f>
        <v/>
      </c>
      <c r="H267" s="231" t="str">
        <f ca="1">IF(B267="","",AVERAGE(B267:G267))</f>
        <v/>
      </c>
      <c r="I267" s="136" t="str">
        <f ca="1">IF(B267="","",IF(B267=1,N(I266)+1,0))</f>
        <v/>
      </c>
      <c r="J267" s="232"/>
      <c r="K267" s="232"/>
      <c r="L267" s="232"/>
      <c r="M267" s="232"/>
    </row>
    <row r="268" spans="1:13" ht="18" customHeight="1" x14ac:dyDescent="0.3">
      <c r="A268" s="132">
        <f>'Daily Tracking'!A268</f>
        <v>46540</v>
      </c>
      <c r="B268" s="230" t="str">
        <f ca="1">IF(A268&gt;TODAY(),"",IF('Daily Tracking'!B268&lt;&gt;"",1,0))</f>
        <v/>
      </c>
      <c r="C268" s="230" t="str">
        <f ca="1">IF(A268&gt;TODAY(),"",IF('Daily Tracking'!E268&lt;&gt;"",1,0))</f>
        <v/>
      </c>
      <c r="D268" s="230" t="str">
        <f ca="1">IF(A268&gt;TODAY(),"",IF(N('Daily Tracking'!G268)&gt;=Settings!$B$13,1,0))</f>
        <v/>
      </c>
      <c r="E268" s="230" t="str">
        <f ca="1">IF(A268&gt;TODAY(),"",IF(N('Daily Tracking'!H268)&gt;=Settings!$B$14,1,0))</f>
        <v/>
      </c>
      <c r="F268" s="230" t="str">
        <f ca="1">IF(A268&gt;TODAY(),"",IF(OR(N('Daily Tracking'!I268)&gt;0,'Daily Tracking'!J268="Yes"),1,0))</f>
        <v/>
      </c>
      <c r="G268" s="230" t="str">
        <f ca="1">IF(A268&gt;TODAY(),"",IF(N('Daily Tracking'!K268)&gt;=Settings!$B$15,1,0))</f>
        <v/>
      </c>
      <c r="H268" s="231" t="str">
        <f ca="1">IF(B268="","",AVERAGE(B268:G268))</f>
        <v/>
      </c>
      <c r="I268" s="136" t="str">
        <f ca="1">IF(B268="","",IF(B268=1,N(I267)+1,0))</f>
        <v/>
      </c>
      <c r="J268" s="232"/>
      <c r="K268" s="232"/>
      <c r="L268" s="232"/>
      <c r="M268" s="232"/>
    </row>
    <row r="269" spans="1:13" ht="18" customHeight="1" x14ac:dyDescent="0.3">
      <c r="A269" s="132">
        <f>'Daily Tracking'!A269</f>
        <v>46541</v>
      </c>
      <c r="B269" s="230" t="str">
        <f ca="1">IF(A269&gt;TODAY(),"",IF('Daily Tracking'!B269&lt;&gt;"",1,0))</f>
        <v/>
      </c>
      <c r="C269" s="230" t="str">
        <f ca="1">IF(A269&gt;TODAY(),"",IF('Daily Tracking'!E269&lt;&gt;"",1,0))</f>
        <v/>
      </c>
      <c r="D269" s="230" t="str">
        <f ca="1">IF(A269&gt;TODAY(),"",IF(N('Daily Tracking'!G269)&gt;=Settings!$B$13,1,0))</f>
        <v/>
      </c>
      <c r="E269" s="230" t="str">
        <f ca="1">IF(A269&gt;TODAY(),"",IF(N('Daily Tracking'!H269)&gt;=Settings!$B$14,1,0))</f>
        <v/>
      </c>
      <c r="F269" s="230" t="str">
        <f ca="1">IF(A269&gt;TODAY(),"",IF(OR(N('Daily Tracking'!I269)&gt;0,'Daily Tracking'!J269="Yes"),1,0))</f>
        <v/>
      </c>
      <c r="G269" s="230" t="str">
        <f ca="1">IF(A269&gt;TODAY(),"",IF(N('Daily Tracking'!K269)&gt;=Settings!$B$15,1,0))</f>
        <v/>
      </c>
      <c r="H269" s="231" t="str">
        <f ca="1">IF(B269="","",AVERAGE(B269:G269))</f>
        <v/>
      </c>
      <c r="I269" s="136" t="str">
        <f ca="1">IF(B269="","",IF(B269=1,N(I268)+1,0))</f>
        <v/>
      </c>
      <c r="J269" s="232"/>
      <c r="K269" s="232"/>
      <c r="L269" s="232"/>
      <c r="M269" s="232"/>
    </row>
    <row r="270" spans="1:13" ht="18" customHeight="1" x14ac:dyDescent="0.3">
      <c r="A270" s="132">
        <f>'Daily Tracking'!A270</f>
        <v>46542</v>
      </c>
      <c r="B270" s="230" t="str">
        <f ca="1">IF(A270&gt;TODAY(),"",IF('Daily Tracking'!B270&lt;&gt;"",1,0))</f>
        <v/>
      </c>
      <c r="C270" s="230" t="str">
        <f ca="1">IF(A270&gt;TODAY(),"",IF('Daily Tracking'!E270&lt;&gt;"",1,0))</f>
        <v/>
      </c>
      <c r="D270" s="230" t="str">
        <f ca="1">IF(A270&gt;TODAY(),"",IF(N('Daily Tracking'!G270)&gt;=Settings!$B$13,1,0))</f>
        <v/>
      </c>
      <c r="E270" s="230" t="str">
        <f ca="1">IF(A270&gt;TODAY(),"",IF(N('Daily Tracking'!H270)&gt;=Settings!$B$14,1,0))</f>
        <v/>
      </c>
      <c r="F270" s="230" t="str">
        <f ca="1">IF(A270&gt;TODAY(),"",IF(OR(N('Daily Tracking'!I270)&gt;0,'Daily Tracking'!J270="Yes"),1,0))</f>
        <v/>
      </c>
      <c r="G270" s="230" t="str">
        <f ca="1">IF(A270&gt;TODAY(),"",IF(N('Daily Tracking'!K270)&gt;=Settings!$B$15,1,0))</f>
        <v/>
      </c>
      <c r="H270" s="231" t="str">
        <f ca="1">IF(B270="","",AVERAGE(B270:G270))</f>
        <v/>
      </c>
      <c r="I270" s="136" t="str">
        <f ca="1">IF(B270="","",IF(B270=1,N(I269)+1,0))</f>
        <v/>
      </c>
      <c r="J270" s="232"/>
      <c r="K270" s="232"/>
      <c r="L270" s="232"/>
      <c r="M270" s="232"/>
    </row>
    <row r="271" spans="1:13" ht="18" customHeight="1" x14ac:dyDescent="0.3">
      <c r="A271" s="132">
        <f>'Daily Tracking'!A271</f>
        <v>46543</v>
      </c>
      <c r="B271" s="230" t="str">
        <f ca="1">IF(A271&gt;TODAY(),"",IF('Daily Tracking'!B271&lt;&gt;"",1,0))</f>
        <v/>
      </c>
      <c r="C271" s="230" t="str">
        <f ca="1">IF(A271&gt;TODAY(),"",IF('Daily Tracking'!E271&lt;&gt;"",1,0))</f>
        <v/>
      </c>
      <c r="D271" s="230" t="str">
        <f ca="1">IF(A271&gt;TODAY(),"",IF(N('Daily Tracking'!G271)&gt;=Settings!$B$13,1,0))</f>
        <v/>
      </c>
      <c r="E271" s="230" t="str">
        <f ca="1">IF(A271&gt;TODAY(),"",IF(N('Daily Tracking'!H271)&gt;=Settings!$B$14,1,0))</f>
        <v/>
      </c>
      <c r="F271" s="230" t="str">
        <f ca="1">IF(A271&gt;TODAY(),"",IF(OR(N('Daily Tracking'!I271)&gt;0,'Daily Tracking'!J271="Yes"),1,0))</f>
        <v/>
      </c>
      <c r="G271" s="230" t="str">
        <f ca="1">IF(A271&gt;TODAY(),"",IF(N('Daily Tracking'!K271)&gt;=Settings!$B$15,1,0))</f>
        <v/>
      </c>
      <c r="H271" s="231" t="str">
        <f ca="1">IF(B271="","",AVERAGE(B271:G271))</f>
        <v/>
      </c>
      <c r="I271" s="136" t="str">
        <f ca="1">IF(B271="","",IF(B271=1,N(I270)+1,0))</f>
        <v/>
      </c>
      <c r="J271" s="232"/>
      <c r="K271" s="232"/>
      <c r="L271" s="232"/>
      <c r="M271" s="232"/>
    </row>
    <row r="272" spans="1:13" ht="18" customHeight="1" x14ac:dyDescent="0.3">
      <c r="A272" s="132">
        <f>'Daily Tracking'!A272</f>
        <v>46544</v>
      </c>
      <c r="B272" s="230" t="str">
        <f ca="1">IF(A272&gt;TODAY(),"",IF('Daily Tracking'!B272&lt;&gt;"",1,0))</f>
        <v/>
      </c>
      <c r="C272" s="230" t="str">
        <f ca="1">IF(A272&gt;TODAY(),"",IF('Daily Tracking'!E272&lt;&gt;"",1,0))</f>
        <v/>
      </c>
      <c r="D272" s="230" t="str">
        <f ca="1">IF(A272&gt;TODAY(),"",IF(N('Daily Tracking'!G272)&gt;=Settings!$B$13,1,0))</f>
        <v/>
      </c>
      <c r="E272" s="230" t="str">
        <f ca="1">IF(A272&gt;TODAY(),"",IF(N('Daily Tracking'!H272)&gt;=Settings!$B$14,1,0))</f>
        <v/>
      </c>
      <c r="F272" s="230" t="str">
        <f ca="1">IF(A272&gt;TODAY(),"",IF(OR(N('Daily Tracking'!I272)&gt;0,'Daily Tracking'!J272="Yes"),1,0))</f>
        <v/>
      </c>
      <c r="G272" s="230" t="str">
        <f ca="1">IF(A272&gt;TODAY(),"",IF(N('Daily Tracking'!K272)&gt;=Settings!$B$15,1,0))</f>
        <v/>
      </c>
      <c r="H272" s="231" t="str">
        <f ca="1">IF(B272="","",AVERAGE(B272:G272))</f>
        <v/>
      </c>
      <c r="I272" s="136" t="str">
        <f ca="1">IF(B272="","",IF(B272=1,N(I271)+1,0))</f>
        <v/>
      </c>
      <c r="J272" s="232"/>
      <c r="K272" s="232"/>
      <c r="L272" s="232"/>
      <c r="M272" s="232"/>
    </row>
    <row r="273" spans="1:13" ht="18" customHeight="1" x14ac:dyDescent="0.3">
      <c r="A273" s="132">
        <f>'Daily Tracking'!A273</f>
        <v>46545</v>
      </c>
      <c r="B273" s="230" t="str">
        <f ca="1">IF(A273&gt;TODAY(),"",IF('Daily Tracking'!B273&lt;&gt;"",1,0))</f>
        <v/>
      </c>
      <c r="C273" s="230" t="str">
        <f ca="1">IF(A273&gt;TODAY(),"",IF('Daily Tracking'!E273&lt;&gt;"",1,0))</f>
        <v/>
      </c>
      <c r="D273" s="230" t="str">
        <f ca="1">IF(A273&gt;TODAY(),"",IF(N('Daily Tracking'!G273)&gt;=Settings!$B$13,1,0))</f>
        <v/>
      </c>
      <c r="E273" s="230" t="str">
        <f ca="1">IF(A273&gt;TODAY(),"",IF(N('Daily Tracking'!H273)&gt;=Settings!$B$14,1,0))</f>
        <v/>
      </c>
      <c r="F273" s="230" t="str">
        <f ca="1">IF(A273&gt;TODAY(),"",IF(OR(N('Daily Tracking'!I273)&gt;0,'Daily Tracking'!J273="Yes"),1,0))</f>
        <v/>
      </c>
      <c r="G273" s="230" t="str">
        <f ca="1">IF(A273&gt;TODAY(),"",IF(N('Daily Tracking'!K273)&gt;=Settings!$B$15,1,0))</f>
        <v/>
      </c>
      <c r="H273" s="231" t="str">
        <f ca="1">IF(B273="","",AVERAGE(B273:G273))</f>
        <v/>
      </c>
      <c r="I273" s="136" t="str">
        <f ca="1">IF(B273="","",IF(B273=1,N(I272)+1,0))</f>
        <v/>
      </c>
      <c r="J273" s="232"/>
      <c r="K273" s="232"/>
      <c r="L273" s="232"/>
      <c r="M273" s="232"/>
    </row>
    <row r="274" spans="1:13" ht="18" customHeight="1" x14ac:dyDescent="0.3">
      <c r="A274" s="132">
        <f>'Daily Tracking'!A274</f>
        <v>46546</v>
      </c>
      <c r="B274" s="230" t="str">
        <f ca="1">IF(A274&gt;TODAY(),"",IF('Daily Tracking'!B274&lt;&gt;"",1,0))</f>
        <v/>
      </c>
      <c r="C274" s="230" t="str">
        <f ca="1">IF(A274&gt;TODAY(),"",IF('Daily Tracking'!E274&lt;&gt;"",1,0))</f>
        <v/>
      </c>
      <c r="D274" s="230" t="str">
        <f ca="1">IF(A274&gt;TODAY(),"",IF(N('Daily Tracking'!G274)&gt;=Settings!$B$13,1,0))</f>
        <v/>
      </c>
      <c r="E274" s="230" t="str">
        <f ca="1">IF(A274&gt;TODAY(),"",IF(N('Daily Tracking'!H274)&gt;=Settings!$B$14,1,0))</f>
        <v/>
      </c>
      <c r="F274" s="230" t="str">
        <f ca="1">IF(A274&gt;TODAY(),"",IF(OR(N('Daily Tracking'!I274)&gt;0,'Daily Tracking'!J274="Yes"),1,0))</f>
        <v/>
      </c>
      <c r="G274" s="230" t="str">
        <f ca="1">IF(A274&gt;TODAY(),"",IF(N('Daily Tracking'!K274)&gt;=Settings!$B$15,1,0))</f>
        <v/>
      </c>
      <c r="H274" s="231" t="str">
        <f ca="1">IF(B274="","",AVERAGE(B274:G274))</f>
        <v/>
      </c>
      <c r="I274" s="136" t="str">
        <f ca="1">IF(B274="","",IF(B274=1,N(I273)+1,0))</f>
        <v/>
      </c>
      <c r="J274" s="232"/>
      <c r="K274" s="232"/>
      <c r="L274" s="232"/>
      <c r="M274" s="232"/>
    </row>
    <row r="275" spans="1:13" ht="18" customHeight="1" x14ac:dyDescent="0.3">
      <c r="A275" s="132">
        <f>'Daily Tracking'!A275</f>
        <v>46547</v>
      </c>
      <c r="B275" s="230" t="str">
        <f ca="1">IF(A275&gt;TODAY(),"",IF('Daily Tracking'!B275&lt;&gt;"",1,0))</f>
        <v/>
      </c>
      <c r="C275" s="230" t="str">
        <f ca="1">IF(A275&gt;TODAY(),"",IF('Daily Tracking'!E275&lt;&gt;"",1,0))</f>
        <v/>
      </c>
      <c r="D275" s="230" t="str">
        <f ca="1">IF(A275&gt;TODAY(),"",IF(N('Daily Tracking'!G275)&gt;=Settings!$B$13,1,0))</f>
        <v/>
      </c>
      <c r="E275" s="230" t="str">
        <f ca="1">IF(A275&gt;TODAY(),"",IF(N('Daily Tracking'!H275)&gt;=Settings!$B$14,1,0))</f>
        <v/>
      </c>
      <c r="F275" s="230" t="str">
        <f ca="1">IF(A275&gt;TODAY(),"",IF(OR(N('Daily Tracking'!I275)&gt;0,'Daily Tracking'!J275="Yes"),1,0))</f>
        <v/>
      </c>
      <c r="G275" s="230" t="str">
        <f ca="1">IF(A275&gt;TODAY(),"",IF(N('Daily Tracking'!K275)&gt;=Settings!$B$15,1,0))</f>
        <v/>
      </c>
      <c r="H275" s="231" t="str">
        <f ca="1">IF(B275="","",AVERAGE(B275:G275))</f>
        <v/>
      </c>
      <c r="I275" s="136" t="str">
        <f ca="1">IF(B275="","",IF(B275=1,N(I274)+1,0))</f>
        <v/>
      </c>
      <c r="J275" s="232"/>
      <c r="K275" s="232"/>
      <c r="L275" s="232"/>
      <c r="M275" s="232"/>
    </row>
    <row r="276" spans="1:13" ht="18" customHeight="1" x14ac:dyDescent="0.3">
      <c r="A276" s="132">
        <f>'Daily Tracking'!A276</f>
        <v>46548</v>
      </c>
      <c r="B276" s="230" t="str">
        <f ca="1">IF(A276&gt;TODAY(),"",IF('Daily Tracking'!B276&lt;&gt;"",1,0))</f>
        <v/>
      </c>
      <c r="C276" s="230" t="str">
        <f ca="1">IF(A276&gt;TODAY(),"",IF('Daily Tracking'!E276&lt;&gt;"",1,0))</f>
        <v/>
      </c>
      <c r="D276" s="230" t="str">
        <f ca="1">IF(A276&gt;TODAY(),"",IF(N('Daily Tracking'!G276)&gt;=Settings!$B$13,1,0))</f>
        <v/>
      </c>
      <c r="E276" s="230" t="str">
        <f ca="1">IF(A276&gt;TODAY(),"",IF(N('Daily Tracking'!H276)&gt;=Settings!$B$14,1,0))</f>
        <v/>
      </c>
      <c r="F276" s="230" t="str">
        <f ca="1">IF(A276&gt;TODAY(),"",IF(OR(N('Daily Tracking'!I276)&gt;0,'Daily Tracking'!J276="Yes"),1,0))</f>
        <v/>
      </c>
      <c r="G276" s="230" t="str">
        <f ca="1">IF(A276&gt;TODAY(),"",IF(N('Daily Tracking'!K276)&gt;=Settings!$B$15,1,0))</f>
        <v/>
      </c>
      <c r="H276" s="231" t="str">
        <f ca="1">IF(B276="","",AVERAGE(B276:G276))</f>
        <v/>
      </c>
      <c r="I276" s="136" t="str">
        <f ca="1">IF(B276="","",IF(B276=1,N(I275)+1,0))</f>
        <v/>
      </c>
      <c r="J276" s="232"/>
      <c r="K276" s="232"/>
      <c r="L276" s="232"/>
      <c r="M276" s="232"/>
    </row>
    <row r="277" spans="1:13" ht="18" customHeight="1" x14ac:dyDescent="0.3">
      <c r="A277" s="132">
        <f>'Daily Tracking'!A277</f>
        <v>46549</v>
      </c>
      <c r="B277" s="230" t="str">
        <f ca="1">IF(A277&gt;TODAY(),"",IF('Daily Tracking'!B277&lt;&gt;"",1,0))</f>
        <v/>
      </c>
      <c r="C277" s="230" t="str">
        <f ca="1">IF(A277&gt;TODAY(),"",IF('Daily Tracking'!E277&lt;&gt;"",1,0))</f>
        <v/>
      </c>
      <c r="D277" s="230" t="str">
        <f ca="1">IF(A277&gt;TODAY(),"",IF(N('Daily Tracking'!G277)&gt;=Settings!$B$13,1,0))</f>
        <v/>
      </c>
      <c r="E277" s="230" t="str">
        <f ca="1">IF(A277&gt;TODAY(),"",IF(N('Daily Tracking'!H277)&gt;=Settings!$B$14,1,0))</f>
        <v/>
      </c>
      <c r="F277" s="230" t="str">
        <f ca="1">IF(A277&gt;TODAY(),"",IF(OR(N('Daily Tracking'!I277)&gt;0,'Daily Tracking'!J277="Yes"),1,0))</f>
        <v/>
      </c>
      <c r="G277" s="230" t="str">
        <f ca="1">IF(A277&gt;TODAY(),"",IF(N('Daily Tracking'!K277)&gt;=Settings!$B$15,1,0))</f>
        <v/>
      </c>
      <c r="H277" s="231" t="str">
        <f ca="1">IF(B277="","",AVERAGE(B277:G277))</f>
        <v/>
      </c>
      <c r="I277" s="136" t="str">
        <f ca="1">IF(B277="","",IF(B277=1,N(I276)+1,0))</f>
        <v/>
      </c>
      <c r="J277" s="232"/>
      <c r="K277" s="232"/>
      <c r="L277" s="232"/>
      <c r="M277" s="232"/>
    </row>
    <row r="278" spans="1:13" ht="18" customHeight="1" x14ac:dyDescent="0.3">
      <c r="A278" s="132">
        <f>'Daily Tracking'!A278</f>
        <v>46550</v>
      </c>
      <c r="B278" s="230" t="str">
        <f ca="1">IF(A278&gt;TODAY(),"",IF('Daily Tracking'!B278&lt;&gt;"",1,0))</f>
        <v/>
      </c>
      <c r="C278" s="230" t="str">
        <f ca="1">IF(A278&gt;TODAY(),"",IF('Daily Tracking'!E278&lt;&gt;"",1,0))</f>
        <v/>
      </c>
      <c r="D278" s="230" t="str">
        <f ca="1">IF(A278&gt;TODAY(),"",IF(N('Daily Tracking'!G278)&gt;=Settings!$B$13,1,0))</f>
        <v/>
      </c>
      <c r="E278" s="230" t="str">
        <f ca="1">IF(A278&gt;TODAY(),"",IF(N('Daily Tracking'!H278)&gt;=Settings!$B$14,1,0))</f>
        <v/>
      </c>
      <c r="F278" s="230" t="str">
        <f ca="1">IF(A278&gt;TODAY(),"",IF(OR(N('Daily Tracking'!I278)&gt;0,'Daily Tracking'!J278="Yes"),1,0))</f>
        <v/>
      </c>
      <c r="G278" s="230" t="str">
        <f ca="1">IF(A278&gt;TODAY(),"",IF(N('Daily Tracking'!K278)&gt;=Settings!$B$15,1,0))</f>
        <v/>
      </c>
      <c r="H278" s="231" t="str">
        <f ca="1">IF(B278="","",AVERAGE(B278:G278))</f>
        <v/>
      </c>
      <c r="I278" s="136" t="str">
        <f ca="1">IF(B278="","",IF(B278=1,N(I277)+1,0))</f>
        <v/>
      </c>
      <c r="J278" s="232"/>
      <c r="K278" s="232"/>
      <c r="L278" s="232"/>
      <c r="M278" s="232"/>
    </row>
    <row r="279" spans="1:13" ht="18" customHeight="1" x14ac:dyDescent="0.3">
      <c r="A279" s="132">
        <f>'Daily Tracking'!A279</f>
        <v>46551</v>
      </c>
      <c r="B279" s="230" t="str">
        <f ca="1">IF(A279&gt;TODAY(),"",IF('Daily Tracking'!B279&lt;&gt;"",1,0))</f>
        <v/>
      </c>
      <c r="C279" s="230" t="str">
        <f ca="1">IF(A279&gt;TODAY(),"",IF('Daily Tracking'!E279&lt;&gt;"",1,0))</f>
        <v/>
      </c>
      <c r="D279" s="230" t="str">
        <f ca="1">IF(A279&gt;TODAY(),"",IF(N('Daily Tracking'!G279)&gt;=Settings!$B$13,1,0))</f>
        <v/>
      </c>
      <c r="E279" s="230" t="str">
        <f ca="1">IF(A279&gt;TODAY(),"",IF(N('Daily Tracking'!H279)&gt;=Settings!$B$14,1,0))</f>
        <v/>
      </c>
      <c r="F279" s="230" t="str">
        <f ca="1">IF(A279&gt;TODAY(),"",IF(OR(N('Daily Tracking'!I279)&gt;0,'Daily Tracking'!J279="Yes"),1,0))</f>
        <v/>
      </c>
      <c r="G279" s="230" t="str">
        <f ca="1">IF(A279&gt;TODAY(),"",IF(N('Daily Tracking'!K279)&gt;=Settings!$B$15,1,0))</f>
        <v/>
      </c>
      <c r="H279" s="231" t="str">
        <f ca="1">IF(B279="","",AVERAGE(B279:G279))</f>
        <v/>
      </c>
      <c r="I279" s="136" t="str">
        <f ca="1">IF(B279="","",IF(B279=1,N(I278)+1,0))</f>
        <v/>
      </c>
      <c r="J279" s="232"/>
      <c r="K279" s="232"/>
      <c r="L279" s="232"/>
      <c r="M279" s="232"/>
    </row>
    <row r="280" spans="1:13" ht="18" customHeight="1" x14ac:dyDescent="0.3">
      <c r="A280" s="132">
        <f>'Daily Tracking'!A280</f>
        <v>46552</v>
      </c>
      <c r="B280" s="230" t="str">
        <f ca="1">IF(A280&gt;TODAY(),"",IF('Daily Tracking'!B280&lt;&gt;"",1,0))</f>
        <v/>
      </c>
      <c r="C280" s="230" t="str">
        <f ca="1">IF(A280&gt;TODAY(),"",IF('Daily Tracking'!E280&lt;&gt;"",1,0))</f>
        <v/>
      </c>
      <c r="D280" s="230" t="str">
        <f ca="1">IF(A280&gt;TODAY(),"",IF(N('Daily Tracking'!G280)&gt;=Settings!$B$13,1,0))</f>
        <v/>
      </c>
      <c r="E280" s="230" t="str">
        <f ca="1">IF(A280&gt;TODAY(),"",IF(N('Daily Tracking'!H280)&gt;=Settings!$B$14,1,0))</f>
        <v/>
      </c>
      <c r="F280" s="230" t="str">
        <f ca="1">IF(A280&gt;TODAY(),"",IF(OR(N('Daily Tracking'!I280)&gt;0,'Daily Tracking'!J280="Yes"),1,0))</f>
        <v/>
      </c>
      <c r="G280" s="230" t="str">
        <f ca="1">IF(A280&gt;TODAY(),"",IF(N('Daily Tracking'!K280)&gt;=Settings!$B$15,1,0))</f>
        <v/>
      </c>
      <c r="H280" s="231" t="str">
        <f ca="1">IF(B280="","",AVERAGE(B280:G280))</f>
        <v/>
      </c>
      <c r="I280" s="136" t="str">
        <f ca="1">IF(B280="","",IF(B280=1,N(I279)+1,0))</f>
        <v/>
      </c>
      <c r="J280" s="232"/>
      <c r="K280" s="232"/>
      <c r="L280" s="232"/>
      <c r="M280" s="232"/>
    </row>
    <row r="281" spans="1:13" ht="18" customHeight="1" x14ac:dyDescent="0.3">
      <c r="A281" s="132">
        <f>'Daily Tracking'!A281</f>
        <v>46553</v>
      </c>
      <c r="B281" s="230" t="str">
        <f ca="1">IF(A281&gt;TODAY(),"",IF('Daily Tracking'!B281&lt;&gt;"",1,0))</f>
        <v/>
      </c>
      <c r="C281" s="230" t="str">
        <f ca="1">IF(A281&gt;TODAY(),"",IF('Daily Tracking'!E281&lt;&gt;"",1,0))</f>
        <v/>
      </c>
      <c r="D281" s="230" t="str">
        <f ca="1">IF(A281&gt;TODAY(),"",IF(N('Daily Tracking'!G281)&gt;=Settings!$B$13,1,0))</f>
        <v/>
      </c>
      <c r="E281" s="230" t="str">
        <f ca="1">IF(A281&gt;TODAY(),"",IF(N('Daily Tracking'!H281)&gt;=Settings!$B$14,1,0))</f>
        <v/>
      </c>
      <c r="F281" s="230" t="str">
        <f ca="1">IF(A281&gt;TODAY(),"",IF(OR(N('Daily Tracking'!I281)&gt;0,'Daily Tracking'!J281="Yes"),1,0))</f>
        <v/>
      </c>
      <c r="G281" s="230" t="str">
        <f ca="1">IF(A281&gt;TODAY(),"",IF(N('Daily Tracking'!K281)&gt;=Settings!$B$15,1,0))</f>
        <v/>
      </c>
      <c r="H281" s="231" t="str">
        <f ca="1">IF(B281="","",AVERAGE(B281:G281))</f>
        <v/>
      </c>
      <c r="I281" s="136" t="str">
        <f ca="1">IF(B281="","",IF(B281=1,N(I280)+1,0))</f>
        <v/>
      </c>
      <c r="J281" s="232"/>
      <c r="K281" s="232"/>
      <c r="L281" s="232"/>
      <c r="M281" s="232"/>
    </row>
    <row r="282" spans="1:13" ht="18" customHeight="1" x14ac:dyDescent="0.3">
      <c r="A282" s="132">
        <f>'Daily Tracking'!A282</f>
        <v>46554</v>
      </c>
      <c r="B282" s="230" t="str">
        <f ca="1">IF(A282&gt;TODAY(),"",IF('Daily Tracking'!B282&lt;&gt;"",1,0))</f>
        <v/>
      </c>
      <c r="C282" s="230" t="str">
        <f ca="1">IF(A282&gt;TODAY(),"",IF('Daily Tracking'!E282&lt;&gt;"",1,0))</f>
        <v/>
      </c>
      <c r="D282" s="230" t="str">
        <f ca="1">IF(A282&gt;TODAY(),"",IF(N('Daily Tracking'!G282)&gt;=Settings!$B$13,1,0))</f>
        <v/>
      </c>
      <c r="E282" s="230" t="str">
        <f ca="1">IF(A282&gt;TODAY(),"",IF(N('Daily Tracking'!H282)&gt;=Settings!$B$14,1,0))</f>
        <v/>
      </c>
      <c r="F282" s="230" t="str">
        <f ca="1">IF(A282&gt;TODAY(),"",IF(OR(N('Daily Tracking'!I282)&gt;0,'Daily Tracking'!J282="Yes"),1,0))</f>
        <v/>
      </c>
      <c r="G282" s="230" t="str">
        <f ca="1">IF(A282&gt;TODAY(),"",IF(N('Daily Tracking'!K282)&gt;=Settings!$B$15,1,0))</f>
        <v/>
      </c>
      <c r="H282" s="231" t="str">
        <f ca="1">IF(B282="","",AVERAGE(B282:G282))</f>
        <v/>
      </c>
      <c r="I282" s="136" t="str">
        <f ca="1">IF(B282="","",IF(B282=1,N(I281)+1,0))</f>
        <v/>
      </c>
      <c r="J282" s="232"/>
      <c r="K282" s="232"/>
      <c r="L282" s="232"/>
      <c r="M282" s="232"/>
    </row>
    <row r="283" spans="1:13" ht="18" customHeight="1" x14ac:dyDescent="0.3">
      <c r="A283" s="132">
        <f>'Daily Tracking'!A283</f>
        <v>46555</v>
      </c>
      <c r="B283" s="230" t="str">
        <f ca="1">IF(A283&gt;TODAY(),"",IF('Daily Tracking'!B283&lt;&gt;"",1,0))</f>
        <v/>
      </c>
      <c r="C283" s="230" t="str">
        <f ca="1">IF(A283&gt;TODAY(),"",IF('Daily Tracking'!E283&lt;&gt;"",1,0))</f>
        <v/>
      </c>
      <c r="D283" s="230" t="str">
        <f ca="1">IF(A283&gt;TODAY(),"",IF(N('Daily Tracking'!G283)&gt;=Settings!$B$13,1,0))</f>
        <v/>
      </c>
      <c r="E283" s="230" t="str">
        <f ca="1">IF(A283&gt;TODAY(),"",IF(N('Daily Tracking'!H283)&gt;=Settings!$B$14,1,0))</f>
        <v/>
      </c>
      <c r="F283" s="230" t="str">
        <f ca="1">IF(A283&gt;TODAY(),"",IF(OR(N('Daily Tracking'!I283)&gt;0,'Daily Tracking'!J283="Yes"),1,0))</f>
        <v/>
      </c>
      <c r="G283" s="230" t="str">
        <f ca="1">IF(A283&gt;TODAY(),"",IF(N('Daily Tracking'!K283)&gt;=Settings!$B$15,1,0))</f>
        <v/>
      </c>
      <c r="H283" s="231" t="str">
        <f ca="1">IF(B283="","",AVERAGE(B283:G283))</f>
        <v/>
      </c>
      <c r="I283" s="136" t="str">
        <f ca="1">IF(B283="","",IF(B283=1,N(I282)+1,0))</f>
        <v/>
      </c>
      <c r="J283" s="232"/>
      <c r="K283" s="232"/>
      <c r="L283" s="232"/>
      <c r="M283" s="232"/>
    </row>
    <row r="284" spans="1:13" ht="18" customHeight="1" x14ac:dyDescent="0.3">
      <c r="A284" s="132">
        <f>'Daily Tracking'!A284</f>
        <v>46556</v>
      </c>
      <c r="B284" s="230" t="str">
        <f ca="1">IF(A284&gt;TODAY(),"",IF('Daily Tracking'!B284&lt;&gt;"",1,0))</f>
        <v/>
      </c>
      <c r="C284" s="230" t="str">
        <f ca="1">IF(A284&gt;TODAY(),"",IF('Daily Tracking'!E284&lt;&gt;"",1,0))</f>
        <v/>
      </c>
      <c r="D284" s="230" t="str">
        <f ca="1">IF(A284&gt;TODAY(),"",IF(N('Daily Tracking'!G284)&gt;=Settings!$B$13,1,0))</f>
        <v/>
      </c>
      <c r="E284" s="230" t="str">
        <f ca="1">IF(A284&gt;TODAY(),"",IF(N('Daily Tracking'!H284)&gt;=Settings!$B$14,1,0))</f>
        <v/>
      </c>
      <c r="F284" s="230" t="str">
        <f ca="1">IF(A284&gt;TODAY(),"",IF(OR(N('Daily Tracking'!I284)&gt;0,'Daily Tracking'!J284="Yes"),1,0))</f>
        <v/>
      </c>
      <c r="G284" s="230" t="str">
        <f ca="1">IF(A284&gt;TODAY(),"",IF(N('Daily Tracking'!K284)&gt;=Settings!$B$15,1,0))</f>
        <v/>
      </c>
      <c r="H284" s="231" t="str">
        <f ca="1">IF(B284="","",AVERAGE(B284:G284))</f>
        <v/>
      </c>
      <c r="I284" s="136" t="str">
        <f ca="1">IF(B284="","",IF(B284=1,N(I283)+1,0))</f>
        <v/>
      </c>
      <c r="J284" s="232"/>
      <c r="K284" s="232"/>
      <c r="L284" s="232"/>
      <c r="M284" s="232"/>
    </row>
    <row r="285" spans="1:13" ht="18" customHeight="1" x14ac:dyDescent="0.3">
      <c r="A285" s="132">
        <f>'Daily Tracking'!A285</f>
        <v>46557</v>
      </c>
      <c r="B285" s="230" t="str">
        <f ca="1">IF(A285&gt;TODAY(),"",IF('Daily Tracking'!B285&lt;&gt;"",1,0))</f>
        <v/>
      </c>
      <c r="C285" s="230" t="str">
        <f ca="1">IF(A285&gt;TODAY(),"",IF('Daily Tracking'!E285&lt;&gt;"",1,0))</f>
        <v/>
      </c>
      <c r="D285" s="230" t="str">
        <f ca="1">IF(A285&gt;TODAY(),"",IF(N('Daily Tracking'!G285)&gt;=Settings!$B$13,1,0))</f>
        <v/>
      </c>
      <c r="E285" s="230" t="str">
        <f ca="1">IF(A285&gt;TODAY(),"",IF(N('Daily Tracking'!H285)&gt;=Settings!$B$14,1,0))</f>
        <v/>
      </c>
      <c r="F285" s="230" t="str">
        <f ca="1">IF(A285&gt;TODAY(),"",IF(OR(N('Daily Tracking'!I285)&gt;0,'Daily Tracking'!J285="Yes"),1,0))</f>
        <v/>
      </c>
      <c r="G285" s="230" t="str">
        <f ca="1">IF(A285&gt;TODAY(),"",IF(N('Daily Tracking'!K285)&gt;=Settings!$B$15,1,0))</f>
        <v/>
      </c>
      <c r="H285" s="231" t="str">
        <f ca="1">IF(B285="","",AVERAGE(B285:G285))</f>
        <v/>
      </c>
      <c r="I285" s="136" t="str">
        <f ca="1">IF(B285="","",IF(B285=1,N(I284)+1,0))</f>
        <v/>
      </c>
      <c r="J285" s="232"/>
      <c r="K285" s="232"/>
      <c r="L285" s="232"/>
      <c r="M285" s="232"/>
    </row>
    <row r="286" spans="1:13" ht="18" customHeight="1" x14ac:dyDescent="0.3">
      <c r="A286" s="132">
        <f>'Daily Tracking'!A286</f>
        <v>46558</v>
      </c>
      <c r="B286" s="230" t="str">
        <f ca="1">IF(A286&gt;TODAY(),"",IF('Daily Tracking'!B286&lt;&gt;"",1,0))</f>
        <v/>
      </c>
      <c r="C286" s="230" t="str">
        <f ca="1">IF(A286&gt;TODAY(),"",IF('Daily Tracking'!E286&lt;&gt;"",1,0))</f>
        <v/>
      </c>
      <c r="D286" s="230" t="str">
        <f ca="1">IF(A286&gt;TODAY(),"",IF(N('Daily Tracking'!G286)&gt;=Settings!$B$13,1,0))</f>
        <v/>
      </c>
      <c r="E286" s="230" t="str">
        <f ca="1">IF(A286&gt;TODAY(),"",IF(N('Daily Tracking'!H286)&gt;=Settings!$B$14,1,0))</f>
        <v/>
      </c>
      <c r="F286" s="230" t="str">
        <f ca="1">IF(A286&gt;TODAY(),"",IF(OR(N('Daily Tracking'!I286)&gt;0,'Daily Tracking'!J286="Yes"),1,0))</f>
        <v/>
      </c>
      <c r="G286" s="230" t="str">
        <f ca="1">IF(A286&gt;TODAY(),"",IF(N('Daily Tracking'!K286)&gt;=Settings!$B$15,1,0))</f>
        <v/>
      </c>
      <c r="H286" s="231" t="str">
        <f ca="1">IF(B286="","",AVERAGE(B286:G286))</f>
        <v/>
      </c>
      <c r="I286" s="136" t="str">
        <f ca="1">IF(B286="","",IF(B286=1,N(I285)+1,0))</f>
        <v/>
      </c>
      <c r="J286" s="232"/>
      <c r="K286" s="232"/>
      <c r="L286" s="232"/>
      <c r="M286" s="232"/>
    </row>
    <row r="287" spans="1:13" ht="18" customHeight="1" x14ac:dyDescent="0.3">
      <c r="A287" s="132">
        <f>'Daily Tracking'!A287</f>
        <v>46559</v>
      </c>
      <c r="B287" s="230" t="str">
        <f ca="1">IF(A287&gt;TODAY(),"",IF('Daily Tracking'!B287&lt;&gt;"",1,0))</f>
        <v/>
      </c>
      <c r="C287" s="230" t="str">
        <f ca="1">IF(A287&gt;TODAY(),"",IF('Daily Tracking'!E287&lt;&gt;"",1,0))</f>
        <v/>
      </c>
      <c r="D287" s="230" t="str">
        <f ca="1">IF(A287&gt;TODAY(),"",IF(N('Daily Tracking'!G287)&gt;=Settings!$B$13,1,0))</f>
        <v/>
      </c>
      <c r="E287" s="230" t="str">
        <f ca="1">IF(A287&gt;TODAY(),"",IF(N('Daily Tracking'!H287)&gt;=Settings!$B$14,1,0))</f>
        <v/>
      </c>
      <c r="F287" s="230" t="str">
        <f ca="1">IF(A287&gt;TODAY(),"",IF(OR(N('Daily Tracking'!I287)&gt;0,'Daily Tracking'!J287="Yes"),1,0))</f>
        <v/>
      </c>
      <c r="G287" s="230" t="str">
        <f ca="1">IF(A287&gt;TODAY(),"",IF(N('Daily Tracking'!K287)&gt;=Settings!$B$15,1,0))</f>
        <v/>
      </c>
      <c r="H287" s="231" t="str">
        <f ca="1">IF(B287="","",AVERAGE(B287:G287))</f>
        <v/>
      </c>
      <c r="I287" s="136" t="str">
        <f ca="1">IF(B287="","",IF(B287=1,N(I286)+1,0))</f>
        <v/>
      </c>
      <c r="J287" s="232"/>
      <c r="K287" s="232"/>
      <c r="L287" s="232"/>
      <c r="M287" s="232"/>
    </row>
    <row r="288" spans="1:13" ht="18" customHeight="1" x14ac:dyDescent="0.3">
      <c r="A288" s="132">
        <f>'Daily Tracking'!A288</f>
        <v>46560</v>
      </c>
      <c r="B288" s="230" t="str">
        <f ca="1">IF(A288&gt;TODAY(),"",IF('Daily Tracking'!B288&lt;&gt;"",1,0))</f>
        <v/>
      </c>
      <c r="C288" s="230" t="str">
        <f ca="1">IF(A288&gt;TODAY(),"",IF('Daily Tracking'!E288&lt;&gt;"",1,0))</f>
        <v/>
      </c>
      <c r="D288" s="230" t="str">
        <f ca="1">IF(A288&gt;TODAY(),"",IF(N('Daily Tracking'!G288)&gt;=Settings!$B$13,1,0))</f>
        <v/>
      </c>
      <c r="E288" s="230" t="str">
        <f ca="1">IF(A288&gt;TODAY(),"",IF(N('Daily Tracking'!H288)&gt;=Settings!$B$14,1,0))</f>
        <v/>
      </c>
      <c r="F288" s="230" t="str">
        <f ca="1">IF(A288&gt;TODAY(),"",IF(OR(N('Daily Tracking'!I288)&gt;0,'Daily Tracking'!J288="Yes"),1,0))</f>
        <v/>
      </c>
      <c r="G288" s="230" t="str">
        <f ca="1">IF(A288&gt;TODAY(),"",IF(N('Daily Tracking'!K288)&gt;=Settings!$B$15,1,0))</f>
        <v/>
      </c>
      <c r="H288" s="231" t="str">
        <f ca="1">IF(B288="","",AVERAGE(B288:G288))</f>
        <v/>
      </c>
      <c r="I288" s="136" t="str">
        <f ca="1">IF(B288="","",IF(B288=1,N(I287)+1,0))</f>
        <v/>
      </c>
      <c r="J288" s="232"/>
      <c r="K288" s="232"/>
      <c r="L288" s="232"/>
      <c r="M288" s="232"/>
    </row>
    <row r="289" spans="1:13" ht="18" customHeight="1" x14ac:dyDescent="0.3">
      <c r="A289" s="132">
        <f>'Daily Tracking'!A289</f>
        <v>46561</v>
      </c>
      <c r="B289" s="230" t="str">
        <f ca="1">IF(A289&gt;TODAY(),"",IF('Daily Tracking'!B289&lt;&gt;"",1,0))</f>
        <v/>
      </c>
      <c r="C289" s="230" t="str">
        <f ca="1">IF(A289&gt;TODAY(),"",IF('Daily Tracking'!E289&lt;&gt;"",1,0))</f>
        <v/>
      </c>
      <c r="D289" s="230" t="str">
        <f ca="1">IF(A289&gt;TODAY(),"",IF(N('Daily Tracking'!G289)&gt;=Settings!$B$13,1,0))</f>
        <v/>
      </c>
      <c r="E289" s="230" t="str">
        <f ca="1">IF(A289&gt;TODAY(),"",IF(N('Daily Tracking'!H289)&gt;=Settings!$B$14,1,0))</f>
        <v/>
      </c>
      <c r="F289" s="230" t="str">
        <f ca="1">IF(A289&gt;TODAY(),"",IF(OR(N('Daily Tracking'!I289)&gt;0,'Daily Tracking'!J289="Yes"),1,0))</f>
        <v/>
      </c>
      <c r="G289" s="230" t="str">
        <f ca="1">IF(A289&gt;TODAY(),"",IF(N('Daily Tracking'!K289)&gt;=Settings!$B$15,1,0))</f>
        <v/>
      </c>
      <c r="H289" s="231" t="str">
        <f ca="1">IF(B289="","",AVERAGE(B289:G289))</f>
        <v/>
      </c>
      <c r="I289" s="136" t="str">
        <f ca="1">IF(B289="","",IF(B289=1,N(I288)+1,0))</f>
        <v/>
      </c>
      <c r="J289" s="232"/>
      <c r="K289" s="232"/>
      <c r="L289" s="232"/>
      <c r="M289" s="232"/>
    </row>
    <row r="290" spans="1:13" ht="18" customHeight="1" x14ac:dyDescent="0.3">
      <c r="A290" s="132">
        <f>'Daily Tracking'!A290</f>
        <v>46562</v>
      </c>
      <c r="B290" s="230" t="str">
        <f ca="1">IF(A290&gt;TODAY(),"",IF('Daily Tracking'!B290&lt;&gt;"",1,0))</f>
        <v/>
      </c>
      <c r="C290" s="230" t="str">
        <f ca="1">IF(A290&gt;TODAY(),"",IF('Daily Tracking'!E290&lt;&gt;"",1,0))</f>
        <v/>
      </c>
      <c r="D290" s="230" t="str">
        <f ca="1">IF(A290&gt;TODAY(),"",IF(N('Daily Tracking'!G290)&gt;=Settings!$B$13,1,0))</f>
        <v/>
      </c>
      <c r="E290" s="230" t="str">
        <f ca="1">IF(A290&gt;TODAY(),"",IF(N('Daily Tracking'!H290)&gt;=Settings!$B$14,1,0))</f>
        <v/>
      </c>
      <c r="F290" s="230" t="str">
        <f ca="1">IF(A290&gt;TODAY(),"",IF(OR(N('Daily Tracking'!I290)&gt;0,'Daily Tracking'!J290="Yes"),1,0))</f>
        <v/>
      </c>
      <c r="G290" s="230" t="str">
        <f ca="1">IF(A290&gt;TODAY(),"",IF(N('Daily Tracking'!K290)&gt;=Settings!$B$15,1,0))</f>
        <v/>
      </c>
      <c r="H290" s="231" t="str">
        <f ca="1">IF(B290="","",AVERAGE(B290:G290))</f>
        <v/>
      </c>
      <c r="I290" s="136" t="str">
        <f ca="1">IF(B290="","",IF(B290=1,N(I289)+1,0))</f>
        <v/>
      </c>
      <c r="J290" s="232"/>
      <c r="K290" s="232"/>
      <c r="L290" s="232"/>
      <c r="M290" s="232"/>
    </row>
    <row r="291" spans="1:13" ht="18" customHeight="1" x14ac:dyDescent="0.3">
      <c r="A291" s="132">
        <f>'Daily Tracking'!A291</f>
        <v>46563</v>
      </c>
      <c r="B291" s="230" t="str">
        <f ca="1">IF(A291&gt;TODAY(),"",IF('Daily Tracking'!B291&lt;&gt;"",1,0))</f>
        <v/>
      </c>
      <c r="C291" s="230" t="str">
        <f ca="1">IF(A291&gt;TODAY(),"",IF('Daily Tracking'!E291&lt;&gt;"",1,0))</f>
        <v/>
      </c>
      <c r="D291" s="230" t="str">
        <f ca="1">IF(A291&gt;TODAY(),"",IF(N('Daily Tracking'!G291)&gt;=Settings!$B$13,1,0))</f>
        <v/>
      </c>
      <c r="E291" s="230" t="str">
        <f ca="1">IF(A291&gt;TODAY(),"",IF(N('Daily Tracking'!H291)&gt;=Settings!$B$14,1,0))</f>
        <v/>
      </c>
      <c r="F291" s="230" t="str">
        <f ca="1">IF(A291&gt;TODAY(),"",IF(OR(N('Daily Tracking'!I291)&gt;0,'Daily Tracking'!J291="Yes"),1,0))</f>
        <v/>
      </c>
      <c r="G291" s="230" t="str">
        <f ca="1">IF(A291&gt;TODAY(),"",IF(N('Daily Tracking'!K291)&gt;=Settings!$B$15,1,0))</f>
        <v/>
      </c>
      <c r="H291" s="231" t="str">
        <f ca="1">IF(B291="","",AVERAGE(B291:G291))</f>
        <v/>
      </c>
      <c r="I291" s="136" t="str">
        <f ca="1">IF(B291="","",IF(B291=1,N(I290)+1,0))</f>
        <v/>
      </c>
      <c r="J291" s="232"/>
      <c r="K291" s="232"/>
      <c r="L291" s="232"/>
      <c r="M291" s="232"/>
    </row>
    <row r="292" spans="1:13" ht="18" customHeight="1" x14ac:dyDescent="0.3">
      <c r="A292" s="132">
        <f>'Daily Tracking'!A292</f>
        <v>46564</v>
      </c>
      <c r="B292" s="230" t="str">
        <f ca="1">IF(A292&gt;TODAY(),"",IF('Daily Tracking'!B292&lt;&gt;"",1,0))</f>
        <v/>
      </c>
      <c r="C292" s="230" t="str">
        <f ca="1">IF(A292&gt;TODAY(),"",IF('Daily Tracking'!E292&lt;&gt;"",1,0))</f>
        <v/>
      </c>
      <c r="D292" s="230" t="str">
        <f ca="1">IF(A292&gt;TODAY(),"",IF(N('Daily Tracking'!G292)&gt;=Settings!$B$13,1,0))</f>
        <v/>
      </c>
      <c r="E292" s="230" t="str">
        <f ca="1">IF(A292&gt;TODAY(),"",IF(N('Daily Tracking'!H292)&gt;=Settings!$B$14,1,0))</f>
        <v/>
      </c>
      <c r="F292" s="230" t="str">
        <f ca="1">IF(A292&gt;TODAY(),"",IF(OR(N('Daily Tracking'!I292)&gt;0,'Daily Tracking'!J292="Yes"),1,0))</f>
        <v/>
      </c>
      <c r="G292" s="230" t="str">
        <f ca="1">IF(A292&gt;TODAY(),"",IF(N('Daily Tracking'!K292)&gt;=Settings!$B$15,1,0))</f>
        <v/>
      </c>
      <c r="H292" s="231" t="str">
        <f ca="1">IF(B292="","",AVERAGE(B292:G292))</f>
        <v/>
      </c>
      <c r="I292" s="136" t="str">
        <f ca="1">IF(B292="","",IF(B292=1,N(I291)+1,0))</f>
        <v/>
      </c>
      <c r="J292" s="232"/>
      <c r="K292" s="232"/>
      <c r="L292" s="232"/>
      <c r="M292" s="232"/>
    </row>
    <row r="293" spans="1:13" ht="18" customHeight="1" x14ac:dyDescent="0.3">
      <c r="A293" s="132">
        <f>'Daily Tracking'!A293</f>
        <v>46565</v>
      </c>
      <c r="B293" s="230" t="str">
        <f ca="1">IF(A293&gt;TODAY(),"",IF('Daily Tracking'!B293&lt;&gt;"",1,0))</f>
        <v/>
      </c>
      <c r="C293" s="230" t="str">
        <f ca="1">IF(A293&gt;TODAY(),"",IF('Daily Tracking'!E293&lt;&gt;"",1,0))</f>
        <v/>
      </c>
      <c r="D293" s="230" t="str">
        <f ca="1">IF(A293&gt;TODAY(),"",IF(N('Daily Tracking'!G293)&gt;=Settings!$B$13,1,0))</f>
        <v/>
      </c>
      <c r="E293" s="230" t="str">
        <f ca="1">IF(A293&gt;TODAY(),"",IF(N('Daily Tracking'!H293)&gt;=Settings!$B$14,1,0))</f>
        <v/>
      </c>
      <c r="F293" s="230" t="str">
        <f ca="1">IF(A293&gt;TODAY(),"",IF(OR(N('Daily Tracking'!I293)&gt;0,'Daily Tracking'!J293="Yes"),1,0))</f>
        <v/>
      </c>
      <c r="G293" s="230" t="str">
        <f ca="1">IF(A293&gt;TODAY(),"",IF(N('Daily Tracking'!K293)&gt;=Settings!$B$15,1,0))</f>
        <v/>
      </c>
      <c r="H293" s="231" t="str">
        <f ca="1">IF(B293="","",AVERAGE(B293:G293))</f>
        <v/>
      </c>
      <c r="I293" s="136" t="str">
        <f ca="1">IF(B293="","",IF(B293=1,N(I292)+1,0))</f>
        <v/>
      </c>
      <c r="J293" s="232"/>
      <c r="K293" s="232"/>
      <c r="L293" s="232"/>
      <c r="M293" s="232"/>
    </row>
    <row r="294" spans="1:13" ht="18" customHeight="1" x14ac:dyDescent="0.3">
      <c r="A294" s="132">
        <f>'Daily Tracking'!A294</f>
        <v>46566</v>
      </c>
      <c r="B294" s="230" t="str">
        <f ca="1">IF(A294&gt;TODAY(),"",IF('Daily Tracking'!B294&lt;&gt;"",1,0))</f>
        <v/>
      </c>
      <c r="C294" s="230" t="str">
        <f ca="1">IF(A294&gt;TODAY(),"",IF('Daily Tracking'!E294&lt;&gt;"",1,0))</f>
        <v/>
      </c>
      <c r="D294" s="230" t="str">
        <f ca="1">IF(A294&gt;TODAY(),"",IF(N('Daily Tracking'!G294)&gt;=Settings!$B$13,1,0))</f>
        <v/>
      </c>
      <c r="E294" s="230" t="str">
        <f ca="1">IF(A294&gt;TODAY(),"",IF(N('Daily Tracking'!H294)&gt;=Settings!$B$14,1,0))</f>
        <v/>
      </c>
      <c r="F294" s="230" t="str">
        <f ca="1">IF(A294&gt;TODAY(),"",IF(OR(N('Daily Tracking'!I294)&gt;0,'Daily Tracking'!J294="Yes"),1,0))</f>
        <v/>
      </c>
      <c r="G294" s="230" t="str">
        <f ca="1">IF(A294&gt;TODAY(),"",IF(N('Daily Tracking'!K294)&gt;=Settings!$B$15,1,0))</f>
        <v/>
      </c>
      <c r="H294" s="231" t="str">
        <f ca="1">IF(B294="","",AVERAGE(B294:G294))</f>
        <v/>
      </c>
      <c r="I294" s="136" t="str">
        <f ca="1">IF(B294="","",IF(B294=1,N(I293)+1,0))</f>
        <v/>
      </c>
      <c r="J294" s="232"/>
      <c r="K294" s="232"/>
      <c r="L294" s="232"/>
      <c r="M294" s="232"/>
    </row>
    <row r="295" spans="1:13" ht="18" customHeight="1" x14ac:dyDescent="0.3">
      <c r="A295" s="132">
        <f>'Daily Tracking'!A295</f>
        <v>46567</v>
      </c>
      <c r="B295" s="230" t="str">
        <f ca="1">IF(A295&gt;TODAY(),"",IF('Daily Tracking'!B295&lt;&gt;"",1,0))</f>
        <v/>
      </c>
      <c r="C295" s="230" t="str">
        <f ca="1">IF(A295&gt;TODAY(),"",IF('Daily Tracking'!E295&lt;&gt;"",1,0))</f>
        <v/>
      </c>
      <c r="D295" s="230" t="str">
        <f ca="1">IF(A295&gt;TODAY(),"",IF(N('Daily Tracking'!G295)&gt;=Settings!$B$13,1,0))</f>
        <v/>
      </c>
      <c r="E295" s="230" t="str">
        <f ca="1">IF(A295&gt;TODAY(),"",IF(N('Daily Tracking'!H295)&gt;=Settings!$B$14,1,0))</f>
        <v/>
      </c>
      <c r="F295" s="230" t="str">
        <f ca="1">IF(A295&gt;TODAY(),"",IF(OR(N('Daily Tracking'!I295)&gt;0,'Daily Tracking'!J295="Yes"),1,0))</f>
        <v/>
      </c>
      <c r="G295" s="230" t="str">
        <f ca="1">IF(A295&gt;TODAY(),"",IF(N('Daily Tracking'!K295)&gt;=Settings!$B$15,1,0))</f>
        <v/>
      </c>
      <c r="H295" s="231" t="str">
        <f ca="1">IF(B295="","",AVERAGE(B295:G295))</f>
        <v/>
      </c>
      <c r="I295" s="136" t="str">
        <f ca="1">IF(B295="","",IF(B295=1,N(I294)+1,0))</f>
        <v/>
      </c>
      <c r="J295" s="232"/>
      <c r="K295" s="232"/>
      <c r="L295" s="232"/>
      <c r="M295" s="232"/>
    </row>
    <row r="296" spans="1:13" ht="18" customHeight="1" x14ac:dyDescent="0.3">
      <c r="A296" s="132">
        <f>'Daily Tracking'!A296</f>
        <v>46568</v>
      </c>
      <c r="B296" s="230" t="str">
        <f ca="1">IF(A296&gt;TODAY(),"",IF('Daily Tracking'!B296&lt;&gt;"",1,0))</f>
        <v/>
      </c>
      <c r="C296" s="230" t="str">
        <f ca="1">IF(A296&gt;TODAY(),"",IF('Daily Tracking'!E296&lt;&gt;"",1,0))</f>
        <v/>
      </c>
      <c r="D296" s="230" t="str">
        <f ca="1">IF(A296&gt;TODAY(),"",IF(N('Daily Tracking'!G296)&gt;=Settings!$B$13,1,0))</f>
        <v/>
      </c>
      <c r="E296" s="230" t="str">
        <f ca="1">IF(A296&gt;TODAY(),"",IF(N('Daily Tracking'!H296)&gt;=Settings!$B$14,1,0))</f>
        <v/>
      </c>
      <c r="F296" s="230" t="str">
        <f ca="1">IF(A296&gt;TODAY(),"",IF(OR(N('Daily Tracking'!I296)&gt;0,'Daily Tracking'!J296="Yes"),1,0))</f>
        <v/>
      </c>
      <c r="G296" s="230" t="str">
        <f ca="1">IF(A296&gt;TODAY(),"",IF(N('Daily Tracking'!K296)&gt;=Settings!$B$15,1,0))</f>
        <v/>
      </c>
      <c r="H296" s="231" t="str">
        <f ca="1">IF(B296="","",AVERAGE(B296:G296))</f>
        <v/>
      </c>
      <c r="I296" s="136" t="str">
        <f ca="1">IF(B296="","",IF(B296=1,N(I295)+1,0))</f>
        <v/>
      </c>
      <c r="J296" s="232"/>
      <c r="K296" s="232"/>
      <c r="L296" s="232"/>
      <c r="M296" s="232"/>
    </row>
    <row r="297" spans="1:13" ht="18" customHeight="1" x14ac:dyDescent="0.3">
      <c r="A297" s="132">
        <f>'Daily Tracking'!A297</f>
        <v>46569</v>
      </c>
      <c r="B297" s="230" t="str">
        <f ca="1">IF(A297&gt;TODAY(),"",IF('Daily Tracking'!B297&lt;&gt;"",1,0))</f>
        <v/>
      </c>
      <c r="C297" s="230" t="str">
        <f ca="1">IF(A297&gt;TODAY(),"",IF('Daily Tracking'!E297&lt;&gt;"",1,0))</f>
        <v/>
      </c>
      <c r="D297" s="230" t="str">
        <f ca="1">IF(A297&gt;TODAY(),"",IF(N('Daily Tracking'!G297)&gt;=Settings!$B$13,1,0))</f>
        <v/>
      </c>
      <c r="E297" s="230" t="str">
        <f ca="1">IF(A297&gt;TODAY(),"",IF(N('Daily Tracking'!H297)&gt;=Settings!$B$14,1,0))</f>
        <v/>
      </c>
      <c r="F297" s="230" t="str">
        <f ca="1">IF(A297&gt;TODAY(),"",IF(OR(N('Daily Tracking'!I297)&gt;0,'Daily Tracking'!J297="Yes"),1,0))</f>
        <v/>
      </c>
      <c r="G297" s="230" t="str">
        <f ca="1">IF(A297&gt;TODAY(),"",IF(N('Daily Tracking'!K297)&gt;=Settings!$B$15,1,0))</f>
        <v/>
      </c>
      <c r="H297" s="231" t="str">
        <f ca="1">IF(B297="","",AVERAGE(B297:G297))</f>
        <v/>
      </c>
      <c r="I297" s="136" t="str">
        <f ca="1">IF(B297="","",IF(B297=1,N(I296)+1,0))</f>
        <v/>
      </c>
      <c r="J297" s="232"/>
      <c r="K297" s="232"/>
      <c r="L297" s="232"/>
      <c r="M297" s="232"/>
    </row>
    <row r="298" spans="1:13" ht="18" customHeight="1" x14ac:dyDescent="0.3">
      <c r="A298" s="132">
        <f>'Daily Tracking'!A298</f>
        <v>46570</v>
      </c>
      <c r="B298" s="230" t="str">
        <f ca="1">IF(A298&gt;TODAY(),"",IF('Daily Tracking'!B298&lt;&gt;"",1,0))</f>
        <v/>
      </c>
      <c r="C298" s="230" t="str">
        <f ca="1">IF(A298&gt;TODAY(),"",IF('Daily Tracking'!E298&lt;&gt;"",1,0))</f>
        <v/>
      </c>
      <c r="D298" s="230" t="str">
        <f ca="1">IF(A298&gt;TODAY(),"",IF(N('Daily Tracking'!G298)&gt;=Settings!$B$13,1,0))</f>
        <v/>
      </c>
      <c r="E298" s="230" t="str">
        <f ca="1">IF(A298&gt;TODAY(),"",IF(N('Daily Tracking'!H298)&gt;=Settings!$B$14,1,0))</f>
        <v/>
      </c>
      <c r="F298" s="230" t="str">
        <f ca="1">IF(A298&gt;TODAY(),"",IF(OR(N('Daily Tracking'!I298)&gt;0,'Daily Tracking'!J298="Yes"),1,0))</f>
        <v/>
      </c>
      <c r="G298" s="230" t="str">
        <f ca="1">IF(A298&gt;TODAY(),"",IF(N('Daily Tracking'!K298)&gt;=Settings!$B$15,1,0))</f>
        <v/>
      </c>
      <c r="H298" s="231" t="str">
        <f ca="1">IF(B298="","",AVERAGE(B298:G298))</f>
        <v/>
      </c>
      <c r="I298" s="136" t="str">
        <f ca="1">IF(B298="","",IF(B298=1,N(I297)+1,0))</f>
        <v/>
      </c>
      <c r="J298" s="232"/>
      <c r="K298" s="232"/>
      <c r="L298" s="232"/>
      <c r="M298" s="232"/>
    </row>
    <row r="299" spans="1:13" ht="18" customHeight="1" x14ac:dyDescent="0.3">
      <c r="A299" s="132">
        <f>'Daily Tracking'!A299</f>
        <v>46571</v>
      </c>
      <c r="B299" s="230" t="str">
        <f ca="1">IF(A299&gt;TODAY(),"",IF('Daily Tracking'!B299&lt;&gt;"",1,0))</f>
        <v/>
      </c>
      <c r="C299" s="230" t="str">
        <f ca="1">IF(A299&gt;TODAY(),"",IF('Daily Tracking'!E299&lt;&gt;"",1,0))</f>
        <v/>
      </c>
      <c r="D299" s="230" t="str">
        <f ca="1">IF(A299&gt;TODAY(),"",IF(N('Daily Tracking'!G299)&gt;=Settings!$B$13,1,0))</f>
        <v/>
      </c>
      <c r="E299" s="230" t="str">
        <f ca="1">IF(A299&gt;TODAY(),"",IF(N('Daily Tracking'!H299)&gt;=Settings!$B$14,1,0))</f>
        <v/>
      </c>
      <c r="F299" s="230" t="str">
        <f ca="1">IF(A299&gt;TODAY(),"",IF(OR(N('Daily Tracking'!I299)&gt;0,'Daily Tracking'!J299="Yes"),1,0))</f>
        <v/>
      </c>
      <c r="G299" s="230" t="str">
        <f ca="1">IF(A299&gt;TODAY(),"",IF(N('Daily Tracking'!K299)&gt;=Settings!$B$15,1,0))</f>
        <v/>
      </c>
      <c r="H299" s="231" t="str">
        <f ca="1">IF(B299="","",AVERAGE(B299:G299))</f>
        <v/>
      </c>
      <c r="I299" s="136" t="str">
        <f ca="1">IF(B299="","",IF(B299=1,N(I298)+1,0))</f>
        <v/>
      </c>
      <c r="J299" s="232"/>
      <c r="K299" s="232"/>
      <c r="L299" s="232"/>
      <c r="M299" s="232"/>
    </row>
    <row r="300" spans="1:13" ht="18" customHeight="1" x14ac:dyDescent="0.3">
      <c r="A300" s="132">
        <f>'Daily Tracking'!A300</f>
        <v>46572</v>
      </c>
      <c r="B300" s="230" t="str">
        <f ca="1">IF(A300&gt;TODAY(),"",IF('Daily Tracking'!B300&lt;&gt;"",1,0))</f>
        <v/>
      </c>
      <c r="C300" s="230" t="str">
        <f ca="1">IF(A300&gt;TODAY(),"",IF('Daily Tracking'!E300&lt;&gt;"",1,0))</f>
        <v/>
      </c>
      <c r="D300" s="230" t="str">
        <f ca="1">IF(A300&gt;TODAY(),"",IF(N('Daily Tracking'!G300)&gt;=Settings!$B$13,1,0))</f>
        <v/>
      </c>
      <c r="E300" s="230" t="str">
        <f ca="1">IF(A300&gt;TODAY(),"",IF(N('Daily Tracking'!H300)&gt;=Settings!$B$14,1,0))</f>
        <v/>
      </c>
      <c r="F300" s="230" t="str">
        <f ca="1">IF(A300&gt;TODAY(),"",IF(OR(N('Daily Tracking'!I300)&gt;0,'Daily Tracking'!J300="Yes"),1,0))</f>
        <v/>
      </c>
      <c r="G300" s="230" t="str">
        <f ca="1">IF(A300&gt;TODAY(),"",IF(N('Daily Tracking'!K300)&gt;=Settings!$B$15,1,0))</f>
        <v/>
      </c>
      <c r="H300" s="231" t="str">
        <f ca="1">IF(B300="","",AVERAGE(B300:G300))</f>
        <v/>
      </c>
      <c r="I300" s="136" t="str">
        <f ca="1">IF(B300="","",IF(B300=1,N(I299)+1,0))</f>
        <v/>
      </c>
      <c r="J300" s="232"/>
      <c r="K300" s="232"/>
      <c r="L300" s="232"/>
      <c r="M300" s="232"/>
    </row>
    <row r="301" spans="1:13" ht="18" customHeight="1" x14ac:dyDescent="0.3">
      <c r="A301" s="132">
        <f>'Daily Tracking'!A301</f>
        <v>46573</v>
      </c>
      <c r="B301" s="230" t="str">
        <f ca="1">IF(A301&gt;TODAY(),"",IF('Daily Tracking'!B301&lt;&gt;"",1,0))</f>
        <v/>
      </c>
      <c r="C301" s="230" t="str">
        <f ca="1">IF(A301&gt;TODAY(),"",IF('Daily Tracking'!E301&lt;&gt;"",1,0))</f>
        <v/>
      </c>
      <c r="D301" s="230" t="str">
        <f ca="1">IF(A301&gt;TODAY(),"",IF(N('Daily Tracking'!G301)&gt;=Settings!$B$13,1,0))</f>
        <v/>
      </c>
      <c r="E301" s="230" t="str">
        <f ca="1">IF(A301&gt;TODAY(),"",IF(N('Daily Tracking'!H301)&gt;=Settings!$B$14,1,0))</f>
        <v/>
      </c>
      <c r="F301" s="230" t="str">
        <f ca="1">IF(A301&gt;TODAY(),"",IF(OR(N('Daily Tracking'!I301)&gt;0,'Daily Tracking'!J301="Yes"),1,0))</f>
        <v/>
      </c>
      <c r="G301" s="230" t="str">
        <f ca="1">IF(A301&gt;TODAY(),"",IF(N('Daily Tracking'!K301)&gt;=Settings!$B$15,1,0))</f>
        <v/>
      </c>
      <c r="H301" s="231" t="str">
        <f ca="1">IF(B301="","",AVERAGE(B301:G301))</f>
        <v/>
      </c>
      <c r="I301" s="136" t="str">
        <f ca="1">IF(B301="","",IF(B301=1,N(I300)+1,0))</f>
        <v/>
      </c>
      <c r="J301" s="232"/>
      <c r="K301" s="232"/>
      <c r="L301" s="232"/>
      <c r="M301" s="232"/>
    </row>
    <row r="302" spans="1:13" ht="18" customHeight="1" x14ac:dyDescent="0.3">
      <c r="A302" s="132">
        <f>'Daily Tracking'!A302</f>
        <v>46574</v>
      </c>
      <c r="B302" s="230" t="str">
        <f ca="1">IF(A302&gt;TODAY(),"",IF('Daily Tracking'!B302&lt;&gt;"",1,0))</f>
        <v/>
      </c>
      <c r="C302" s="230" t="str">
        <f ca="1">IF(A302&gt;TODAY(),"",IF('Daily Tracking'!E302&lt;&gt;"",1,0))</f>
        <v/>
      </c>
      <c r="D302" s="230" t="str">
        <f ca="1">IF(A302&gt;TODAY(),"",IF(N('Daily Tracking'!G302)&gt;=Settings!$B$13,1,0))</f>
        <v/>
      </c>
      <c r="E302" s="230" t="str">
        <f ca="1">IF(A302&gt;TODAY(),"",IF(N('Daily Tracking'!H302)&gt;=Settings!$B$14,1,0))</f>
        <v/>
      </c>
      <c r="F302" s="230" t="str">
        <f ca="1">IF(A302&gt;TODAY(),"",IF(OR(N('Daily Tracking'!I302)&gt;0,'Daily Tracking'!J302="Yes"),1,0))</f>
        <v/>
      </c>
      <c r="G302" s="230" t="str">
        <f ca="1">IF(A302&gt;TODAY(),"",IF(N('Daily Tracking'!K302)&gt;=Settings!$B$15,1,0))</f>
        <v/>
      </c>
      <c r="H302" s="231" t="str">
        <f ca="1">IF(B302="","",AVERAGE(B302:G302))</f>
        <v/>
      </c>
      <c r="I302" s="136" t="str">
        <f ca="1">IF(B302="","",IF(B302=1,N(I301)+1,0))</f>
        <v/>
      </c>
      <c r="J302" s="232"/>
      <c r="K302" s="232"/>
      <c r="L302" s="232"/>
      <c r="M302" s="232"/>
    </row>
    <row r="303" spans="1:13" ht="18" customHeight="1" x14ac:dyDescent="0.3">
      <c r="A303" s="132">
        <f>'Daily Tracking'!A303</f>
        <v>46575</v>
      </c>
      <c r="B303" s="230" t="str">
        <f ca="1">IF(A303&gt;TODAY(),"",IF('Daily Tracking'!B303&lt;&gt;"",1,0))</f>
        <v/>
      </c>
      <c r="C303" s="230" t="str">
        <f ca="1">IF(A303&gt;TODAY(),"",IF('Daily Tracking'!E303&lt;&gt;"",1,0))</f>
        <v/>
      </c>
      <c r="D303" s="230" t="str">
        <f ca="1">IF(A303&gt;TODAY(),"",IF(N('Daily Tracking'!G303)&gt;=Settings!$B$13,1,0))</f>
        <v/>
      </c>
      <c r="E303" s="230" t="str">
        <f ca="1">IF(A303&gt;TODAY(),"",IF(N('Daily Tracking'!H303)&gt;=Settings!$B$14,1,0))</f>
        <v/>
      </c>
      <c r="F303" s="230" t="str">
        <f ca="1">IF(A303&gt;TODAY(),"",IF(OR(N('Daily Tracking'!I303)&gt;0,'Daily Tracking'!J303="Yes"),1,0))</f>
        <v/>
      </c>
      <c r="G303" s="230" t="str">
        <f ca="1">IF(A303&gt;TODAY(),"",IF(N('Daily Tracking'!K303)&gt;=Settings!$B$15,1,0))</f>
        <v/>
      </c>
      <c r="H303" s="231" t="str">
        <f ca="1">IF(B303="","",AVERAGE(B303:G303))</f>
        <v/>
      </c>
      <c r="I303" s="136" t="str">
        <f ca="1">IF(B303="","",IF(B303=1,N(I302)+1,0))</f>
        <v/>
      </c>
      <c r="J303" s="232"/>
      <c r="K303" s="232"/>
      <c r="L303" s="232"/>
      <c r="M303" s="232"/>
    </row>
    <row r="304" spans="1:13" ht="18" customHeight="1" x14ac:dyDescent="0.3">
      <c r="A304" s="132">
        <f>'Daily Tracking'!A304</f>
        <v>46576</v>
      </c>
      <c r="B304" s="230" t="str">
        <f ca="1">IF(A304&gt;TODAY(),"",IF('Daily Tracking'!B304&lt;&gt;"",1,0))</f>
        <v/>
      </c>
      <c r="C304" s="230" t="str">
        <f ca="1">IF(A304&gt;TODAY(),"",IF('Daily Tracking'!E304&lt;&gt;"",1,0))</f>
        <v/>
      </c>
      <c r="D304" s="230" t="str">
        <f ca="1">IF(A304&gt;TODAY(),"",IF(N('Daily Tracking'!G304)&gt;=Settings!$B$13,1,0))</f>
        <v/>
      </c>
      <c r="E304" s="230" t="str">
        <f ca="1">IF(A304&gt;TODAY(),"",IF(N('Daily Tracking'!H304)&gt;=Settings!$B$14,1,0))</f>
        <v/>
      </c>
      <c r="F304" s="230" t="str">
        <f ca="1">IF(A304&gt;TODAY(),"",IF(OR(N('Daily Tracking'!I304)&gt;0,'Daily Tracking'!J304="Yes"),1,0))</f>
        <v/>
      </c>
      <c r="G304" s="230" t="str">
        <f ca="1">IF(A304&gt;TODAY(),"",IF(N('Daily Tracking'!K304)&gt;=Settings!$B$15,1,0))</f>
        <v/>
      </c>
      <c r="H304" s="231" t="str">
        <f ca="1">IF(B304="","",AVERAGE(B304:G304))</f>
        <v/>
      </c>
      <c r="I304" s="136" t="str">
        <f ca="1">IF(B304="","",IF(B304=1,N(I303)+1,0))</f>
        <v/>
      </c>
      <c r="J304" s="232"/>
      <c r="K304" s="232"/>
      <c r="L304" s="232"/>
      <c r="M304" s="232"/>
    </row>
    <row r="305" spans="1:13" ht="18" customHeight="1" x14ac:dyDescent="0.3">
      <c r="A305" s="132">
        <f>'Daily Tracking'!A305</f>
        <v>46577</v>
      </c>
      <c r="B305" s="230" t="str">
        <f ca="1">IF(A305&gt;TODAY(),"",IF('Daily Tracking'!B305&lt;&gt;"",1,0))</f>
        <v/>
      </c>
      <c r="C305" s="230" t="str">
        <f ca="1">IF(A305&gt;TODAY(),"",IF('Daily Tracking'!E305&lt;&gt;"",1,0))</f>
        <v/>
      </c>
      <c r="D305" s="230" t="str">
        <f ca="1">IF(A305&gt;TODAY(),"",IF(N('Daily Tracking'!G305)&gt;=Settings!$B$13,1,0))</f>
        <v/>
      </c>
      <c r="E305" s="230" t="str">
        <f ca="1">IF(A305&gt;TODAY(),"",IF(N('Daily Tracking'!H305)&gt;=Settings!$B$14,1,0))</f>
        <v/>
      </c>
      <c r="F305" s="230" t="str">
        <f ca="1">IF(A305&gt;TODAY(),"",IF(OR(N('Daily Tracking'!I305)&gt;0,'Daily Tracking'!J305="Yes"),1,0))</f>
        <v/>
      </c>
      <c r="G305" s="230" t="str">
        <f ca="1">IF(A305&gt;TODAY(),"",IF(N('Daily Tracking'!K305)&gt;=Settings!$B$15,1,0))</f>
        <v/>
      </c>
      <c r="H305" s="231" t="str">
        <f ca="1">IF(B305="","",AVERAGE(B305:G305))</f>
        <v/>
      </c>
      <c r="I305" s="136" t="str">
        <f ca="1">IF(B305="","",IF(B305=1,N(I304)+1,0))</f>
        <v/>
      </c>
      <c r="J305" s="232"/>
      <c r="K305" s="232"/>
      <c r="L305" s="232"/>
      <c r="M305" s="232"/>
    </row>
    <row r="306" spans="1:13" ht="18" customHeight="1" x14ac:dyDescent="0.3">
      <c r="A306" s="132">
        <f>'Daily Tracking'!A306</f>
        <v>46578</v>
      </c>
      <c r="B306" s="230" t="str">
        <f ca="1">IF(A306&gt;TODAY(),"",IF('Daily Tracking'!B306&lt;&gt;"",1,0))</f>
        <v/>
      </c>
      <c r="C306" s="230" t="str">
        <f ca="1">IF(A306&gt;TODAY(),"",IF('Daily Tracking'!E306&lt;&gt;"",1,0))</f>
        <v/>
      </c>
      <c r="D306" s="230" t="str">
        <f ca="1">IF(A306&gt;TODAY(),"",IF(N('Daily Tracking'!G306)&gt;=Settings!$B$13,1,0))</f>
        <v/>
      </c>
      <c r="E306" s="230" t="str">
        <f ca="1">IF(A306&gt;TODAY(),"",IF(N('Daily Tracking'!H306)&gt;=Settings!$B$14,1,0))</f>
        <v/>
      </c>
      <c r="F306" s="230" t="str">
        <f ca="1">IF(A306&gt;TODAY(),"",IF(OR(N('Daily Tracking'!I306)&gt;0,'Daily Tracking'!J306="Yes"),1,0))</f>
        <v/>
      </c>
      <c r="G306" s="230" t="str">
        <f ca="1">IF(A306&gt;TODAY(),"",IF(N('Daily Tracking'!K306)&gt;=Settings!$B$15,1,0))</f>
        <v/>
      </c>
      <c r="H306" s="231" t="str">
        <f ca="1">IF(B306="","",AVERAGE(B306:G306))</f>
        <v/>
      </c>
      <c r="I306" s="136" t="str">
        <f ca="1">IF(B306="","",IF(B306=1,N(I305)+1,0))</f>
        <v/>
      </c>
      <c r="J306" s="232"/>
      <c r="K306" s="232"/>
      <c r="L306" s="232"/>
      <c r="M306" s="232"/>
    </row>
    <row r="307" spans="1:13" ht="18" customHeight="1" x14ac:dyDescent="0.3">
      <c r="A307" s="132">
        <f>'Daily Tracking'!A307</f>
        <v>46579</v>
      </c>
      <c r="B307" s="230" t="str">
        <f ca="1">IF(A307&gt;TODAY(),"",IF('Daily Tracking'!B307&lt;&gt;"",1,0))</f>
        <v/>
      </c>
      <c r="C307" s="230" t="str">
        <f ca="1">IF(A307&gt;TODAY(),"",IF('Daily Tracking'!E307&lt;&gt;"",1,0))</f>
        <v/>
      </c>
      <c r="D307" s="230" t="str">
        <f ca="1">IF(A307&gt;TODAY(),"",IF(N('Daily Tracking'!G307)&gt;=Settings!$B$13,1,0))</f>
        <v/>
      </c>
      <c r="E307" s="230" t="str">
        <f ca="1">IF(A307&gt;TODAY(),"",IF(N('Daily Tracking'!H307)&gt;=Settings!$B$14,1,0))</f>
        <v/>
      </c>
      <c r="F307" s="230" t="str">
        <f ca="1">IF(A307&gt;TODAY(),"",IF(OR(N('Daily Tracking'!I307)&gt;0,'Daily Tracking'!J307="Yes"),1,0))</f>
        <v/>
      </c>
      <c r="G307" s="230" t="str">
        <f ca="1">IF(A307&gt;TODAY(),"",IF(N('Daily Tracking'!K307)&gt;=Settings!$B$15,1,0))</f>
        <v/>
      </c>
      <c r="H307" s="231" t="str">
        <f ca="1">IF(B307="","",AVERAGE(B307:G307))</f>
        <v/>
      </c>
      <c r="I307" s="136" t="str">
        <f ca="1">IF(B307="","",IF(B307=1,N(I306)+1,0))</f>
        <v/>
      </c>
      <c r="J307" s="232"/>
      <c r="K307" s="232"/>
      <c r="L307" s="232"/>
      <c r="M307" s="232"/>
    </row>
    <row r="308" spans="1:13" ht="18" customHeight="1" x14ac:dyDescent="0.3">
      <c r="A308" s="132">
        <f>'Daily Tracking'!A308</f>
        <v>46580</v>
      </c>
      <c r="B308" s="230" t="str">
        <f ca="1">IF(A308&gt;TODAY(),"",IF('Daily Tracking'!B308&lt;&gt;"",1,0))</f>
        <v/>
      </c>
      <c r="C308" s="230" t="str">
        <f ca="1">IF(A308&gt;TODAY(),"",IF('Daily Tracking'!E308&lt;&gt;"",1,0))</f>
        <v/>
      </c>
      <c r="D308" s="230" t="str">
        <f ca="1">IF(A308&gt;TODAY(),"",IF(N('Daily Tracking'!G308)&gt;=Settings!$B$13,1,0))</f>
        <v/>
      </c>
      <c r="E308" s="230" t="str">
        <f ca="1">IF(A308&gt;TODAY(),"",IF(N('Daily Tracking'!H308)&gt;=Settings!$B$14,1,0))</f>
        <v/>
      </c>
      <c r="F308" s="230" t="str">
        <f ca="1">IF(A308&gt;TODAY(),"",IF(OR(N('Daily Tracking'!I308)&gt;0,'Daily Tracking'!J308="Yes"),1,0))</f>
        <v/>
      </c>
      <c r="G308" s="230" t="str">
        <f ca="1">IF(A308&gt;TODAY(),"",IF(N('Daily Tracking'!K308)&gt;=Settings!$B$15,1,0))</f>
        <v/>
      </c>
      <c r="H308" s="231" t="str">
        <f ca="1">IF(B308="","",AVERAGE(B308:G308))</f>
        <v/>
      </c>
      <c r="I308" s="136" t="str">
        <f ca="1">IF(B308="","",IF(B308=1,N(I307)+1,0))</f>
        <v/>
      </c>
      <c r="J308" s="232"/>
      <c r="K308" s="232"/>
      <c r="L308" s="232"/>
      <c r="M308" s="232"/>
    </row>
    <row r="309" spans="1:13" ht="18" customHeight="1" x14ac:dyDescent="0.3">
      <c r="A309" s="132">
        <f>'Daily Tracking'!A309</f>
        <v>46581</v>
      </c>
      <c r="B309" s="230" t="str">
        <f ca="1">IF(A309&gt;TODAY(),"",IF('Daily Tracking'!B309&lt;&gt;"",1,0))</f>
        <v/>
      </c>
      <c r="C309" s="230" t="str">
        <f ca="1">IF(A309&gt;TODAY(),"",IF('Daily Tracking'!E309&lt;&gt;"",1,0))</f>
        <v/>
      </c>
      <c r="D309" s="230" t="str">
        <f ca="1">IF(A309&gt;TODAY(),"",IF(N('Daily Tracking'!G309)&gt;=Settings!$B$13,1,0))</f>
        <v/>
      </c>
      <c r="E309" s="230" t="str">
        <f ca="1">IF(A309&gt;TODAY(),"",IF(N('Daily Tracking'!H309)&gt;=Settings!$B$14,1,0))</f>
        <v/>
      </c>
      <c r="F309" s="230" t="str">
        <f ca="1">IF(A309&gt;TODAY(),"",IF(OR(N('Daily Tracking'!I309)&gt;0,'Daily Tracking'!J309="Yes"),1,0))</f>
        <v/>
      </c>
      <c r="G309" s="230" t="str">
        <f ca="1">IF(A309&gt;TODAY(),"",IF(N('Daily Tracking'!K309)&gt;=Settings!$B$15,1,0))</f>
        <v/>
      </c>
      <c r="H309" s="231" t="str">
        <f ca="1">IF(B309="","",AVERAGE(B309:G309))</f>
        <v/>
      </c>
      <c r="I309" s="136" t="str">
        <f ca="1">IF(B309="","",IF(B309=1,N(I308)+1,0))</f>
        <v/>
      </c>
      <c r="J309" s="232"/>
      <c r="K309" s="232"/>
      <c r="L309" s="232"/>
      <c r="M309" s="232"/>
    </row>
    <row r="310" spans="1:13" ht="18" customHeight="1" x14ac:dyDescent="0.3">
      <c r="A310" s="132">
        <f>'Daily Tracking'!A310</f>
        <v>46582</v>
      </c>
      <c r="B310" s="230" t="str">
        <f ca="1">IF(A310&gt;TODAY(),"",IF('Daily Tracking'!B310&lt;&gt;"",1,0))</f>
        <v/>
      </c>
      <c r="C310" s="230" t="str">
        <f ca="1">IF(A310&gt;TODAY(),"",IF('Daily Tracking'!E310&lt;&gt;"",1,0))</f>
        <v/>
      </c>
      <c r="D310" s="230" t="str">
        <f ca="1">IF(A310&gt;TODAY(),"",IF(N('Daily Tracking'!G310)&gt;=Settings!$B$13,1,0))</f>
        <v/>
      </c>
      <c r="E310" s="230" t="str">
        <f ca="1">IF(A310&gt;TODAY(),"",IF(N('Daily Tracking'!H310)&gt;=Settings!$B$14,1,0))</f>
        <v/>
      </c>
      <c r="F310" s="230" t="str">
        <f ca="1">IF(A310&gt;TODAY(),"",IF(OR(N('Daily Tracking'!I310)&gt;0,'Daily Tracking'!J310="Yes"),1,0))</f>
        <v/>
      </c>
      <c r="G310" s="230" t="str">
        <f ca="1">IF(A310&gt;TODAY(),"",IF(N('Daily Tracking'!K310)&gt;=Settings!$B$15,1,0))</f>
        <v/>
      </c>
      <c r="H310" s="231" t="str">
        <f ca="1">IF(B310="","",AVERAGE(B310:G310))</f>
        <v/>
      </c>
      <c r="I310" s="136" t="str">
        <f ca="1">IF(B310="","",IF(B310=1,N(I309)+1,0))</f>
        <v/>
      </c>
      <c r="J310" s="232"/>
      <c r="K310" s="232"/>
      <c r="L310" s="232"/>
      <c r="M310" s="232"/>
    </row>
    <row r="311" spans="1:13" ht="18" customHeight="1" x14ac:dyDescent="0.3">
      <c r="A311" s="132">
        <f>'Daily Tracking'!A311</f>
        <v>46583</v>
      </c>
      <c r="B311" s="230" t="str">
        <f ca="1">IF(A311&gt;TODAY(),"",IF('Daily Tracking'!B311&lt;&gt;"",1,0))</f>
        <v/>
      </c>
      <c r="C311" s="230" t="str">
        <f ca="1">IF(A311&gt;TODAY(),"",IF('Daily Tracking'!E311&lt;&gt;"",1,0))</f>
        <v/>
      </c>
      <c r="D311" s="230" t="str">
        <f ca="1">IF(A311&gt;TODAY(),"",IF(N('Daily Tracking'!G311)&gt;=Settings!$B$13,1,0))</f>
        <v/>
      </c>
      <c r="E311" s="230" t="str">
        <f ca="1">IF(A311&gt;TODAY(),"",IF(N('Daily Tracking'!H311)&gt;=Settings!$B$14,1,0))</f>
        <v/>
      </c>
      <c r="F311" s="230" t="str">
        <f ca="1">IF(A311&gt;TODAY(),"",IF(OR(N('Daily Tracking'!I311)&gt;0,'Daily Tracking'!J311="Yes"),1,0))</f>
        <v/>
      </c>
      <c r="G311" s="230" t="str">
        <f ca="1">IF(A311&gt;TODAY(),"",IF(N('Daily Tracking'!K311)&gt;=Settings!$B$15,1,0))</f>
        <v/>
      </c>
      <c r="H311" s="231" t="str">
        <f ca="1">IF(B311="","",AVERAGE(B311:G311))</f>
        <v/>
      </c>
      <c r="I311" s="136" t="str">
        <f ca="1">IF(B311="","",IF(B311=1,N(I310)+1,0))</f>
        <v/>
      </c>
      <c r="J311" s="232"/>
      <c r="K311" s="232"/>
      <c r="L311" s="232"/>
      <c r="M311" s="232"/>
    </row>
    <row r="312" spans="1:13" ht="18" customHeight="1" x14ac:dyDescent="0.3">
      <c r="A312" s="132">
        <f>'Daily Tracking'!A312</f>
        <v>46584</v>
      </c>
      <c r="B312" s="230" t="str">
        <f ca="1">IF(A312&gt;TODAY(),"",IF('Daily Tracking'!B312&lt;&gt;"",1,0))</f>
        <v/>
      </c>
      <c r="C312" s="230" t="str">
        <f ca="1">IF(A312&gt;TODAY(),"",IF('Daily Tracking'!E312&lt;&gt;"",1,0))</f>
        <v/>
      </c>
      <c r="D312" s="230" t="str">
        <f ca="1">IF(A312&gt;TODAY(),"",IF(N('Daily Tracking'!G312)&gt;=Settings!$B$13,1,0))</f>
        <v/>
      </c>
      <c r="E312" s="230" t="str">
        <f ca="1">IF(A312&gt;TODAY(),"",IF(N('Daily Tracking'!H312)&gt;=Settings!$B$14,1,0))</f>
        <v/>
      </c>
      <c r="F312" s="230" t="str">
        <f ca="1">IF(A312&gt;TODAY(),"",IF(OR(N('Daily Tracking'!I312)&gt;0,'Daily Tracking'!J312="Yes"),1,0))</f>
        <v/>
      </c>
      <c r="G312" s="230" t="str">
        <f ca="1">IF(A312&gt;TODAY(),"",IF(N('Daily Tracking'!K312)&gt;=Settings!$B$15,1,0))</f>
        <v/>
      </c>
      <c r="H312" s="231" t="str">
        <f ca="1">IF(B312="","",AVERAGE(B312:G312))</f>
        <v/>
      </c>
      <c r="I312" s="136" t="str">
        <f ca="1">IF(B312="","",IF(B312=1,N(I311)+1,0))</f>
        <v/>
      </c>
      <c r="J312" s="232"/>
      <c r="K312" s="232"/>
      <c r="L312" s="232"/>
      <c r="M312" s="232"/>
    </row>
    <row r="313" spans="1:13" ht="18" customHeight="1" x14ac:dyDescent="0.3">
      <c r="A313" s="132">
        <f>'Daily Tracking'!A313</f>
        <v>46585</v>
      </c>
      <c r="B313" s="230" t="str">
        <f ca="1">IF(A313&gt;TODAY(),"",IF('Daily Tracking'!B313&lt;&gt;"",1,0))</f>
        <v/>
      </c>
      <c r="C313" s="230" t="str">
        <f ca="1">IF(A313&gt;TODAY(),"",IF('Daily Tracking'!E313&lt;&gt;"",1,0))</f>
        <v/>
      </c>
      <c r="D313" s="230" t="str">
        <f ca="1">IF(A313&gt;TODAY(),"",IF(N('Daily Tracking'!G313)&gt;=Settings!$B$13,1,0))</f>
        <v/>
      </c>
      <c r="E313" s="230" t="str">
        <f ca="1">IF(A313&gt;TODAY(),"",IF(N('Daily Tracking'!H313)&gt;=Settings!$B$14,1,0))</f>
        <v/>
      </c>
      <c r="F313" s="230" t="str">
        <f ca="1">IF(A313&gt;TODAY(),"",IF(OR(N('Daily Tracking'!I313)&gt;0,'Daily Tracking'!J313="Yes"),1,0))</f>
        <v/>
      </c>
      <c r="G313" s="230" t="str">
        <f ca="1">IF(A313&gt;TODAY(),"",IF(N('Daily Tracking'!K313)&gt;=Settings!$B$15,1,0))</f>
        <v/>
      </c>
      <c r="H313" s="231" t="str">
        <f ca="1">IF(B313="","",AVERAGE(B313:G313))</f>
        <v/>
      </c>
      <c r="I313" s="136" t="str">
        <f ca="1">IF(B313="","",IF(B313=1,N(I312)+1,0))</f>
        <v/>
      </c>
      <c r="J313" s="232"/>
      <c r="K313" s="232"/>
      <c r="L313" s="232"/>
      <c r="M313" s="232"/>
    </row>
    <row r="314" spans="1:13" ht="18" customHeight="1" x14ac:dyDescent="0.3">
      <c r="A314" s="132">
        <f>'Daily Tracking'!A314</f>
        <v>46586</v>
      </c>
      <c r="B314" s="230" t="str">
        <f ca="1">IF(A314&gt;TODAY(),"",IF('Daily Tracking'!B314&lt;&gt;"",1,0))</f>
        <v/>
      </c>
      <c r="C314" s="230" t="str">
        <f ca="1">IF(A314&gt;TODAY(),"",IF('Daily Tracking'!E314&lt;&gt;"",1,0))</f>
        <v/>
      </c>
      <c r="D314" s="230" t="str">
        <f ca="1">IF(A314&gt;TODAY(),"",IF(N('Daily Tracking'!G314)&gt;=Settings!$B$13,1,0))</f>
        <v/>
      </c>
      <c r="E314" s="230" t="str">
        <f ca="1">IF(A314&gt;TODAY(),"",IF(N('Daily Tracking'!H314)&gt;=Settings!$B$14,1,0))</f>
        <v/>
      </c>
      <c r="F314" s="230" t="str">
        <f ca="1">IF(A314&gt;TODAY(),"",IF(OR(N('Daily Tracking'!I314)&gt;0,'Daily Tracking'!J314="Yes"),1,0))</f>
        <v/>
      </c>
      <c r="G314" s="230" t="str">
        <f ca="1">IF(A314&gt;TODAY(),"",IF(N('Daily Tracking'!K314)&gt;=Settings!$B$15,1,0))</f>
        <v/>
      </c>
      <c r="H314" s="231" t="str">
        <f ca="1">IF(B314="","",AVERAGE(B314:G314))</f>
        <v/>
      </c>
      <c r="I314" s="136" t="str">
        <f ca="1">IF(B314="","",IF(B314=1,N(I313)+1,0))</f>
        <v/>
      </c>
      <c r="J314" s="232"/>
      <c r="K314" s="232"/>
      <c r="L314" s="232"/>
      <c r="M314" s="232"/>
    </row>
    <row r="315" spans="1:13" ht="18" customHeight="1" x14ac:dyDescent="0.3">
      <c r="A315" s="132">
        <f>'Daily Tracking'!A315</f>
        <v>46587</v>
      </c>
      <c r="B315" s="230" t="str">
        <f ca="1">IF(A315&gt;TODAY(),"",IF('Daily Tracking'!B315&lt;&gt;"",1,0))</f>
        <v/>
      </c>
      <c r="C315" s="230" t="str">
        <f ca="1">IF(A315&gt;TODAY(),"",IF('Daily Tracking'!E315&lt;&gt;"",1,0))</f>
        <v/>
      </c>
      <c r="D315" s="230" t="str">
        <f ca="1">IF(A315&gt;TODAY(),"",IF(N('Daily Tracking'!G315)&gt;=Settings!$B$13,1,0))</f>
        <v/>
      </c>
      <c r="E315" s="230" t="str">
        <f ca="1">IF(A315&gt;TODAY(),"",IF(N('Daily Tracking'!H315)&gt;=Settings!$B$14,1,0))</f>
        <v/>
      </c>
      <c r="F315" s="230" t="str">
        <f ca="1">IF(A315&gt;TODAY(),"",IF(OR(N('Daily Tracking'!I315)&gt;0,'Daily Tracking'!J315="Yes"),1,0))</f>
        <v/>
      </c>
      <c r="G315" s="230" t="str">
        <f ca="1">IF(A315&gt;TODAY(),"",IF(N('Daily Tracking'!K315)&gt;=Settings!$B$15,1,0))</f>
        <v/>
      </c>
      <c r="H315" s="231" t="str">
        <f ca="1">IF(B315="","",AVERAGE(B315:G315))</f>
        <v/>
      </c>
      <c r="I315" s="136" t="str">
        <f ca="1">IF(B315="","",IF(B315=1,N(I314)+1,0))</f>
        <v/>
      </c>
      <c r="J315" s="232"/>
      <c r="K315" s="232"/>
      <c r="L315" s="232"/>
      <c r="M315" s="232"/>
    </row>
    <row r="316" spans="1:13" ht="18" customHeight="1" x14ac:dyDescent="0.3">
      <c r="A316" s="132">
        <f>'Daily Tracking'!A316</f>
        <v>46588</v>
      </c>
      <c r="B316" s="230" t="str">
        <f ca="1">IF(A316&gt;TODAY(),"",IF('Daily Tracking'!B316&lt;&gt;"",1,0))</f>
        <v/>
      </c>
      <c r="C316" s="230" t="str">
        <f ca="1">IF(A316&gt;TODAY(),"",IF('Daily Tracking'!E316&lt;&gt;"",1,0))</f>
        <v/>
      </c>
      <c r="D316" s="230" t="str">
        <f ca="1">IF(A316&gt;TODAY(),"",IF(N('Daily Tracking'!G316)&gt;=Settings!$B$13,1,0))</f>
        <v/>
      </c>
      <c r="E316" s="230" t="str">
        <f ca="1">IF(A316&gt;TODAY(),"",IF(N('Daily Tracking'!H316)&gt;=Settings!$B$14,1,0))</f>
        <v/>
      </c>
      <c r="F316" s="230" t="str">
        <f ca="1">IF(A316&gt;TODAY(),"",IF(OR(N('Daily Tracking'!I316)&gt;0,'Daily Tracking'!J316="Yes"),1,0))</f>
        <v/>
      </c>
      <c r="G316" s="230" t="str">
        <f ca="1">IF(A316&gt;TODAY(),"",IF(N('Daily Tracking'!K316)&gt;=Settings!$B$15,1,0))</f>
        <v/>
      </c>
      <c r="H316" s="231" t="str">
        <f ca="1">IF(B316="","",AVERAGE(B316:G316))</f>
        <v/>
      </c>
      <c r="I316" s="136" t="str">
        <f ca="1">IF(B316="","",IF(B316=1,N(I315)+1,0))</f>
        <v/>
      </c>
      <c r="J316" s="232"/>
      <c r="K316" s="232"/>
      <c r="L316" s="232"/>
      <c r="M316" s="232"/>
    </row>
    <row r="317" spans="1:13" ht="18" customHeight="1" x14ac:dyDescent="0.3">
      <c r="A317" s="132">
        <f>'Daily Tracking'!A317</f>
        <v>46589</v>
      </c>
      <c r="B317" s="230" t="str">
        <f ca="1">IF(A317&gt;TODAY(),"",IF('Daily Tracking'!B317&lt;&gt;"",1,0))</f>
        <v/>
      </c>
      <c r="C317" s="230" t="str">
        <f ca="1">IF(A317&gt;TODAY(),"",IF('Daily Tracking'!E317&lt;&gt;"",1,0))</f>
        <v/>
      </c>
      <c r="D317" s="230" t="str">
        <f ca="1">IF(A317&gt;TODAY(),"",IF(N('Daily Tracking'!G317)&gt;=Settings!$B$13,1,0))</f>
        <v/>
      </c>
      <c r="E317" s="230" t="str">
        <f ca="1">IF(A317&gt;TODAY(),"",IF(N('Daily Tracking'!H317)&gt;=Settings!$B$14,1,0))</f>
        <v/>
      </c>
      <c r="F317" s="230" t="str">
        <f ca="1">IF(A317&gt;TODAY(),"",IF(OR(N('Daily Tracking'!I317)&gt;0,'Daily Tracking'!J317="Yes"),1,0))</f>
        <v/>
      </c>
      <c r="G317" s="230" t="str">
        <f ca="1">IF(A317&gt;TODAY(),"",IF(N('Daily Tracking'!K317)&gt;=Settings!$B$15,1,0))</f>
        <v/>
      </c>
      <c r="H317" s="231" t="str">
        <f ca="1">IF(B317="","",AVERAGE(B317:G317))</f>
        <v/>
      </c>
      <c r="I317" s="136" t="str">
        <f ca="1">IF(B317="","",IF(B317=1,N(I316)+1,0))</f>
        <v/>
      </c>
      <c r="J317" s="232"/>
      <c r="K317" s="232"/>
      <c r="L317" s="232"/>
      <c r="M317" s="232"/>
    </row>
    <row r="318" spans="1:13" ht="18" customHeight="1" x14ac:dyDescent="0.3">
      <c r="A318" s="132">
        <f>'Daily Tracking'!A318</f>
        <v>46590</v>
      </c>
      <c r="B318" s="230" t="str">
        <f ca="1">IF(A318&gt;TODAY(),"",IF('Daily Tracking'!B318&lt;&gt;"",1,0))</f>
        <v/>
      </c>
      <c r="C318" s="230" t="str">
        <f ca="1">IF(A318&gt;TODAY(),"",IF('Daily Tracking'!E318&lt;&gt;"",1,0))</f>
        <v/>
      </c>
      <c r="D318" s="230" t="str">
        <f ca="1">IF(A318&gt;TODAY(),"",IF(N('Daily Tracking'!G318)&gt;=Settings!$B$13,1,0))</f>
        <v/>
      </c>
      <c r="E318" s="230" t="str">
        <f ca="1">IF(A318&gt;TODAY(),"",IF(N('Daily Tracking'!H318)&gt;=Settings!$B$14,1,0))</f>
        <v/>
      </c>
      <c r="F318" s="230" t="str">
        <f ca="1">IF(A318&gt;TODAY(),"",IF(OR(N('Daily Tracking'!I318)&gt;0,'Daily Tracking'!J318="Yes"),1,0))</f>
        <v/>
      </c>
      <c r="G318" s="230" t="str">
        <f ca="1">IF(A318&gt;TODAY(),"",IF(N('Daily Tracking'!K318)&gt;=Settings!$B$15,1,0))</f>
        <v/>
      </c>
      <c r="H318" s="231" t="str">
        <f ca="1">IF(B318="","",AVERAGE(B318:G318))</f>
        <v/>
      </c>
      <c r="I318" s="136" t="str">
        <f ca="1">IF(B318="","",IF(B318=1,N(I317)+1,0))</f>
        <v/>
      </c>
      <c r="J318" s="232"/>
      <c r="K318" s="232"/>
      <c r="L318" s="232"/>
      <c r="M318" s="232"/>
    </row>
    <row r="319" spans="1:13" ht="18" customHeight="1" x14ac:dyDescent="0.3">
      <c r="A319" s="132">
        <f>'Daily Tracking'!A319</f>
        <v>46591</v>
      </c>
      <c r="B319" s="230" t="str">
        <f ca="1">IF(A319&gt;TODAY(),"",IF('Daily Tracking'!B319&lt;&gt;"",1,0))</f>
        <v/>
      </c>
      <c r="C319" s="230" t="str">
        <f ca="1">IF(A319&gt;TODAY(),"",IF('Daily Tracking'!E319&lt;&gt;"",1,0))</f>
        <v/>
      </c>
      <c r="D319" s="230" t="str">
        <f ca="1">IF(A319&gt;TODAY(),"",IF(N('Daily Tracking'!G319)&gt;=Settings!$B$13,1,0))</f>
        <v/>
      </c>
      <c r="E319" s="230" t="str">
        <f ca="1">IF(A319&gt;TODAY(),"",IF(N('Daily Tracking'!H319)&gt;=Settings!$B$14,1,0))</f>
        <v/>
      </c>
      <c r="F319" s="230" t="str">
        <f ca="1">IF(A319&gt;TODAY(),"",IF(OR(N('Daily Tracking'!I319)&gt;0,'Daily Tracking'!J319="Yes"),1,0))</f>
        <v/>
      </c>
      <c r="G319" s="230" t="str">
        <f ca="1">IF(A319&gt;TODAY(),"",IF(N('Daily Tracking'!K319)&gt;=Settings!$B$15,1,0))</f>
        <v/>
      </c>
      <c r="H319" s="231" t="str">
        <f ca="1">IF(B319="","",AVERAGE(B319:G319))</f>
        <v/>
      </c>
      <c r="I319" s="136" t="str">
        <f ca="1">IF(B319="","",IF(B319=1,N(I318)+1,0))</f>
        <v/>
      </c>
      <c r="J319" s="232"/>
      <c r="K319" s="232"/>
      <c r="L319" s="232"/>
      <c r="M319" s="232"/>
    </row>
    <row r="320" spans="1:13" ht="18" customHeight="1" x14ac:dyDescent="0.3">
      <c r="A320" s="132">
        <f>'Daily Tracking'!A320</f>
        <v>46592</v>
      </c>
      <c r="B320" s="230" t="str">
        <f ca="1">IF(A320&gt;TODAY(),"",IF('Daily Tracking'!B320&lt;&gt;"",1,0))</f>
        <v/>
      </c>
      <c r="C320" s="230" t="str">
        <f ca="1">IF(A320&gt;TODAY(),"",IF('Daily Tracking'!E320&lt;&gt;"",1,0))</f>
        <v/>
      </c>
      <c r="D320" s="230" t="str">
        <f ca="1">IF(A320&gt;TODAY(),"",IF(N('Daily Tracking'!G320)&gt;=Settings!$B$13,1,0))</f>
        <v/>
      </c>
      <c r="E320" s="230" t="str">
        <f ca="1">IF(A320&gt;TODAY(),"",IF(N('Daily Tracking'!H320)&gt;=Settings!$B$14,1,0))</f>
        <v/>
      </c>
      <c r="F320" s="230" t="str">
        <f ca="1">IF(A320&gt;TODAY(),"",IF(OR(N('Daily Tracking'!I320)&gt;0,'Daily Tracking'!J320="Yes"),1,0))</f>
        <v/>
      </c>
      <c r="G320" s="230" t="str">
        <f ca="1">IF(A320&gt;TODAY(),"",IF(N('Daily Tracking'!K320)&gt;=Settings!$B$15,1,0))</f>
        <v/>
      </c>
      <c r="H320" s="231" t="str">
        <f ca="1">IF(B320="","",AVERAGE(B320:G320))</f>
        <v/>
      </c>
      <c r="I320" s="136" t="str">
        <f ca="1">IF(B320="","",IF(B320=1,N(I319)+1,0))</f>
        <v/>
      </c>
      <c r="J320" s="232"/>
      <c r="K320" s="232"/>
      <c r="L320" s="232"/>
      <c r="M320" s="232"/>
    </row>
    <row r="321" spans="1:13" ht="18" customHeight="1" x14ac:dyDescent="0.3">
      <c r="A321" s="132">
        <f>'Daily Tracking'!A321</f>
        <v>46593</v>
      </c>
      <c r="B321" s="230" t="str">
        <f ca="1">IF(A321&gt;TODAY(),"",IF('Daily Tracking'!B321&lt;&gt;"",1,0))</f>
        <v/>
      </c>
      <c r="C321" s="230" t="str">
        <f ca="1">IF(A321&gt;TODAY(),"",IF('Daily Tracking'!E321&lt;&gt;"",1,0))</f>
        <v/>
      </c>
      <c r="D321" s="230" t="str">
        <f ca="1">IF(A321&gt;TODAY(),"",IF(N('Daily Tracking'!G321)&gt;=Settings!$B$13,1,0))</f>
        <v/>
      </c>
      <c r="E321" s="230" t="str">
        <f ca="1">IF(A321&gt;TODAY(),"",IF(N('Daily Tracking'!H321)&gt;=Settings!$B$14,1,0))</f>
        <v/>
      </c>
      <c r="F321" s="230" t="str">
        <f ca="1">IF(A321&gt;TODAY(),"",IF(OR(N('Daily Tracking'!I321)&gt;0,'Daily Tracking'!J321="Yes"),1,0))</f>
        <v/>
      </c>
      <c r="G321" s="230" t="str">
        <f ca="1">IF(A321&gt;TODAY(),"",IF(N('Daily Tracking'!K321)&gt;=Settings!$B$15,1,0))</f>
        <v/>
      </c>
      <c r="H321" s="231" t="str">
        <f ca="1">IF(B321="","",AVERAGE(B321:G321))</f>
        <v/>
      </c>
      <c r="I321" s="136" t="str">
        <f ca="1">IF(B321="","",IF(B321=1,N(I320)+1,0))</f>
        <v/>
      </c>
      <c r="J321" s="232"/>
      <c r="K321" s="232"/>
      <c r="L321" s="232"/>
      <c r="M321" s="232"/>
    </row>
    <row r="322" spans="1:13" ht="18" customHeight="1" x14ac:dyDescent="0.3">
      <c r="A322" s="132">
        <f>'Daily Tracking'!A322</f>
        <v>46594</v>
      </c>
      <c r="B322" s="230" t="str">
        <f ca="1">IF(A322&gt;TODAY(),"",IF('Daily Tracking'!B322&lt;&gt;"",1,0))</f>
        <v/>
      </c>
      <c r="C322" s="230" t="str">
        <f ca="1">IF(A322&gt;TODAY(),"",IF('Daily Tracking'!E322&lt;&gt;"",1,0))</f>
        <v/>
      </c>
      <c r="D322" s="230" t="str">
        <f ca="1">IF(A322&gt;TODAY(),"",IF(N('Daily Tracking'!G322)&gt;=Settings!$B$13,1,0))</f>
        <v/>
      </c>
      <c r="E322" s="230" t="str">
        <f ca="1">IF(A322&gt;TODAY(),"",IF(N('Daily Tracking'!H322)&gt;=Settings!$B$14,1,0))</f>
        <v/>
      </c>
      <c r="F322" s="230" t="str">
        <f ca="1">IF(A322&gt;TODAY(),"",IF(OR(N('Daily Tracking'!I322)&gt;0,'Daily Tracking'!J322="Yes"),1,0))</f>
        <v/>
      </c>
      <c r="G322" s="230" t="str">
        <f ca="1">IF(A322&gt;TODAY(),"",IF(N('Daily Tracking'!K322)&gt;=Settings!$B$15,1,0))</f>
        <v/>
      </c>
      <c r="H322" s="231" t="str">
        <f ca="1">IF(B322="","",AVERAGE(B322:G322))</f>
        <v/>
      </c>
      <c r="I322" s="136" t="str">
        <f ca="1">IF(B322="","",IF(B322=1,N(I321)+1,0))</f>
        <v/>
      </c>
      <c r="J322" s="232"/>
      <c r="K322" s="232"/>
      <c r="L322" s="232"/>
      <c r="M322" s="232"/>
    </row>
    <row r="323" spans="1:13" ht="18" customHeight="1" x14ac:dyDescent="0.3">
      <c r="A323" s="132">
        <f>'Daily Tracking'!A323</f>
        <v>46595</v>
      </c>
      <c r="B323" s="230" t="str">
        <f ca="1">IF(A323&gt;TODAY(),"",IF('Daily Tracking'!B323&lt;&gt;"",1,0))</f>
        <v/>
      </c>
      <c r="C323" s="230" t="str">
        <f ca="1">IF(A323&gt;TODAY(),"",IF('Daily Tracking'!E323&lt;&gt;"",1,0))</f>
        <v/>
      </c>
      <c r="D323" s="230" t="str">
        <f ca="1">IF(A323&gt;TODAY(),"",IF(N('Daily Tracking'!G323)&gt;=Settings!$B$13,1,0))</f>
        <v/>
      </c>
      <c r="E323" s="230" t="str">
        <f ca="1">IF(A323&gt;TODAY(),"",IF(N('Daily Tracking'!H323)&gt;=Settings!$B$14,1,0))</f>
        <v/>
      </c>
      <c r="F323" s="230" t="str">
        <f ca="1">IF(A323&gt;TODAY(),"",IF(OR(N('Daily Tracking'!I323)&gt;0,'Daily Tracking'!J323="Yes"),1,0))</f>
        <v/>
      </c>
      <c r="G323" s="230" t="str">
        <f ca="1">IF(A323&gt;TODAY(),"",IF(N('Daily Tracking'!K323)&gt;=Settings!$B$15,1,0))</f>
        <v/>
      </c>
      <c r="H323" s="231" t="str">
        <f ca="1">IF(B323="","",AVERAGE(B323:G323))</f>
        <v/>
      </c>
      <c r="I323" s="136" t="str">
        <f ca="1">IF(B323="","",IF(B323=1,N(I322)+1,0))</f>
        <v/>
      </c>
      <c r="J323" s="232"/>
      <c r="K323" s="232"/>
      <c r="L323" s="232"/>
      <c r="M323" s="232"/>
    </row>
    <row r="324" spans="1:13" ht="18" customHeight="1" x14ac:dyDescent="0.3">
      <c r="A324" s="132">
        <f>'Daily Tracking'!A324</f>
        <v>46596</v>
      </c>
      <c r="B324" s="230" t="str">
        <f ca="1">IF(A324&gt;TODAY(),"",IF('Daily Tracking'!B324&lt;&gt;"",1,0))</f>
        <v/>
      </c>
      <c r="C324" s="230" t="str">
        <f ca="1">IF(A324&gt;TODAY(),"",IF('Daily Tracking'!E324&lt;&gt;"",1,0))</f>
        <v/>
      </c>
      <c r="D324" s="230" t="str">
        <f ca="1">IF(A324&gt;TODAY(),"",IF(N('Daily Tracking'!G324)&gt;=Settings!$B$13,1,0))</f>
        <v/>
      </c>
      <c r="E324" s="230" t="str">
        <f ca="1">IF(A324&gt;TODAY(),"",IF(N('Daily Tracking'!H324)&gt;=Settings!$B$14,1,0))</f>
        <v/>
      </c>
      <c r="F324" s="230" t="str">
        <f ca="1">IF(A324&gt;TODAY(),"",IF(OR(N('Daily Tracking'!I324)&gt;0,'Daily Tracking'!J324="Yes"),1,0))</f>
        <v/>
      </c>
      <c r="G324" s="230" t="str">
        <f ca="1">IF(A324&gt;TODAY(),"",IF(N('Daily Tracking'!K324)&gt;=Settings!$B$15,1,0))</f>
        <v/>
      </c>
      <c r="H324" s="231" t="str">
        <f ca="1">IF(B324="","",AVERAGE(B324:G324))</f>
        <v/>
      </c>
      <c r="I324" s="136" t="str">
        <f ca="1">IF(B324="","",IF(B324=1,N(I323)+1,0))</f>
        <v/>
      </c>
      <c r="J324" s="232"/>
      <c r="K324" s="232"/>
      <c r="L324" s="232"/>
      <c r="M324" s="232"/>
    </row>
    <row r="325" spans="1:13" ht="18" customHeight="1" x14ac:dyDescent="0.3">
      <c r="A325" s="132">
        <f>'Daily Tracking'!A325</f>
        <v>46597</v>
      </c>
      <c r="B325" s="230" t="str">
        <f ca="1">IF(A325&gt;TODAY(),"",IF('Daily Tracking'!B325&lt;&gt;"",1,0))</f>
        <v/>
      </c>
      <c r="C325" s="230" t="str">
        <f ca="1">IF(A325&gt;TODAY(),"",IF('Daily Tracking'!E325&lt;&gt;"",1,0))</f>
        <v/>
      </c>
      <c r="D325" s="230" t="str">
        <f ca="1">IF(A325&gt;TODAY(),"",IF(N('Daily Tracking'!G325)&gt;=Settings!$B$13,1,0))</f>
        <v/>
      </c>
      <c r="E325" s="230" t="str">
        <f ca="1">IF(A325&gt;TODAY(),"",IF(N('Daily Tracking'!H325)&gt;=Settings!$B$14,1,0))</f>
        <v/>
      </c>
      <c r="F325" s="230" t="str">
        <f ca="1">IF(A325&gt;TODAY(),"",IF(OR(N('Daily Tracking'!I325)&gt;0,'Daily Tracking'!J325="Yes"),1,0))</f>
        <v/>
      </c>
      <c r="G325" s="230" t="str">
        <f ca="1">IF(A325&gt;TODAY(),"",IF(N('Daily Tracking'!K325)&gt;=Settings!$B$15,1,0))</f>
        <v/>
      </c>
      <c r="H325" s="231" t="str">
        <f ca="1">IF(B325="","",AVERAGE(B325:G325))</f>
        <v/>
      </c>
      <c r="I325" s="136" t="str">
        <f ca="1">IF(B325="","",IF(B325=1,N(I324)+1,0))</f>
        <v/>
      </c>
      <c r="J325" s="232"/>
      <c r="K325" s="232"/>
      <c r="L325" s="232"/>
      <c r="M325" s="232"/>
    </row>
    <row r="326" spans="1:13" ht="18" customHeight="1" x14ac:dyDescent="0.3">
      <c r="A326" s="132">
        <f>'Daily Tracking'!A326</f>
        <v>46598</v>
      </c>
      <c r="B326" s="230" t="str">
        <f ca="1">IF(A326&gt;TODAY(),"",IF('Daily Tracking'!B326&lt;&gt;"",1,0))</f>
        <v/>
      </c>
      <c r="C326" s="230" t="str">
        <f ca="1">IF(A326&gt;TODAY(),"",IF('Daily Tracking'!E326&lt;&gt;"",1,0))</f>
        <v/>
      </c>
      <c r="D326" s="230" t="str">
        <f ca="1">IF(A326&gt;TODAY(),"",IF(N('Daily Tracking'!G326)&gt;=Settings!$B$13,1,0))</f>
        <v/>
      </c>
      <c r="E326" s="230" t="str">
        <f ca="1">IF(A326&gt;TODAY(),"",IF(N('Daily Tracking'!H326)&gt;=Settings!$B$14,1,0))</f>
        <v/>
      </c>
      <c r="F326" s="230" t="str">
        <f ca="1">IF(A326&gt;TODAY(),"",IF(OR(N('Daily Tracking'!I326)&gt;0,'Daily Tracking'!J326="Yes"),1,0))</f>
        <v/>
      </c>
      <c r="G326" s="230" t="str">
        <f ca="1">IF(A326&gt;TODAY(),"",IF(N('Daily Tracking'!K326)&gt;=Settings!$B$15,1,0))</f>
        <v/>
      </c>
      <c r="H326" s="231" t="str">
        <f ca="1">IF(B326="","",AVERAGE(B326:G326))</f>
        <v/>
      </c>
      <c r="I326" s="136" t="str">
        <f ca="1">IF(B326="","",IF(B326=1,N(I325)+1,0))</f>
        <v/>
      </c>
      <c r="J326" s="232"/>
      <c r="K326" s="232"/>
      <c r="L326" s="232"/>
      <c r="M326" s="232"/>
    </row>
    <row r="327" spans="1:13" ht="18" customHeight="1" x14ac:dyDescent="0.3">
      <c r="A327" s="132">
        <f>'Daily Tracking'!A327</f>
        <v>46599</v>
      </c>
      <c r="B327" s="230" t="str">
        <f ca="1">IF(A327&gt;TODAY(),"",IF('Daily Tracking'!B327&lt;&gt;"",1,0))</f>
        <v/>
      </c>
      <c r="C327" s="230" t="str">
        <f ca="1">IF(A327&gt;TODAY(),"",IF('Daily Tracking'!E327&lt;&gt;"",1,0))</f>
        <v/>
      </c>
      <c r="D327" s="230" t="str">
        <f ca="1">IF(A327&gt;TODAY(),"",IF(N('Daily Tracking'!G327)&gt;=Settings!$B$13,1,0))</f>
        <v/>
      </c>
      <c r="E327" s="230" t="str">
        <f ca="1">IF(A327&gt;TODAY(),"",IF(N('Daily Tracking'!H327)&gt;=Settings!$B$14,1,0))</f>
        <v/>
      </c>
      <c r="F327" s="230" t="str">
        <f ca="1">IF(A327&gt;TODAY(),"",IF(OR(N('Daily Tracking'!I327)&gt;0,'Daily Tracking'!J327="Yes"),1,0))</f>
        <v/>
      </c>
      <c r="G327" s="230" t="str">
        <f ca="1">IF(A327&gt;TODAY(),"",IF(N('Daily Tracking'!K327)&gt;=Settings!$B$15,1,0))</f>
        <v/>
      </c>
      <c r="H327" s="231" t="str">
        <f ca="1">IF(B327="","",AVERAGE(B327:G327))</f>
        <v/>
      </c>
      <c r="I327" s="136" t="str">
        <f ca="1">IF(B327="","",IF(B327=1,N(I326)+1,0))</f>
        <v/>
      </c>
      <c r="J327" s="232"/>
      <c r="K327" s="232"/>
      <c r="L327" s="232"/>
      <c r="M327" s="232"/>
    </row>
    <row r="328" spans="1:13" ht="18" customHeight="1" x14ac:dyDescent="0.3">
      <c r="A328" s="132">
        <f>'Daily Tracking'!A328</f>
        <v>46600</v>
      </c>
      <c r="B328" s="230" t="str">
        <f ca="1">IF(A328&gt;TODAY(),"",IF('Daily Tracking'!B328&lt;&gt;"",1,0))</f>
        <v/>
      </c>
      <c r="C328" s="230" t="str">
        <f ca="1">IF(A328&gt;TODAY(),"",IF('Daily Tracking'!E328&lt;&gt;"",1,0))</f>
        <v/>
      </c>
      <c r="D328" s="230" t="str">
        <f ca="1">IF(A328&gt;TODAY(),"",IF(N('Daily Tracking'!G328)&gt;=Settings!$B$13,1,0))</f>
        <v/>
      </c>
      <c r="E328" s="230" t="str">
        <f ca="1">IF(A328&gt;TODAY(),"",IF(N('Daily Tracking'!H328)&gt;=Settings!$B$14,1,0))</f>
        <v/>
      </c>
      <c r="F328" s="230" t="str">
        <f ca="1">IF(A328&gt;TODAY(),"",IF(OR(N('Daily Tracking'!I328)&gt;0,'Daily Tracking'!J328="Yes"),1,0))</f>
        <v/>
      </c>
      <c r="G328" s="230" t="str">
        <f ca="1">IF(A328&gt;TODAY(),"",IF(N('Daily Tracking'!K328)&gt;=Settings!$B$15,1,0))</f>
        <v/>
      </c>
      <c r="H328" s="231" t="str">
        <f ca="1">IF(B328="","",AVERAGE(B328:G328))</f>
        <v/>
      </c>
      <c r="I328" s="136" t="str">
        <f ca="1">IF(B328="","",IF(B328=1,N(I327)+1,0))</f>
        <v/>
      </c>
      <c r="J328" s="232"/>
      <c r="K328" s="232"/>
      <c r="L328" s="232"/>
      <c r="M328" s="232"/>
    </row>
    <row r="329" spans="1:13" ht="18" customHeight="1" x14ac:dyDescent="0.3">
      <c r="A329" s="132">
        <f>'Daily Tracking'!A329</f>
        <v>46601</v>
      </c>
      <c r="B329" s="230" t="str">
        <f ca="1">IF(A329&gt;TODAY(),"",IF('Daily Tracking'!B329&lt;&gt;"",1,0))</f>
        <v/>
      </c>
      <c r="C329" s="230" t="str">
        <f ca="1">IF(A329&gt;TODAY(),"",IF('Daily Tracking'!E329&lt;&gt;"",1,0))</f>
        <v/>
      </c>
      <c r="D329" s="230" t="str">
        <f ca="1">IF(A329&gt;TODAY(),"",IF(N('Daily Tracking'!G329)&gt;=Settings!$B$13,1,0))</f>
        <v/>
      </c>
      <c r="E329" s="230" t="str">
        <f ca="1">IF(A329&gt;TODAY(),"",IF(N('Daily Tracking'!H329)&gt;=Settings!$B$14,1,0))</f>
        <v/>
      </c>
      <c r="F329" s="230" t="str">
        <f ca="1">IF(A329&gt;TODAY(),"",IF(OR(N('Daily Tracking'!I329)&gt;0,'Daily Tracking'!J329="Yes"),1,0))</f>
        <v/>
      </c>
      <c r="G329" s="230" t="str">
        <f ca="1">IF(A329&gt;TODAY(),"",IF(N('Daily Tracking'!K329)&gt;=Settings!$B$15,1,0))</f>
        <v/>
      </c>
      <c r="H329" s="231" t="str">
        <f ca="1">IF(B329="","",AVERAGE(B329:G329))</f>
        <v/>
      </c>
      <c r="I329" s="136" t="str">
        <f ca="1">IF(B329="","",IF(B329=1,N(I328)+1,0))</f>
        <v/>
      </c>
      <c r="J329" s="232"/>
      <c r="K329" s="232"/>
      <c r="L329" s="232"/>
      <c r="M329" s="232"/>
    </row>
    <row r="330" spans="1:13" ht="18" customHeight="1" x14ac:dyDescent="0.3">
      <c r="A330" s="132">
        <f>'Daily Tracking'!A330</f>
        <v>46602</v>
      </c>
      <c r="B330" s="230" t="str">
        <f ca="1">IF(A330&gt;TODAY(),"",IF('Daily Tracking'!B330&lt;&gt;"",1,0))</f>
        <v/>
      </c>
      <c r="C330" s="230" t="str">
        <f ca="1">IF(A330&gt;TODAY(),"",IF('Daily Tracking'!E330&lt;&gt;"",1,0))</f>
        <v/>
      </c>
      <c r="D330" s="230" t="str">
        <f ca="1">IF(A330&gt;TODAY(),"",IF(N('Daily Tracking'!G330)&gt;=Settings!$B$13,1,0))</f>
        <v/>
      </c>
      <c r="E330" s="230" t="str">
        <f ca="1">IF(A330&gt;TODAY(),"",IF(N('Daily Tracking'!H330)&gt;=Settings!$B$14,1,0))</f>
        <v/>
      </c>
      <c r="F330" s="230" t="str">
        <f ca="1">IF(A330&gt;TODAY(),"",IF(OR(N('Daily Tracking'!I330)&gt;0,'Daily Tracking'!J330="Yes"),1,0))</f>
        <v/>
      </c>
      <c r="G330" s="230" t="str">
        <f ca="1">IF(A330&gt;TODAY(),"",IF(N('Daily Tracking'!K330)&gt;=Settings!$B$15,1,0))</f>
        <v/>
      </c>
      <c r="H330" s="231" t="str">
        <f ca="1">IF(B330="","",AVERAGE(B330:G330))</f>
        <v/>
      </c>
      <c r="I330" s="136" t="str">
        <f ca="1">IF(B330="","",IF(B330=1,N(I329)+1,0))</f>
        <v/>
      </c>
      <c r="J330" s="232"/>
      <c r="K330" s="232"/>
      <c r="L330" s="232"/>
      <c r="M330" s="232"/>
    </row>
    <row r="331" spans="1:13" ht="18" customHeight="1" x14ac:dyDescent="0.3">
      <c r="A331" s="132">
        <f>'Daily Tracking'!A331</f>
        <v>46603</v>
      </c>
      <c r="B331" s="230" t="str">
        <f ca="1">IF(A331&gt;TODAY(),"",IF('Daily Tracking'!B331&lt;&gt;"",1,0))</f>
        <v/>
      </c>
      <c r="C331" s="230" t="str">
        <f ca="1">IF(A331&gt;TODAY(),"",IF('Daily Tracking'!E331&lt;&gt;"",1,0))</f>
        <v/>
      </c>
      <c r="D331" s="230" t="str">
        <f ca="1">IF(A331&gt;TODAY(),"",IF(N('Daily Tracking'!G331)&gt;=Settings!$B$13,1,0))</f>
        <v/>
      </c>
      <c r="E331" s="230" t="str">
        <f ca="1">IF(A331&gt;TODAY(),"",IF(N('Daily Tracking'!H331)&gt;=Settings!$B$14,1,0))</f>
        <v/>
      </c>
      <c r="F331" s="230" t="str">
        <f ca="1">IF(A331&gt;TODAY(),"",IF(OR(N('Daily Tracking'!I331)&gt;0,'Daily Tracking'!J331="Yes"),1,0))</f>
        <v/>
      </c>
      <c r="G331" s="230" t="str">
        <f ca="1">IF(A331&gt;TODAY(),"",IF(N('Daily Tracking'!K331)&gt;=Settings!$B$15,1,0))</f>
        <v/>
      </c>
      <c r="H331" s="231" t="str">
        <f ca="1">IF(B331="","",AVERAGE(B331:G331))</f>
        <v/>
      </c>
      <c r="I331" s="136" t="str">
        <f ca="1">IF(B331="","",IF(B331=1,N(I330)+1,0))</f>
        <v/>
      </c>
      <c r="J331" s="232"/>
      <c r="K331" s="232"/>
      <c r="L331" s="232"/>
      <c r="M331" s="232"/>
    </row>
    <row r="332" spans="1:13" ht="18" customHeight="1" x14ac:dyDescent="0.3">
      <c r="A332" s="132">
        <f>'Daily Tracking'!A332</f>
        <v>46604</v>
      </c>
      <c r="B332" s="230" t="str">
        <f ca="1">IF(A332&gt;TODAY(),"",IF('Daily Tracking'!B332&lt;&gt;"",1,0))</f>
        <v/>
      </c>
      <c r="C332" s="230" t="str">
        <f ca="1">IF(A332&gt;TODAY(),"",IF('Daily Tracking'!E332&lt;&gt;"",1,0))</f>
        <v/>
      </c>
      <c r="D332" s="230" t="str">
        <f ca="1">IF(A332&gt;TODAY(),"",IF(N('Daily Tracking'!G332)&gt;=Settings!$B$13,1,0))</f>
        <v/>
      </c>
      <c r="E332" s="230" t="str">
        <f ca="1">IF(A332&gt;TODAY(),"",IF(N('Daily Tracking'!H332)&gt;=Settings!$B$14,1,0))</f>
        <v/>
      </c>
      <c r="F332" s="230" t="str">
        <f ca="1">IF(A332&gt;TODAY(),"",IF(OR(N('Daily Tracking'!I332)&gt;0,'Daily Tracking'!J332="Yes"),1,0))</f>
        <v/>
      </c>
      <c r="G332" s="230" t="str">
        <f ca="1">IF(A332&gt;TODAY(),"",IF(N('Daily Tracking'!K332)&gt;=Settings!$B$15,1,0))</f>
        <v/>
      </c>
      <c r="H332" s="231" t="str">
        <f ca="1">IF(B332="","",AVERAGE(B332:G332))</f>
        <v/>
      </c>
      <c r="I332" s="136" t="str">
        <f ca="1">IF(B332="","",IF(B332=1,N(I331)+1,0))</f>
        <v/>
      </c>
      <c r="J332" s="232"/>
      <c r="K332" s="232"/>
      <c r="L332" s="232"/>
      <c r="M332" s="232"/>
    </row>
    <row r="333" spans="1:13" ht="18" customHeight="1" x14ac:dyDescent="0.3">
      <c r="A333" s="132">
        <f>'Daily Tracking'!A333</f>
        <v>46605</v>
      </c>
      <c r="B333" s="230" t="str">
        <f ca="1">IF(A333&gt;TODAY(),"",IF('Daily Tracking'!B333&lt;&gt;"",1,0))</f>
        <v/>
      </c>
      <c r="C333" s="230" t="str">
        <f ca="1">IF(A333&gt;TODAY(),"",IF('Daily Tracking'!E333&lt;&gt;"",1,0))</f>
        <v/>
      </c>
      <c r="D333" s="230" t="str">
        <f ca="1">IF(A333&gt;TODAY(),"",IF(N('Daily Tracking'!G333)&gt;=Settings!$B$13,1,0))</f>
        <v/>
      </c>
      <c r="E333" s="230" t="str">
        <f ca="1">IF(A333&gt;TODAY(),"",IF(N('Daily Tracking'!H333)&gt;=Settings!$B$14,1,0))</f>
        <v/>
      </c>
      <c r="F333" s="230" t="str">
        <f ca="1">IF(A333&gt;TODAY(),"",IF(OR(N('Daily Tracking'!I333)&gt;0,'Daily Tracking'!J333="Yes"),1,0))</f>
        <v/>
      </c>
      <c r="G333" s="230" t="str">
        <f ca="1">IF(A333&gt;TODAY(),"",IF(N('Daily Tracking'!K333)&gt;=Settings!$B$15,1,0))</f>
        <v/>
      </c>
      <c r="H333" s="231" t="str">
        <f ca="1">IF(B333="","",AVERAGE(B333:G333))</f>
        <v/>
      </c>
      <c r="I333" s="136" t="str">
        <f ca="1">IF(B333="","",IF(B333=1,N(I332)+1,0))</f>
        <v/>
      </c>
      <c r="J333" s="232"/>
      <c r="K333" s="232"/>
      <c r="L333" s="232"/>
      <c r="M333" s="232"/>
    </row>
    <row r="334" spans="1:13" ht="18" customHeight="1" x14ac:dyDescent="0.3">
      <c r="A334" s="132">
        <f>'Daily Tracking'!A334</f>
        <v>46606</v>
      </c>
      <c r="B334" s="230" t="str">
        <f ca="1">IF(A334&gt;TODAY(),"",IF('Daily Tracking'!B334&lt;&gt;"",1,0))</f>
        <v/>
      </c>
      <c r="C334" s="230" t="str">
        <f ca="1">IF(A334&gt;TODAY(),"",IF('Daily Tracking'!E334&lt;&gt;"",1,0))</f>
        <v/>
      </c>
      <c r="D334" s="230" t="str">
        <f ca="1">IF(A334&gt;TODAY(),"",IF(N('Daily Tracking'!G334)&gt;=Settings!$B$13,1,0))</f>
        <v/>
      </c>
      <c r="E334" s="230" t="str">
        <f ca="1">IF(A334&gt;TODAY(),"",IF(N('Daily Tracking'!H334)&gt;=Settings!$B$14,1,0))</f>
        <v/>
      </c>
      <c r="F334" s="230" t="str">
        <f ca="1">IF(A334&gt;TODAY(),"",IF(OR(N('Daily Tracking'!I334)&gt;0,'Daily Tracking'!J334="Yes"),1,0))</f>
        <v/>
      </c>
      <c r="G334" s="230" t="str">
        <f ca="1">IF(A334&gt;TODAY(),"",IF(N('Daily Tracking'!K334)&gt;=Settings!$B$15,1,0))</f>
        <v/>
      </c>
      <c r="H334" s="231" t="str">
        <f ca="1">IF(B334="","",AVERAGE(B334:G334))</f>
        <v/>
      </c>
      <c r="I334" s="136" t="str">
        <f ca="1">IF(B334="","",IF(B334=1,N(I333)+1,0))</f>
        <v/>
      </c>
      <c r="J334" s="232"/>
      <c r="K334" s="232"/>
      <c r="L334" s="232"/>
      <c r="M334" s="232"/>
    </row>
    <row r="335" spans="1:13" ht="18" customHeight="1" x14ac:dyDescent="0.3">
      <c r="A335" s="132">
        <f>'Daily Tracking'!A335</f>
        <v>46607</v>
      </c>
      <c r="B335" s="230" t="str">
        <f ca="1">IF(A335&gt;TODAY(),"",IF('Daily Tracking'!B335&lt;&gt;"",1,0))</f>
        <v/>
      </c>
      <c r="C335" s="230" t="str">
        <f ca="1">IF(A335&gt;TODAY(),"",IF('Daily Tracking'!E335&lt;&gt;"",1,0))</f>
        <v/>
      </c>
      <c r="D335" s="230" t="str">
        <f ca="1">IF(A335&gt;TODAY(),"",IF(N('Daily Tracking'!G335)&gt;=Settings!$B$13,1,0))</f>
        <v/>
      </c>
      <c r="E335" s="230" t="str">
        <f ca="1">IF(A335&gt;TODAY(),"",IF(N('Daily Tracking'!H335)&gt;=Settings!$B$14,1,0))</f>
        <v/>
      </c>
      <c r="F335" s="230" t="str">
        <f ca="1">IF(A335&gt;TODAY(),"",IF(OR(N('Daily Tracking'!I335)&gt;0,'Daily Tracking'!J335="Yes"),1,0))</f>
        <v/>
      </c>
      <c r="G335" s="230" t="str">
        <f ca="1">IF(A335&gt;TODAY(),"",IF(N('Daily Tracking'!K335)&gt;=Settings!$B$15,1,0))</f>
        <v/>
      </c>
      <c r="H335" s="231" t="str">
        <f ca="1">IF(B335="","",AVERAGE(B335:G335))</f>
        <v/>
      </c>
      <c r="I335" s="136" t="str">
        <f ca="1">IF(B335="","",IF(B335=1,N(I334)+1,0))</f>
        <v/>
      </c>
      <c r="J335" s="232"/>
      <c r="K335" s="232"/>
      <c r="L335" s="232"/>
      <c r="M335" s="232"/>
    </row>
    <row r="336" spans="1:13" ht="18" customHeight="1" x14ac:dyDescent="0.3">
      <c r="A336" s="132">
        <f>'Daily Tracking'!A336</f>
        <v>46608</v>
      </c>
      <c r="B336" s="230" t="str">
        <f ca="1">IF(A336&gt;TODAY(),"",IF('Daily Tracking'!B336&lt;&gt;"",1,0))</f>
        <v/>
      </c>
      <c r="C336" s="230" t="str">
        <f ca="1">IF(A336&gt;TODAY(),"",IF('Daily Tracking'!E336&lt;&gt;"",1,0))</f>
        <v/>
      </c>
      <c r="D336" s="230" t="str">
        <f ca="1">IF(A336&gt;TODAY(),"",IF(N('Daily Tracking'!G336)&gt;=Settings!$B$13,1,0))</f>
        <v/>
      </c>
      <c r="E336" s="230" t="str">
        <f ca="1">IF(A336&gt;TODAY(),"",IF(N('Daily Tracking'!H336)&gt;=Settings!$B$14,1,0))</f>
        <v/>
      </c>
      <c r="F336" s="230" t="str">
        <f ca="1">IF(A336&gt;TODAY(),"",IF(OR(N('Daily Tracking'!I336)&gt;0,'Daily Tracking'!J336="Yes"),1,0))</f>
        <v/>
      </c>
      <c r="G336" s="230" t="str">
        <f ca="1">IF(A336&gt;TODAY(),"",IF(N('Daily Tracking'!K336)&gt;=Settings!$B$15,1,0))</f>
        <v/>
      </c>
      <c r="H336" s="231" t="str">
        <f ca="1">IF(B336="","",AVERAGE(B336:G336))</f>
        <v/>
      </c>
      <c r="I336" s="136" t="str">
        <f ca="1">IF(B336="","",IF(B336=1,N(I335)+1,0))</f>
        <v/>
      </c>
      <c r="J336" s="232"/>
      <c r="K336" s="232"/>
      <c r="L336" s="232"/>
      <c r="M336" s="232"/>
    </row>
    <row r="337" spans="1:13" ht="18" customHeight="1" x14ac:dyDescent="0.3">
      <c r="A337" s="132">
        <f>'Daily Tracking'!A337</f>
        <v>46609</v>
      </c>
      <c r="B337" s="230" t="str">
        <f ca="1">IF(A337&gt;TODAY(),"",IF('Daily Tracking'!B337&lt;&gt;"",1,0))</f>
        <v/>
      </c>
      <c r="C337" s="230" t="str">
        <f ca="1">IF(A337&gt;TODAY(),"",IF('Daily Tracking'!E337&lt;&gt;"",1,0))</f>
        <v/>
      </c>
      <c r="D337" s="230" t="str">
        <f ca="1">IF(A337&gt;TODAY(),"",IF(N('Daily Tracking'!G337)&gt;=Settings!$B$13,1,0))</f>
        <v/>
      </c>
      <c r="E337" s="230" t="str">
        <f ca="1">IF(A337&gt;TODAY(),"",IF(N('Daily Tracking'!H337)&gt;=Settings!$B$14,1,0))</f>
        <v/>
      </c>
      <c r="F337" s="230" t="str">
        <f ca="1">IF(A337&gt;TODAY(),"",IF(OR(N('Daily Tracking'!I337)&gt;0,'Daily Tracking'!J337="Yes"),1,0))</f>
        <v/>
      </c>
      <c r="G337" s="230" t="str">
        <f ca="1">IF(A337&gt;TODAY(),"",IF(N('Daily Tracking'!K337)&gt;=Settings!$B$15,1,0))</f>
        <v/>
      </c>
      <c r="H337" s="231" t="str">
        <f ca="1">IF(B337="","",AVERAGE(B337:G337))</f>
        <v/>
      </c>
      <c r="I337" s="136" t="str">
        <f ca="1">IF(B337="","",IF(B337=1,N(I336)+1,0))</f>
        <v/>
      </c>
      <c r="J337" s="232"/>
      <c r="K337" s="232"/>
      <c r="L337" s="232"/>
      <c r="M337" s="232"/>
    </row>
    <row r="338" spans="1:13" ht="18" customHeight="1" x14ac:dyDescent="0.3">
      <c r="A338" s="132">
        <f>'Daily Tracking'!A338</f>
        <v>46610</v>
      </c>
      <c r="B338" s="230" t="str">
        <f ca="1">IF(A338&gt;TODAY(),"",IF('Daily Tracking'!B338&lt;&gt;"",1,0))</f>
        <v/>
      </c>
      <c r="C338" s="230" t="str">
        <f ca="1">IF(A338&gt;TODAY(),"",IF('Daily Tracking'!E338&lt;&gt;"",1,0))</f>
        <v/>
      </c>
      <c r="D338" s="230" t="str">
        <f ca="1">IF(A338&gt;TODAY(),"",IF(N('Daily Tracking'!G338)&gt;=Settings!$B$13,1,0))</f>
        <v/>
      </c>
      <c r="E338" s="230" t="str">
        <f ca="1">IF(A338&gt;TODAY(),"",IF(N('Daily Tracking'!H338)&gt;=Settings!$B$14,1,0))</f>
        <v/>
      </c>
      <c r="F338" s="230" t="str">
        <f ca="1">IF(A338&gt;TODAY(),"",IF(OR(N('Daily Tracking'!I338)&gt;0,'Daily Tracking'!J338="Yes"),1,0))</f>
        <v/>
      </c>
      <c r="G338" s="230" t="str">
        <f ca="1">IF(A338&gt;TODAY(),"",IF(N('Daily Tracking'!K338)&gt;=Settings!$B$15,1,0))</f>
        <v/>
      </c>
      <c r="H338" s="231" t="str">
        <f ca="1">IF(B338="","",AVERAGE(B338:G338))</f>
        <v/>
      </c>
      <c r="I338" s="136" t="str">
        <f ca="1">IF(B338="","",IF(B338=1,N(I337)+1,0))</f>
        <v/>
      </c>
      <c r="J338" s="232"/>
      <c r="K338" s="232"/>
      <c r="L338" s="232"/>
      <c r="M338" s="232"/>
    </row>
    <row r="339" spans="1:13" ht="18" customHeight="1" x14ac:dyDescent="0.3">
      <c r="A339" s="132">
        <f>'Daily Tracking'!A339</f>
        <v>46611</v>
      </c>
      <c r="B339" s="230" t="str">
        <f ca="1">IF(A339&gt;TODAY(),"",IF('Daily Tracking'!B339&lt;&gt;"",1,0))</f>
        <v/>
      </c>
      <c r="C339" s="230" t="str">
        <f ca="1">IF(A339&gt;TODAY(),"",IF('Daily Tracking'!E339&lt;&gt;"",1,0))</f>
        <v/>
      </c>
      <c r="D339" s="230" t="str">
        <f ca="1">IF(A339&gt;TODAY(),"",IF(N('Daily Tracking'!G339)&gt;=Settings!$B$13,1,0))</f>
        <v/>
      </c>
      <c r="E339" s="230" t="str">
        <f ca="1">IF(A339&gt;TODAY(),"",IF(N('Daily Tracking'!H339)&gt;=Settings!$B$14,1,0))</f>
        <v/>
      </c>
      <c r="F339" s="230" t="str">
        <f ca="1">IF(A339&gt;TODAY(),"",IF(OR(N('Daily Tracking'!I339)&gt;0,'Daily Tracking'!J339="Yes"),1,0))</f>
        <v/>
      </c>
      <c r="G339" s="230" t="str">
        <f ca="1">IF(A339&gt;TODAY(),"",IF(N('Daily Tracking'!K339)&gt;=Settings!$B$15,1,0))</f>
        <v/>
      </c>
      <c r="H339" s="231" t="str">
        <f ca="1">IF(B339="","",AVERAGE(B339:G339))</f>
        <v/>
      </c>
      <c r="I339" s="136" t="str">
        <f ca="1">IF(B339="","",IF(B339=1,N(I338)+1,0))</f>
        <v/>
      </c>
      <c r="J339" s="232"/>
      <c r="K339" s="232"/>
      <c r="L339" s="232"/>
      <c r="M339" s="232"/>
    </row>
    <row r="340" spans="1:13" ht="18" customHeight="1" x14ac:dyDescent="0.3">
      <c r="A340" s="132">
        <f>'Daily Tracking'!A340</f>
        <v>46612</v>
      </c>
      <c r="B340" s="230" t="str">
        <f ca="1">IF(A340&gt;TODAY(),"",IF('Daily Tracking'!B340&lt;&gt;"",1,0))</f>
        <v/>
      </c>
      <c r="C340" s="230" t="str">
        <f ca="1">IF(A340&gt;TODAY(),"",IF('Daily Tracking'!E340&lt;&gt;"",1,0))</f>
        <v/>
      </c>
      <c r="D340" s="230" t="str">
        <f ca="1">IF(A340&gt;TODAY(),"",IF(N('Daily Tracking'!G340)&gt;=Settings!$B$13,1,0))</f>
        <v/>
      </c>
      <c r="E340" s="230" t="str">
        <f ca="1">IF(A340&gt;TODAY(),"",IF(N('Daily Tracking'!H340)&gt;=Settings!$B$14,1,0))</f>
        <v/>
      </c>
      <c r="F340" s="230" t="str">
        <f ca="1">IF(A340&gt;TODAY(),"",IF(OR(N('Daily Tracking'!I340)&gt;0,'Daily Tracking'!J340="Yes"),1,0))</f>
        <v/>
      </c>
      <c r="G340" s="230" t="str">
        <f ca="1">IF(A340&gt;TODAY(),"",IF(N('Daily Tracking'!K340)&gt;=Settings!$B$15,1,0))</f>
        <v/>
      </c>
      <c r="H340" s="231" t="str">
        <f ca="1">IF(B340="","",AVERAGE(B340:G340))</f>
        <v/>
      </c>
      <c r="I340" s="136" t="str">
        <f ca="1">IF(B340="","",IF(B340=1,N(I339)+1,0))</f>
        <v/>
      </c>
      <c r="J340" s="232"/>
      <c r="K340" s="232"/>
      <c r="L340" s="232"/>
      <c r="M340" s="232"/>
    </row>
    <row r="341" spans="1:13" ht="18" customHeight="1" x14ac:dyDescent="0.3">
      <c r="A341" s="132">
        <f>'Daily Tracking'!A341</f>
        <v>46613</v>
      </c>
      <c r="B341" s="230" t="str">
        <f ca="1">IF(A341&gt;TODAY(),"",IF('Daily Tracking'!B341&lt;&gt;"",1,0))</f>
        <v/>
      </c>
      <c r="C341" s="230" t="str">
        <f ca="1">IF(A341&gt;TODAY(),"",IF('Daily Tracking'!E341&lt;&gt;"",1,0))</f>
        <v/>
      </c>
      <c r="D341" s="230" t="str">
        <f ca="1">IF(A341&gt;TODAY(),"",IF(N('Daily Tracking'!G341)&gt;=Settings!$B$13,1,0))</f>
        <v/>
      </c>
      <c r="E341" s="230" t="str">
        <f ca="1">IF(A341&gt;TODAY(),"",IF(N('Daily Tracking'!H341)&gt;=Settings!$B$14,1,0))</f>
        <v/>
      </c>
      <c r="F341" s="230" t="str">
        <f ca="1">IF(A341&gt;TODAY(),"",IF(OR(N('Daily Tracking'!I341)&gt;0,'Daily Tracking'!J341="Yes"),1,0))</f>
        <v/>
      </c>
      <c r="G341" s="230" t="str">
        <f ca="1">IF(A341&gt;TODAY(),"",IF(N('Daily Tracking'!K341)&gt;=Settings!$B$15,1,0))</f>
        <v/>
      </c>
      <c r="H341" s="231" t="str">
        <f ca="1">IF(B341="","",AVERAGE(B341:G341))</f>
        <v/>
      </c>
      <c r="I341" s="136" t="str">
        <f ca="1">IF(B341="","",IF(B341=1,N(I340)+1,0))</f>
        <v/>
      </c>
      <c r="J341" s="232"/>
      <c r="K341" s="232"/>
      <c r="L341" s="232"/>
      <c r="M341" s="232"/>
    </row>
    <row r="342" spans="1:13" ht="18" customHeight="1" x14ac:dyDescent="0.3">
      <c r="A342" s="132">
        <f>'Daily Tracking'!A342</f>
        <v>46614</v>
      </c>
      <c r="B342" s="230" t="str">
        <f ca="1">IF(A342&gt;TODAY(),"",IF('Daily Tracking'!B342&lt;&gt;"",1,0))</f>
        <v/>
      </c>
      <c r="C342" s="230" t="str">
        <f ca="1">IF(A342&gt;TODAY(),"",IF('Daily Tracking'!E342&lt;&gt;"",1,0))</f>
        <v/>
      </c>
      <c r="D342" s="230" t="str">
        <f ca="1">IF(A342&gt;TODAY(),"",IF(N('Daily Tracking'!G342)&gt;=Settings!$B$13,1,0))</f>
        <v/>
      </c>
      <c r="E342" s="230" t="str">
        <f ca="1">IF(A342&gt;TODAY(),"",IF(N('Daily Tracking'!H342)&gt;=Settings!$B$14,1,0))</f>
        <v/>
      </c>
      <c r="F342" s="230" t="str">
        <f ca="1">IF(A342&gt;TODAY(),"",IF(OR(N('Daily Tracking'!I342)&gt;0,'Daily Tracking'!J342="Yes"),1,0))</f>
        <v/>
      </c>
      <c r="G342" s="230" t="str">
        <f ca="1">IF(A342&gt;TODAY(),"",IF(N('Daily Tracking'!K342)&gt;=Settings!$B$15,1,0))</f>
        <v/>
      </c>
      <c r="H342" s="231" t="str">
        <f ca="1">IF(B342="","",AVERAGE(B342:G342))</f>
        <v/>
      </c>
      <c r="I342" s="136" t="str">
        <f ca="1">IF(B342="","",IF(B342=1,N(I341)+1,0))</f>
        <v/>
      </c>
      <c r="J342" s="232"/>
      <c r="K342" s="232"/>
      <c r="L342" s="232"/>
      <c r="M342" s="232"/>
    </row>
    <row r="343" spans="1:13" ht="18" customHeight="1" x14ac:dyDescent="0.3">
      <c r="A343" s="132">
        <f>'Daily Tracking'!A343</f>
        <v>46615</v>
      </c>
      <c r="B343" s="230" t="str">
        <f ca="1">IF(A343&gt;TODAY(),"",IF('Daily Tracking'!B343&lt;&gt;"",1,0))</f>
        <v/>
      </c>
      <c r="C343" s="230" t="str">
        <f ca="1">IF(A343&gt;TODAY(),"",IF('Daily Tracking'!E343&lt;&gt;"",1,0))</f>
        <v/>
      </c>
      <c r="D343" s="230" t="str">
        <f ca="1">IF(A343&gt;TODAY(),"",IF(N('Daily Tracking'!G343)&gt;=Settings!$B$13,1,0))</f>
        <v/>
      </c>
      <c r="E343" s="230" t="str">
        <f ca="1">IF(A343&gt;TODAY(),"",IF(N('Daily Tracking'!H343)&gt;=Settings!$B$14,1,0))</f>
        <v/>
      </c>
      <c r="F343" s="230" t="str">
        <f ca="1">IF(A343&gt;TODAY(),"",IF(OR(N('Daily Tracking'!I343)&gt;0,'Daily Tracking'!J343="Yes"),1,0))</f>
        <v/>
      </c>
      <c r="G343" s="230" t="str">
        <f ca="1">IF(A343&gt;TODAY(),"",IF(N('Daily Tracking'!K343)&gt;=Settings!$B$15,1,0))</f>
        <v/>
      </c>
      <c r="H343" s="231" t="str">
        <f ca="1">IF(B343="","",AVERAGE(B343:G343))</f>
        <v/>
      </c>
      <c r="I343" s="136" t="str">
        <f ca="1">IF(B343="","",IF(B343=1,N(I342)+1,0))</f>
        <v/>
      </c>
      <c r="J343" s="232"/>
      <c r="K343" s="232"/>
      <c r="L343" s="232"/>
      <c r="M343" s="232"/>
    </row>
    <row r="344" spans="1:13" ht="18" customHeight="1" x14ac:dyDescent="0.3">
      <c r="A344" s="132">
        <f>'Daily Tracking'!A344</f>
        <v>46616</v>
      </c>
      <c r="B344" s="230" t="str">
        <f ca="1">IF(A344&gt;TODAY(),"",IF('Daily Tracking'!B344&lt;&gt;"",1,0))</f>
        <v/>
      </c>
      <c r="C344" s="230" t="str">
        <f ca="1">IF(A344&gt;TODAY(),"",IF('Daily Tracking'!E344&lt;&gt;"",1,0))</f>
        <v/>
      </c>
      <c r="D344" s="230" t="str">
        <f ca="1">IF(A344&gt;TODAY(),"",IF(N('Daily Tracking'!G344)&gt;=Settings!$B$13,1,0))</f>
        <v/>
      </c>
      <c r="E344" s="230" t="str">
        <f ca="1">IF(A344&gt;TODAY(),"",IF(N('Daily Tracking'!H344)&gt;=Settings!$B$14,1,0))</f>
        <v/>
      </c>
      <c r="F344" s="230" t="str">
        <f ca="1">IF(A344&gt;TODAY(),"",IF(OR(N('Daily Tracking'!I344)&gt;0,'Daily Tracking'!J344="Yes"),1,0))</f>
        <v/>
      </c>
      <c r="G344" s="230" t="str">
        <f ca="1">IF(A344&gt;TODAY(),"",IF(N('Daily Tracking'!K344)&gt;=Settings!$B$15,1,0))</f>
        <v/>
      </c>
      <c r="H344" s="231" t="str">
        <f ca="1">IF(B344="","",AVERAGE(B344:G344))</f>
        <v/>
      </c>
      <c r="I344" s="136" t="str">
        <f ca="1">IF(B344="","",IF(B344=1,N(I343)+1,0))</f>
        <v/>
      </c>
      <c r="J344" s="232"/>
      <c r="K344" s="232"/>
      <c r="L344" s="232"/>
      <c r="M344" s="232"/>
    </row>
    <row r="345" spans="1:13" ht="18" customHeight="1" x14ac:dyDescent="0.3">
      <c r="A345" s="132">
        <f>'Daily Tracking'!A345</f>
        <v>46617</v>
      </c>
      <c r="B345" s="230" t="str">
        <f ca="1">IF(A345&gt;TODAY(),"",IF('Daily Tracking'!B345&lt;&gt;"",1,0))</f>
        <v/>
      </c>
      <c r="C345" s="230" t="str">
        <f ca="1">IF(A345&gt;TODAY(),"",IF('Daily Tracking'!E345&lt;&gt;"",1,0))</f>
        <v/>
      </c>
      <c r="D345" s="230" t="str">
        <f ca="1">IF(A345&gt;TODAY(),"",IF(N('Daily Tracking'!G345)&gt;=Settings!$B$13,1,0))</f>
        <v/>
      </c>
      <c r="E345" s="230" t="str">
        <f ca="1">IF(A345&gt;TODAY(),"",IF(N('Daily Tracking'!H345)&gt;=Settings!$B$14,1,0))</f>
        <v/>
      </c>
      <c r="F345" s="230" t="str">
        <f ca="1">IF(A345&gt;TODAY(),"",IF(OR(N('Daily Tracking'!I345)&gt;0,'Daily Tracking'!J345="Yes"),1,0))</f>
        <v/>
      </c>
      <c r="G345" s="230" t="str">
        <f ca="1">IF(A345&gt;TODAY(),"",IF(N('Daily Tracking'!K345)&gt;=Settings!$B$15,1,0))</f>
        <v/>
      </c>
      <c r="H345" s="231" t="str">
        <f ca="1">IF(B345="","",AVERAGE(B345:G345))</f>
        <v/>
      </c>
      <c r="I345" s="136" t="str">
        <f ca="1">IF(B345="","",IF(B345=1,N(I344)+1,0))</f>
        <v/>
      </c>
      <c r="J345" s="232"/>
      <c r="K345" s="232"/>
      <c r="L345" s="232"/>
      <c r="M345" s="232"/>
    </row>
    <row r="346" spans="1:13" ht="18" customHeight="1" x14ac:dyDescent="0.3">
      <c r="A346" s="132">
        <f>'Daily Tracking'!A346</f>
        <v>46618</v>
      </c>
      <c r="B346" s="230" t="str">
        <f ca="1">IF(A346&gt;TODAY(),"",IF('Daily Tracking'!B346&lt;&gt;"",1,0))</f>
        <v/>
      </c>
      <c r="C346" s="230" t="str">
        <f ca="1">IF(A346&gt;TODAY(),"",IF('Daily Tracking'!E346&lt;&gt;"",1,0))</f>
        <v/>
      </c>
      <c r="D346" s="230" t="str">
        <f ca="1">IF(A346&gt;TODAY(),"",IF(N('Daily Tracking'!G346)&gt;=Settings!$B$13,1,0))</f>
        <v/>
      </c>
      <c r="E346" s="230" t="str">
        <f ca="1">IF(A346&gt;TODAY(),"",IF(N('Daily Tracking'!H346)&gt;=Settings!$B$14,1,0))</f>
        <v/>
      </c>
      <c r="F346" s="230" t="str">
        <f ca="1">IF(A346&gt;TODAY(),"",IF(OR(N('Daily Tracking'!I346)&gt;0,'Daily Tracking'!J346="Yes"),1,0))</f>
        <v/>
      </c>
      <c r="G346" s="230" t="str">
        <f ca="1">IF(A346&gt;TODAY(),"",IF(N('Daily Tracking'!K346)&gt;=Settings!$B$15,1,0))</f>
        <v/>
      </c>
      <c r="H346" s="231" t="str">
        <f ca="1">IF(B346="","",AVERAGE(B346:G346))</f>
        <v/>
      </c>
      <c r="I346" s="136" t="str">
        <f ca="1">IF(B346="","",IF(B346=1,N(I345)+1,0))</f>
        <v/>
      </c>
      <c r="J346" s="232"/>
      <c r="K346" s="232"/>
      <c r="L346" s="232"/>
      <c r="M346" s="232"/>
    </row>
    <row r="347" spans="1:13" ht="18" customHeight="1" x14ac:dyDescent="0.3">
      <c r="A347" s="132">
        <f>'Daily Tracking'!A347</f>
        <v>46619</v>
      </c>
      <c r="B347" s="230" t="str">
        <f ca="1">IF(A347&gt;TODAY(),"",IF('Daily Tracking'!B347&lt;&gt;"",1,0))</f>
        <v/>
      </c>
      <c r="C347" s="230" t="str">
        <f ca="1">IF(A347&gt;TODAY(),"",IF('Daily Tracking'!E347&lt;&gt;"",1,0))</f>
        <v/>
      </c>
      <c r="D347" s="230" t="str">
        <f ca="1">IF(A347&gt;TODAY(),"",IF(N('Daily Tracking'!G347)&gt;=Settings!$B$13,1,0))</f>
        <v/>
      </c>
      <c r="E347" s="230" t="str">
        <f ca="1">IF(A347&gt;TODAY(),"",IF(N('Daily Tracking'!H347)&gt;=Settings!$B$14,1,0))</f>
        <v/>
      </c>
      <c r="F347" s="230" t="str">
        <f ca="1">IF(A347&gt;TODAY(),"",IF(OR(N('Daily Tracking'!I347)&gt;0,'Daily Tracking'!J347="Yes"),1,0))</f>
        <v/>
      </c>
      <c r="G347" s="230" t="str">
        <f ca="1">IF(A347&gt;TODAY(),"",IF(N('Daily Tracking'!K347)&gt;=Settings!$B$15,1,0))</f>
        <v/>
      </c>
      <c r="H347" s="231" t="str">
        <f ca="1">IF(B347="","",AVERAGE(B347:G347))</f>
        <v/>
      </c>
      <c r="I347" s="136" t="str">
        <f ca="1">IF(B347="","",IF(B347=1,N(I346)+1,0))</f>
        <v/>
      </c>
      <c r="J347" s="232"/>
      <c r="K347" s="232"/>
      <c r="L347" s="232"/>
      <c r="M347" s="232"/>
    </row>
    <row r="348" spans="1:13" ht="18" customHeight="1" x14ac:dyDescent="0.3">
      <c r="A348" s="132">
        <f>'Daily Tracking'!A348</f>
        <v>46620</v>
      </c>
      <c r="B348" s="230" t="str">
        <f ca="1">IF(A348&gt;TODAY(),"",IF('Daily Tracking'!B348&lt;&gt;"",1,0))</f>
        <v/>
      </c>
      <c r="C348" s="230" t="str">
        <f ca="1">IF(A348&gt;TODAY(),"",IF('Daily Tracking'!E348&lt;&gt;"",1,0))</f>
        <v/>
      </c>
      <c r="D348" s="230" t="str">
        <f ca="1">IF(A348&gt;TODAY(),"",IF(N('Daily Tracking'!G348)&gt;=Settings!$B$13,1,0))</f>
        <v/>
      </c>
      <c r="E348" s="230" t="str">
        <f ca="1">IF(A348&gt;TODAY(),"",IF(N('Daily Tracking'!H348)&gt;=Settings!$B$14,1,0))</f>
        <v/>
      </c>
      <c r="F348" s="230" t="str">
        <f ca="1">IF(A348&gt;TODAY(),"",IF(OR(N('Daily Tracking'!I348)&gt;0,'Daily Tracking'!J348="Yes"),1,0))</f>
        <v/>
      </c>
      <c r="G348" s="230" t="str">
        <f ca="1">IF(A348&gt;TODAY(),"",IF(N('Daily Tracking'!K348)&gt;=Settings!$B$15,1,0))</f>
        <v/>
      </c>
      <c r="H348" s="231" t="str">
        <f ca="1">IF(B348="","",AVERAGE(B348:G348))</f>
        <v/>
      </c>
      <c r="I348" s="136" t="str">
        <f ca="1">IF(B348="","",IF(B348=1,N(I347)+1,0))</f>
        <v/>
      </c>
      <c r="J348" s="232"/>
      <c r="K348" s="232"/>
      <c r="L348" s="232"/>
      <c r="M348" s="232"/>
    </row>
    <row r="349" spans="1:13" ht="18" customHeight="1" x14ac:dyDescent="0.3">
      <c r="A349" s="132">
        <f>'Daily Tracking'!A349</f>
        <v>46621</v>
      </c>
      <c r="B349" s="230" t="str">
        <f ca="1">IF(A349&gt;TODAY(),"",IF('Daily Tracking'!B349&lt;&gt;"",1,0))</f>
        <v/>
      </c>
      <c r="C349" s="230" t="str">
        <f ca="1">IF(A349&gt;TODAY(),"",IF('Daily Tracking'!E349&lt;&gt;"",1,0))</f>
        <v/>
      </c>
      <c r="D349" s="230" t="str">
        <f ca="1">IF(A349&gt;TODAY(),"",IF(N('Daily Tracking'!G349)&gt;=Settings!$B$13,1,0))</f>
        <v/>
      </c>
      <c r="E349" s="230" t="str">
        <f ca="1">IF(A349&gt;TODAY(),"",IF(N('Daily Tracking'!H349)&gt;=Settings!$B$14,1,0))</f>
        <v/>
      </c>
      <c r="F349" s="230" t="str">
        <f ca="1">IF(A349&gt;TODAY(),"",IF(OR(N('Daily Tracking'!I349)&gt;0,'Daily Tracking'!J349="Yes"),1,0))</f>
        <v/>
      </c>
      <c r="G349" s="230" t="str">
        <f ca="1">IF(A349&gt;TODAY(),"",IF(N('Daily Tracking'!K349)&gt;=Settings!$B$15,1,0))</f>
        <v/>
      </c>
      <c r="H349" s="231" t="str">
        <f ca="1">IF(B349="","",AVERAGE(B349:G349))</f>
        <v/>
      </c>
      <c r="I349" s="136" t="str">
        <f ca="1">IF(B349="","",IF(B349=1,N(I348)+1,0))</f>
        <v/>
      </c>
      <c r="J349" s="232"/>
      <c r="K349" s="232"/>
      <c r="L349" s="232"/>
      <c r="M349" s="232"/>
    </row>
    <row r="350" spans="1:13" ht="18" customHeight="1" x14ac:dyDescent="0.3">
      <c r="A350" s="132">
        <f>'Daily Tracking'!A350</f>
        <v>46622</v>
      </c>
      <c r="B350" s="230" t="str">
        <f ca="1">IF(A350&gt;TODAY(),"",IF('Daily Tracking'!B350&lt;&gt;"",1,0))</f>
        <v/>
      </c>
      <c r="C350" s="230" t="str">
        <f ca="1">IF(A350&gt;TODAY(),"",IF('Daily Tracking'!E350&lt;&gt;"",1,0))</f>
        <v/>
      </c>
      <c r="D350" s="230" t="str">
        <f ca="1">IF(A350&gt;TODAY(),"",IF(N('Daily Tracking'!G350)&gt;=Settings!$B$13,1,0))</f>
        <v/>
      </c>
      <c r="E350" s="230" t="str">
        <f ca="1">IF(A350&gt;TODAY(),"",IF(N('Daily Tracking'!H350)&gt;=Settings!$B$14,1,0))</f>
        <v/>
      </c>
      <c r="F350" s="230" t="str">
        <f ca="1">IF(A350&gt;TODAY(),"",IF(OR(N('Daily Tracking'!I350)&gt;0,'Daily Tracking'!J350="Yes"),1,0))</f>
        <v/>
      </c>
      <c r="G350" s="230" t="str">
        <f ca="1">IF(A350&gt;TODAY(),"",IF(N('Daily Tracking'!K350)&gt;=Settings!$B$15,1,0))</f>
        <v/>
      </c>
      <c r="H350" s="231" t="str">
        <f ca="1">IF(B350="","",AVERAGE(B350:G350))</f>
        <v/>
      </c>
      <c r="I350" s="136" t="str">
        <f ca="1">IF(B350="","",IF(B350=1,N(I349)+1,0))</f>
        <v/>
      </c>
      <c r="J350" s="232"/>
      <c r="K350" s="232"/>
      <c r="L350" s="232"/>
      <c r="M350" s="232"/>
    </row>
    <row r="351" spans="1:13" ht="18" customHeight="1" x14ac:dyDescent="0.3">
      <c r="A351" s="132">
        <f>'Daily Tracking'!A351</f>
        <v>46623</v>
      </c>
      <c r="B351" s="230" t="str">
        <f ca="1">IF(A351&gt;TODAY(),"",IF('Daily Tracking'!B351&lt;&gt;"",1,0))</f>
        <v/>
      </c>
      <c r="C351" s="230" t="str">
        <f ca="1">IF(A351&gt;TODAY(),"",IF('Daily Tracking'!E351&lt;&gt;"",1,0))</f>
        <v/>
      </c>
      <c r="D351" s="230" t="str">
        <f ca="1">IF(A351&gt;TODAY(),"",IF(N('Daily Tracking'!G351)&gt;=Settings!$B$13,1,0))</f>
        <v/>
      </c>
      <c r="E351" s="230" t="str">
        <f ca="1">IF(A351&gt;TODAY(),"",IF(N('Daily Tracking'!H351)&gt;=Settings!$B$14,1,0))</f>
        <v/>
      </c>
      <c r="F351" s="230" t="str">
        <f ca="1">IF(A351&gt;TODAY(),"",IF(OR(N('Daily Tracking'!I351)&gt;0,'Daily Tracking'!J351="Yes"),1,0))</f>
        <v/>
      </c>
      <c r="G351" s="230" t="str">
        <f ca="1">IF(A351&gt;TODAY(),"",IF(N('Daily Tracking'!K351)&gt;=Settings!$B$15,1,0))</f>
        <v/>
      </c>
      <c r="H351" s="231" t="str">
        <f ca="1">IF(B351="","",AVERAGE(B351:G351))</f>
        <v/>
      </c>
      <c r="I351" s="136" t="str">
        <f ca="1">IF(B351="","",IF(B351=1,N(I350)+1,0))</f>
        <v/>
      </c>
      <c r="J351" s="232"/>
      <c r="K351" s="232"/>
      <c r="L351" s="232"/>
      <c r="M351" s="232"/>
    </row>
    <row r="352" spans="1:13" ht="18" customHeight="1" x14ac:dyDescent="0.3">
      <c r="A352" s="132">
        <f>'Daily Tracking'!A352</f>
        <v>46624</v>
      </c>
      <c r="B352" s="230" t="str">
        <f ca="1">IF(A352&gt;TODAY(),"",IF('Daily Tracking'!B352&lt;&gt;"",1,0))</f>
        <v/>
      </c>
      <c r="C352" s="230" t="str">
        <f ca="1">IF(A352&gt;TODAY(),"",IF('Daily Tracking'!E352&lt;&gt;"",1,0))</f>
        <v/>
      </c>
      <c r="D352" s="230" t="str">
        <f ca="1">IF(A352&gt;TODAY(),"",IF(N('Daily Tracking'!G352)&gt;=Settings!$B$13,1,0))</f>
        <v/>
      </c>
      <c r="E352" s="230" t="str">
        <f ca="1">IF(A352&gt;TODAY(),"",IF(N('Daily Tracking'!H352)&gt;=Settings!$B$14,1,0))</f>
        <v/>
      </c>
      <c r="F352" s="230" t="str">
        <f ca="1">IF(A352&gt;TODAY(),"",IF(OR(N('Daily Tracking'!I352)&gt;0,'Daily Tracking'!J352="Yes"),1,0))</f>
        <v/>
      </c>
      <c r="G352" s="230" t="str">
        <f ca="1">IF(A352&gt;TODAY(),"",IF(N('Daily Tracking'!K352)&gt;=Settings!$B$15,1,0))</f>
        <v/>
      </c>
      <c r="H352" s="231" t="str">
        <f ca="1">IF(B352="","",AVERAGE(B352:G352))</f>
        <v/>
      </c>
      <c r="I352" s="136" t="str">
        <f ca="1">IF(B352="","",IF(B352=1,N(I351)+1,0))</f>
        <v/>
      </c>
      <c r="J352" s="232"/>
      <c r="K352" s="232"/>
      <c r="L352" s="232"/>
      <c r="M352" s="232"/>
    </row>
    <row r="353" spans="1:13" ht="18" customHeight="1" x14ac:dyDescent="0.3">
      <c r="A353" s="132">
        <f>'Daily Tracking'!A353</f>
        <v>46625</v>
      </c>
      <c r="B353" s="230" t="str">
        <f ca="1">IF(A353&gt;TODAY(),"",IF('Daily Tracking'!B353&lt;&gt;"",1,0))</f>
        <v/>
      </c>
      <c r="C353" s="230" t="str">
        <f ca="1">IF(A353&gt;TODAY(),"",IF('Daily Tracking'!E353&lt;&gt;"",1,0))</f>
        <v/>
      </c>
      <c r="D353" s="230" t="str">
        <f ca="1">IF(A353&gt;TODAY(),"",IF(N('Daily Tracking'!G353)&gt;=Settings!$B$13,1,0))</f>
        <v/>
      </c>
      <c r="E353" s="230" t="str">
        <f ca="1">IF(A353&gt;TODAY(),"",IF(N('Daily Tracking'!H353)&gt;=Settings!$B$14,1,0))</f>
        <v/>
      </c>
      <c r="F353" s="230" t="str">
        <f ca="1">IF(A353&gt;TODAY(),"",IF(OR(N('Daily Tracking'!I353)&gt;0,'Daily Tracking'!J353="Yes"),1,0))</f>
        <v/>
      </c>
      <c r="G353" s="230" t="str">
        <f ca="1">IF(A353&gt;TODAY(),"",IF(N('Daily Tracking'!K353)&gt;=Settings!$B$15,1,0))</f>
        <v/>
      </c>
      <c r="H353" s="231" t="str">
        <f ca="1">IF(B353="","",AVERAGE(B353:G353))</f>
        <v/>
      </c>
      <c r="I353" s="136" t="str">
        <f ca="1">IF(B353="","",IF(B353=1,N(I352)+1,0))</f>
        <v/>
      </c>
      <c r="J353" s="232"/>
      <c r="K353" s="232"/>
      <c r="L353" s="232"/>
      <c r="M353" s="232"/>
    </row>
    <row r="354" spans="1:13" ht="18" customHeight="1" x14ac:dyDescent="0.3">
      <c r="A354" s="132">
        <f>'Daily Tracking'!A354</f>
        <v>46626</v>
      </c>
      <c r="B354" s="230" t="str">
        <f ca="1">IF(A354&gt;TODAY(),"",IF('Daily Tracking'!B354&lt;&gt;"",1,0))</f>
        <v/>
      </c>
      <c r="C354" s="230" t="str">
        <f ca="1">IF(A354&gt;TODAY(),"",IF('Daily Tracking'!E354&lt;&gt;"",1,0))</f>
        <v/>
      </c>
      <c r="D354" s="230" t="str">
        <f ca="1">IF(A354&gt;TODAY(),"",IF(N('Daily Tracking'!G354)&gt;=Settings!$B$13,1,0))</f>
        <v/>
      </c>
      <c r="E354" s="230" t="str">
        <f ca="1">IF(A354&gt;TODAY(),"",IF(N('Daily Tracking'!H354)&gt;=Settings!$B$14,1,0))</f>
        <v/>
      </c>
      <c r="F354" s="230" t="str">
        <f ca="1">IF(A354&gt;TODAY(),"",IF(OR(N('Daily Tracking'!I354)&gt;0,'Daily Tracking'!J354="Yes"),1,0))</f>
        <v/>
      </c>
      <c r="G354" s="230" t="str">
        <f ca="1">IF(A354&gt;TODAY(),"",IF(N('Daily Tracking'!K354)&gt;=Settings!$B$15,1,0))</f>
        <v/>
      </c>
      <c r="H354" s="231" t="str">
        <f ca="1">IF(B354="","",AVERAGE(B354:G354))</f>
        <v/>
      </c>
      <c r="I354" s="136" t="str">
        <f ca="1">IF(B354="","",IF(B354=1,N(I353)+1,0))</f>
        <v/>
      </c>
      <c r="J354" s="232"/>
      <c r="K354" s="232"/>
      <c r="L354" s="232"/>
      <c r="M354" s="232"/>
    </row>
    <row r="355" spans="1:13" ht="18" customHeight="1" x14ac:dyDescent="0.3">
      <c r="A355" s="132">
        <f>'Daily Tracking'!A355</f>
        <v>46627</v>
      </c>
      <c r="B355" s="230" t="str">
        <f ca="1">IF(A355&gt;TODAY(),"",IF('Daily Tracking'!B355&lt;&gt;"",1,0))</f>
        <v/>
      </c>
      <c r="C355" s="230" t="str">
        <f ca="1">IF(A355&gt;TODAY(),"",IF('Daily Tracking'!E355&lt;&gt;"",1,0))</f>
        <v/>
      </c>
      <c r="D355" s="230" t="str">
        <f ca="1">IF(A355&gt;TODAY(),"",IF(N('Daily Tracking'!G355)&gt;=Settings!$B$13,1,0))</f>
        <v/>
      </c>
      <c r="E355" s="230" t="str">
        <f ca="1">IF(A355&gt;TODAY(),"",IF(N('Daily Tracking'!H355)&gt;=Settings!$B$14,1,0))</f>
        <v/>
      </c>
      <c r="F355" s="230" t="str">
        <f ca="1">IF(A355&gt;TODAY(),"",IF(OR(N('Daily Tracking'!I355)&gt;0,'Daily Tracking'!J355="Yes"),1,0))</f>
        <v/>
      </c>
      <c r="G355" s="230" t="str">
        <f ca="1">IF(A355&gt;TODAY(),"",IF(N('Daily Tracking'!K355)&gt;=Settings!$B$15,1,0))</f>
        <v/>
      </c>
      <c r="H355" s="231" t="str">
        <f ca="1">IF(B355="","",AVERAGE(B355:G355))</f>
        <v/>
      </c>
      <c r="I355" s="136" t="str">
        <f ca="1">IF(B355="","",IF(B355=1,N(I354)+1,0))</f>
        <v/>
      </c>
      <c r="J355" s="232"/>
      <c r="K355" s="232"/>
      <c r="L355" s="232"/>
      <c r="M355" s="232"/>
    </row>
    <row r="356" spans="1:13" ht="18" customHeight="1" x14ac:dyDescent="0.3">
      <c r="A356" s="132">
        <f>'Daily Tracking'!A356</f>
        <v>46628</v>
      </c>
      <c r="B356" s="230" t="str">
        <f ca="1">IF(A356&gt;TODAY(),"",IF('Daily Tracking'!B356&lt;&gt;"",1,0))</f>
        <v/>
      </c>
      <c r="C356" s="230" t="str">
        <f ca="1">IF(A356&gt;TODAY(),"",IF('Daily Tracking'!E356&lt;&gt;"",1,0))</f>
        <v/>
      </c>
      <c r="D356" s="230" t="str">
        <f ca="1">IF(A356&gt;TODAY(),"",IF(N('Daily Tracking'!G356)&gt;=Settings!$B$13,1,0))</f>
        <v/>
      </c>
      <c r="E356" s="230" t="str">
        <f ca="1">IF(A356&gt;TODAY(),"",IF(N('Daily Tracking'!H356)&gt;=Settings!$B$14,1,0))</f>
        <v/>
      </c>
      <c r="F356" s="230" t="str">
        <f ca="1">IF(A356&gt;TODAY(),"",IF(OR(N('Daily Tracking'!I356)&gt;0,'Daily Tracking'!J356="Yes"),1,0))</f>
        <v/>
      </c>
      <c r="G356" s="230" t="str">
        <f ca="1">IF(A356&gt;TODAY(),"",IF(N('Daily Tracking'!K356)&gt;=Settings!$B$15,1,0))</f>
        <v/>
      </c>
      <c r="H356" s="231" t="str">
        <f ca="1">IF(B356="","",AVERAGE(B356:G356))</f>
        <v/>
      </c>
      <c r="I356" s="136" t="str">
        <f ca="1">IF(B356="","",IF(B356=1,N(I355)+1,0))</f>
        <v/>
      </c>
      <c r="J356" s="232"/>
      <c r="K356" s="232"/>
      <c r="L356" s="232"/>
      <c r="M356" s="232"/>
    </row>
    <row r="357" spans="1:13" ht="18" customHeight="1" x14ac:dyDescent="0.3">
      <c r="A357" s="132">
        <f>'Daily Tracking'!A357</f>
        <v>46629</v>
      </c>
      <c r="B357" s="230" t="str">
        <f ca="1">IF(A357&gt;TODAY(),"",IF('Daily Tracking'!B357&lt;&gt;"",1,0))</f>
        <v/>
      </c>
      <c r="C357" s="230" t="str">
        <f ca="1">IF(A357&gt;TODAY(),"",IF('Daily Tracking'!E357&lt;&gt;"",1,0))</f>
        <v/>
      </c>
      <c r="D357" s="230" t="str">
        <f ca="1">IF(A357&gt;TODAY(),"",IF(N('Daily Tracking'!G357)&gt;=Settings!$B$13,1,0))</f>
        <v/>
      </c>
      <c r="E357" s="230" t="str">
        <f ca="1">IF(A357&gt;TODAY(),"",IF(N('Daily Tracking'!H357)&gt;=Settings!$B$14,1,0))</f>
        <v/>
      </c>
      <c r="F357" s="230" t="str">
        <f ca="1">IF(A357&gt;TODAY(),"",IF(OR(N('Daily Tracking'!I357)&gt;0,'Daily Tracking'!J357="Yes"),1,0))</f>
        <v/>
      </c>
      <c r="G357" s="230" t="str">
        <f ca="1">IF(A357&gt;TODAY(),"",IF(N('Daily Tracking'!K357)&gt;=Settings!$B$15,1,0))</f>
        <v/>
      </c>
      <c r="H357" s="231" t="str">
        <f ca="1">IF(B357="","",AVERAGE(B357:G357))</f>
        <v/>
      </c>
      <c r="I357" s="136" t="str">
        <f ca="1">IF(B357="","",IF(B357=1,N(I356)+1,0))</f>
        <v/>
      </c>
      <c r="J357" s="232"/>
      <c r="K357" s="232"/>
      <c r="L357" s="232"/>
      <c r="M357" s="232"/>
    </row>
    <row r="358" spans="1:13" ht="18" customHeight="1" x14ac:dyDescent="0.3">
      <c r="A358" s="132">
        <f>'Daily Tracking'!A358</f>
        <v>46630</v>
      </c>
      <c r="B358" s="230" t="str">
        <f ca="1">IF(A358&gt;TODAY(),"",IF('Daily Tracking'!B358&lt;&gt;"",1,0))</f>
        <v/>
      </c>
      <c r="C358" s="230" t="str">
        <f ca="1">IF(A358&gt;TODAY(),"",IF('Daily Tracking'!E358&lt;&gt;"",1,0))</f>
        <v/>
      </c>
      <c r="D358" s="230" t="str">
        <f ca="1">IF(A358&gt;TODAY(),"",IF(N('Daily Tracking'!G358)&gt;=Settings!$B$13,1,0))</f>
        <v/>
      </c>
      <c r="E358" s="230" t="str">
        <f ca="1">IF(A358&gt;TODAY(),"",IF(N('Daily Tracking'!H358)&gt;=Settings!$B$14,1,0))</f>
        <v/>
      </c>
      <c r="F358" s="230" t="str">
        <f ca="1">IF(A358&gt;TODAY(),"",IF(OR(N('Daily Tracking'!I358)&gt;0,'Daily Tracking'!J358="Yes"),1,0))</f>
        <v/>
      </c>
      <c r="G358" s="230" t="str">
        <f ca="1">IF(A358&gt;TODAY(),"",IF(N('Daily Tracking'!K358)&gt;=Settings!$B$15,1,0))</f>
        <v/>
      </c>
      <c r="H358" s="231" t="str">
        <f ca="1">IF(B358="","",AVERAGE(B358:G358))</f>
        <v/>
      </c>
      <c r="I358" s="136" t="str">
        <f ca="1">IF(B358="","",IF(B358=1,N(I357)+1,0))</f>
        <v/>
      </c>
      <c r="J358" s="232"/>
      <c r="K358" s="232"/>
      <c r="L358" s="232"/>
      <c r="M358" s="232"/>
    </row>
    <row r="359" spans="1:13" ht="18" customHeight="1" x14ac:dyDescent="0.3">
      <c r="A359" s="132">
        <f>'Daily Tracking'!A359</f>
        <v>46631</v>
      </c>
      <c r="B359" s="230" t="str">
        <f ca="1">IF(A359&gt;TODAY(),"",IF('Daily Tracking'!B359&lt;&gt;"",1,0))</f>
        <v/>
      </c>
      <c r="C359" s="230" t="str">
        <f ca="1">IF(A359&gt;TODAY(),"",IF('Daily Tracking'!E359&lt;&gt;"",1,0))</f>
        <v/>
      </c>
      <c r="D359" s="230" t="str">
        <f ca="1">IF(A359&gt;TODAY(),"",IF(N('Daily Tracking'!G359)&gt;=Settings!$B$13,1,0))</f>
        <v/>
      </c>
      <c r="E359" s="230" t="str">
        <f ca="1">IF(A359&gt;TODAY(),"",IF(N('Daily Tracking'!H359)&gt;=Settings!$B$14,1,0))</f>
        <v/>
      </c>
      <c r="F359" s="230" t="str">
        <f ca="1">IF(A359&gt;TODAY(),"",IF(OR(N('Daily Tracking'!I359)&gt;0,'Daily Tracking'!J359="Yes"),1,0))</f>
        <v/>
      </c>
      <c r="G359" s="230" t="str">
        <f ca="1">IF(A359&gt;TODAY(),"",IF(N('Daily Tracking'!K359)&gt;=Settings!$B$15,1,0))</f>
        <v/>
      </c>
      <c r="H359" s="231" t="str">
        <f ca="1">IF(B359="","",AVERAGE(B359:G359))</f>
        <v/>
      </c>
      <c r="I359" s="136" t="str">
        <f ca="1">IF(B359="","",IF(B359=1,N(I358)+1,0))</f>
        <v/>
      </c>
      <c r="J359" s="232"/>
      <c r="K359" s="232"/>
      <c r="L359" s="232"/>
      <c r="M359" s="232"/>
    </row>
    <row r="360" spans="1:13" ht="18" customHeight="1" x14ac:dyDescent="0.3">
      <c r="A360" s="132">
        <f>'Daily Tracking'!A360</f>
        <v>46632</v>
      </c>
      <c r="B360" s="230" t="str">
        <f ca="1">IF(A360&gt;TODAY(),"",IF('Daily Tracking'!B360&lt;&gt;"",1,0))</f>
        <v/>
      </c>
      <c r="C360" s="230" t="str">
        <f ca="1">IF(A360&gt;TODAY(),"",IF('Daily Tracking'!E360&lt;&gt;"",1,0))</f>
        <v/>
      </c>
      <c r="D360" s="230" t="str">
        <f ca="1">IF(A360&gt;TODAY(),"",IF(N('Daily Tracking'!G360)&gt;=Settings!$B$13,1,0))</f>
        <v/>
      </c>
      <c r="E360" s="230" t="str">
        <f ca="1">IF(A360&gt;TODAY(),"",IF(N('Daily Tracking'!H360)&gt;=Settings!$B$14,1,0))</f>
        <v/>
      </c>
      <c r="F360" s="230" t="str">
        <f ca="1">IF(A360&gt;TODAY(),"",IF(OR(N('Daily Tracking'!I360)&gt;0,'Daily Tracking'!J360="Yes"),1,0))</f>
        <v/>
      </c>
      <c r="G360" s="230" t="str">
        <f ca="1">IF(A360&gt;TODAY(),"",IF(N('Daily Tracking'!K360)&gt;=Settings!$B$15,1,0))</f>
        <v/>
      </c>
      <c r="H360" s="231" t="str">
        <f ca="1">IF(B360="","",AVERAGE(B360:G360))</f>
        <v/>
      </c>
      <c r="I360" s="136" t="str">
        <f ca="1">IF(B360="","",IF(B360=1,N(I359)+1,0))</f>
        <v/>
      </c>
      <c r="J360" s="232"/>
      <c r="K360" s="232"/>
      <c r="L360" s="232"/>
      <c r="M360" s="232"/>
    </row>
    <row r="361" spans="1:13" ht="18" customHeight="1" x14ac:dyDescent="0.3">
      <c r="A361" s="132">
        <f>'Daily Tracking'!A361</f>
        <v>46633</v>
      </c>
      <c r="B361" s="230" t="str">
        <f ca="1">IF(A361&gt;TODAY(),"",IF('Daily Tracking'!B361&lt;&gt;"",1,0))</f>
        <v/>
      </c>
      <c r="C361" s="230" t="str">
        <f ca="1">IF(A361&gt;TODAY(),"",IF('Daily Tracking'!E361&lt;&gt;"",1,0))</f>
        <v/>
      </c>
      <c r="D361" s="230" t="str">
        <f ca="1">IF(A361&gt;TODAY(),"",IF(N('Daily Tracking'!G361)&gt;=Settings!$B$13,1,0))</f>
        <v/>
      </c>
      <c r="E361" s="230" t="str">
        <f ca="1">IF(A361&gt;TODAY(),"",IF(N('Daily Tracking'!H361)&gt;=Settings!$B$14,1,0))</f>
        <v/>
      </c>
      <c r="F361" s="230" t="str">
        <f ca="1">IF(A361&gt;TODAY(),"",IF(OR(N('Daily Tracking'!I361)&gt;0,'Daily Tracking'!J361="Yes"),1,0))</f>
        <v/>
      </c>
      <c r="G361" s="230" t="str">
        <f ca="1">IF(A361&gt;TODAY(),"",IF(N('Daily Tracking'!K361)&gt;=Settings!$B$15,1,0))</f>
        <v/>
      </c>
      <c r="H361" s="231" t="str">
        <f ca="1">IF(B361="","",AVERAGE(B361:G361))</f>
        <v/>
      </c>
      <c r="I361" s="136" t="str">
        <f ca="1">IF(B361="","",IF(B361=1,N(I360)+1,0))</f>
        <v/>
      </c>
      <c r="J361" s="232"/>
      <c r="K361" s="232"/>
      <c r="L361" s="232"/>
      <c r="M361" s="232"/>
    </row>
    <row r="362" spans="1:13" ht="18" customHeight="1" x14ac:dyDescent="0.3">
      <c r="A362" s="132">
        <f>'Daily Tracking'!A362</f>
        <v>46634</v>
      </c>
      <c r="B362" s="230" t="str">
        <f ca="1">IF(A362&gt;TODAY(),"",IF('Daily Tracking'!B362&lt;&gt;"",1,0))</f>
        <v/>
      </c>
      <c r="C362" s="230" t="str">
        <f ca="1">IF(A362&gt;TODAY(),"",IF('Daily Tracking'!E362&lt;&gt;"",1,0))</f>
        <v/>
      </c>
      <c r="D362" s="230" t="str">
        <f ca="1">IF(A362&gt;TODAY(),"",IF(N('Daily Tracking'!G362)&gt;=Settings!$B$13,1,0))</f>
        <v/>
      </c>
      <c r="E362" s="230" t="str">
        <f ca="1">IF(A362&gt;TODAY(),"",IF(N('Daily Tracking'!H362)&gt;=Settings!$B$14,1,0))</f>
        <v/>
      </c>
      <c r="F362" s="230" t="str">
        <f ca="1">IF(A362&gt;TODAY(),"",IF(OR(N('Daily Tracking'!I362)&gt;0,'Daily Tracking'!J362="Yes"),1,0))</f>
        <v/>
      </c>
      <c r="G362" s="230" t="str">
        <f ca="1">IF(A362&gt;TODAY(),"",IF(N('Daily Tracking'!K362)&gt;=Settings!$B$15,1,0))</f>
        <v/>
      </c>
      <c r="H362" s="231" t="str">
        <f ca="1">IF(B362="","",AVERAGE(B362:G362))</f>
        <v/>
      </c>
      <c r="I362" s="136" t="str">
        <f ca="1">IF(B362="","",IF(B362=1,N(I361)+1,0))</f>
        <v/>
      </c>
      <c r="J362" s="232"/>
      <c r="K362" s="232"/>
      <c r="L362" s="232"/>
      <c r="M362" s="232"/>
    </row>
    <row r="363" spans="1:13" ht="18" customHeight="1" x14ac:dyDescent="0.3">
      <c r="A363" s="132">
        <f>'Daily Tracking'!A363</f>
        <v>46635</v>
      </c>
      <c r="B363" s="230" t="str">
        <f ca="1">IF(A363&gt;TODAY(),"",IF('Daily Tracking'!B363&lt;&gt;"",1,0))</f>
        <v/>
      </c>
      <c r="C363" s="230" t="str">
        <f ca="1">IF(A363&gt;TODAY(),"",IF('Daily Tracking'!E363&lt;&gt;"",1,0))</f>
        <v/>
      </c>
      <c r="D363" s="230" t="str">
        <f ca="1">IF(A363&gt;TODAY(),"",IF(N('Daily Tracking'!G363)&gt;=Settings!$B$13,1,0))</f>
        <v/>
      </c>
      <c r="E363" s="230" t="str">
        <f ca="1">IF(A363&gt;TODAY(),"",IF(N('Daily Tracking'!H363)&gt;=Settings!$B$14,1,0))</f>
        <v/>
      </c>
      <c r="F363" s="230" t="str">
        <f ca="1">IF(A363&gt;TODAY(),"",IF(OR(N('Daily Tracking'!I363)&gt;0,'Daily Tracking'!J363="Yes"),1,0))</f>
        <v/>
      </c>
      <c r="G363" s="230" t="str">
        <f ca="1">IF(A363&gt;TODAY(),"",IF(N('Daily Tracking'!K363)&gt;=Settings!$B$15,1,0))</f>
        <v/>
      </c>
      <c r="H363" s="231" t="str">
        <f ca="1">IF(B363="","",AVERAGE(B363:G363))</f>
        <v/>
      </c>
      <c r="I363" s="136" t="str">
        <f ca="1">IF(B363="","",IF(B363=1,N(I362)+1,0))</f>
        <v/>
      </c>
      <c r="J363" s="232"/>
      <c r="K363" s="232"/>
      <c r="L363" s="232"/>
      <c r="M363" s="232"/>
    </row>
    <row r="364" spans="1:13" ht="18" customHeight="1" x14ac:dyDescent="0.3">
      <c r="A364" s="132">
        <f>'Daily Tracking'!A364</f>
        <v>46636</v>
      </c>
      <c r="B364" s="230" t="str">
        <f ca="1">IF(A364&gt;TODAY(),"",IF('Daily Tracking'!B364&lt;&gt;"",1,0))</f>
        <v/>
      </c>
      <c r="C364" s="230" t="str">
        <f ca="1">IF(A364&gt;TODAY(),"",IF('Daily Tracking'!E364&lt;&gt;"",1,0))</f>
        <v/>
      </c>
      <c r="D364" s="230" t="str">
        <f ca="1">IF(A364&gt;TODAY(),"",IF(N('Daily Tracking'!G364)&gt;=Settings!$B$13,1,0))</f>
        <v/>
      </c>
      <c r="E364" s="230" t="str">
        <f ca="1">IF(A364&gt;TODAY(),"",IF(N('Daily Tracking'!H364)&gt;=Settings!$B$14,1,0))</f>
        <v/>
      </c>
      <c r="F364" s="230" t="str">
        <f ca="1">IF(A364&gt;TODAY(),"",IF(OR(N('Daily Tracking'!I364)&gt;0,'Daily Tracking'!J364="Yes"),1,0))</f>
        <v/>
      </c>
      <c r="G364" s="230" t="str">
        <f ca="1">IF(A364&gt;TODAY(),"",IF(N('Daily Tracking'!K364)&gt;=Settings!$B$15,1,0))</f>
        <v/>
      </c>
      <c r="H364" s="231" t="str">
        <f ca="1">IF(B364="","",AVERAGE(B364:G364))</f>
        <v/>
      </c>
      <c r="I364" s="136" t="str">
        <f ca="1">IF(B364="","",IF(B364=1,N(I363)+1,0))</f>
        <v/>
      </c>
      <c r="J364" s="232"/>
      <c r="K364" s="232"/>
      <c r="L364" s="232"/>
      <c r="M364" s="232"/>
    </row>
    <row r="365" spans="1:13" ht="18" customHeight="1" x14ac:dyDescent="0.3">
      <c r="A365" s="132">
        <f>'Daily Tracking'!A365</f>
        <v>46637</v>
      </c>
      <c r="B365" s="230" t="str">
        <f ca="1">IF(A365&gt;TODAY(),"",IF('Daily Tracking'!B365&lt;&gt;"",1,0))</f>
        <v/>
      </c>
      <c r="C365" s="230" t="str">
        <f ca="1">IF(A365&gt;TODAY(),"",IF('Daily Tracking'!E365&lt;&gt;"",1,0))</f>
        <v/>
      </c>
      <c r="D365" s="230" t="str">
        <f ca="1">IF(A365&gt;TODAY(),"",IF(N('Daily Tracking'!G365)&gt;=Settings!$B$13,1,0))</f>
        <v/>
      </c>
      <c r="E365" s="230" t="str">
        <f ca="1">IF(A365&gt;TODAY(),"",IF(N('Daily Tracking'!H365)&gt;=Settings!$B$14,1,0))</f>
        <v/>
      </c>
      <c r="F365" s="230" t="str">
        <f ca="1">IF(A365&gt;TODAY(),"",IF(OR(N('Daily Tracking'!I365)&gt;0,'Daily Tracking'!J365="Yes"),1,0))</f>
        <v/>
      </c>
      <c r="G365" s="230" t="str">
        <f ca="1">IF(A365&gt;TODAY(),"",IF(N('Daily Tracking'!K365)&gt;=Settings!$B$15,1,0))</f>
        <v/>
      </c>
      <c r="H365" s="231" t="str">
        <f ca="1">IF(B365="","",AVERAGE(B365:G365))</f>
        <v/>
      </c>
      <c r="I365" s="136" t="str">
        <f ca="1">IF(B365="","",IF(B365=1,N(I364)+1,0))</f>
        <v/>
      </c>
      <c r="J365" s="232"/>
      <c r="K365" s="232"/>
      <c r="L365" s="232"/>
      <c r="M365" s="232"/>
    </row>
    <row r="366" spans="1:13" ht="18" customHeight="1" x14ac:dyDescent="0.3">
      <c r="A366" s="132">
        <f>'Daily Tracking'!A366</f>
        <v>46638</v>
      </c>
      <c r="B366" s="230" t="str">
        <f ca="1">IF(A366&gt;TODAY(),"",IF('Daily Tracking'!B366&lt;&gt;"",1,0))</f>
        <v/>
      </c>
      <c r="C366" s="230" t="str">
        <f ca="1">IF(A366&gt;TODAY(),"",IF('Daily Tracking'!E366&lt;&gt;"",1,0))</f>
        <v/>
      </c>
      <c r="D366" s="230" t="str">
        <f ca="1">IF(A366&gt;TODAY(),"",IF(N('Daily Tracking'!G366)&gt;=Settings!$B$13,1,0))</f>
        <v/>
      </c>
      <c r="E366" s="230" t="str">
        <f ca="1">IF(A366&gt;TODAY(),"",IF(N('Daily Tracking'!H366)&gt;=Settings!$B$14,1,0))</f>
        <v/>
      </c>
      <c r="F366" s="230" t="str">
        <f ca="1">IF(A366&gt;TODAY(),"",IF(OR(N('Daily Tracking'!I366)&gt;0,'Daily Tracking'!J366="Yes"),1,0))</f>
        <v/>
      </c>
      <c r="G366" s="230" t="str">
        <f ca="1">IF(A366&gt;TODAY(),"",IF(N('Daily Tracking'!K366)&gt;=Settings!$B$15,1,0))</f>
        <v/>
      </c>
      <c r="H366" s="231" t="str">
        <f ca="1">IF(B366="","",AVERAGE(B366:G366))</f>
        <v/>
      </c>
      <c r="I366" s="136" t="str">
        <f ca="1">IF(B366="","",IF(B366=1,N(I365)+1,0))</f>
        <v/>
      </c>
      <c r="J366" s="232"/>
      <c r="K366" s="232"/>
      <c r="L366" s="232"/>
      <c r="M366" s="232"/>
    </row>
    <row r="367" spans="1:13" ht="18" customHeight="1" x14ac:dyDescent="0.3">
      <c r="A367" s="132">
        <f>'Daily Tracking'!A367</f>
        <v>46639</v>
      </c>
      <c r="B367" s="230" t="str">
        <f ca="1">IF(A367&gt;TODAY(),"",IF('Daily Tracking'!B367&lt;&gt;"",1,0))</f>
        <v/>
      </c>
      <c r="C367" s="230" t="str">
        <f ca="1">IF(A367&gt;TODAY(),"",IF('Daily Tracking'!E367&lt;&gt;"",1,0))</f>
        <v/>
      </c>
      <c r="D367" s="230" t="str">
        <f ca="1">IF(A367&gt;TODAY(),"",IF(N('Daily Tracking'!G367)&gt;=Settings!$B$13,1,0))</f>
        <v/>
      </c>
      <c r="E367" s="230" t="str">
        <f ca="1">IF(A367&gt;TODAY(),"",IF(N('Daily Tracking'!H367)&gt;=Settings!$B$14,1,0))</f>
        <v/>
      </c>
      <c r="F367" s="230" t="str">
        <f ca="1">IF(A367&gt;TODAY(),"",IF(OR(N('Daily Tracking'!I367)&gt;0,'Daily Tracking'!J367="Yes"),1,0))</f>
        <v/>
      </c>
      <c r="G367" s="230" t="str">
        <f ca="1">IF(A367&gt;TODAY(),"",IF(N('Daily Tracking'!K367)&gt;=Settings!$B$15,1,0))</f>
        <v/>
      </c>
      <c r="H367" s="231" t="str">
        <f ca="1">IF(B367="","",AVERAGE(B367:G367))</f>
        <v/>
      </c>
      <c r="I367" s="136" t="str">
        <f ca="1">IF(B367="","",IF(B367=1,N(I366)+1,0))</f>
        <v/>
      </c>
      <c r="J367" s="232"/>
      <c r="K367" s="232"/>
      <c r="L367" s="232"/>
      <c r="M367" s="232"/>
    </row>
    <row r="368" spans="1:13" ht="18" customHeight="1" x14ac:dyDescent="0.3">
      <c r="A368" s="132">
        <f>'Daily Tracking'!A368</f>
        <v>46640</v>
      </c>
      <c r="B368" s="230" t="str">
        <f ca="1">IF(A368&gt;TODAY(),"",IF('Daily Tracking'!B368&lt;&gt;"",1,0))</f>
        <v/>
      </c>
      <c r="C368" s="230" t="str">
        <f ca="1">IF(A368&gt;TODAY(),"",IF('Daily Tracking'!E368&lt;&gt;"",1,0))</f>
        <v/>
      </c>
      <c r="D368" s="230" t="str">
        <f ca="1">IF(A368&gt;TODAY(),"",IF(N('Daily Tracking'!G368)&gt;=Settings!$B$13,1,0))</f>
        <v/>
      </c>
      <c r="E368" s="230" t="str">
        <f ca="1">IF(A368&gt;TODAY(),"",IF(N('Daily Tracking'!H368)&gt;=Settings!$B$14,1,0))</f>
        <v/>
      </c>
      <c r="F368" s="230" t="str">
        <f ca="1">IF(A368&gt;TODAY(),"",IF(OR(N('Daily Tracking'!I368)&gt;0,'Daily Tracking'!J368="Yes"),1,0))</f>
        <v/>
      </c>
      <c r="G368" s="230" t="str">
        <f ca="1">IF(A368&gt;TODAY(),"",IF(N('Daily Tracking'!K368)&gt;=Settings!$B$15,1,0))</f>
        <v/>
      </c>
      <c r="H368" s="231" t="str">
        <f ca="1">IF(B368="","",AVERAGE(B368:G368))</f>
        <v/>
      </c>
      <c r="I368" s="136" t="str">
        <f ca="1">IF(B368="","",IF(B368=1,N(I367)+1,0))</f>
        <v/>
      </c>
      <c r="J368" s="232"/>
      <c r="K368" s="232"/>
      <c r="L368" s="232"/>
      <c r="M368" s="232"/>
    </row>
    <row r="369" spans="1:13" ht="18" customHeight="1" x14ac:dyDescent="0.3">
      <c r="A369" s="132">
        <f>'Daily Tracking'!A369</f>
        <v>46641</v>
      </c>
      <c r="B369" s="230" t="str">
        <f ca="1">IF(A369&gt;TODAY(),"",IF('Daily Tracking'!B369&lt;&gt;"",1,0))</f>
        <v/>
      </c>
      <c r="C369" s="230" t="str">
        <f ca="1">IF(A369&gt;TODAY(),"",IF('Daily Tracking'!E369&lt;&gt;"",1,0))</f>
        <v/>
      </c>
      <c r="D369" s="230" t="str">
        <f ca="1">IF(A369&gt;TODAY(),"",IF(N('Daily Tracking'!G369)&gt;=Settings!$B$13,1,0))</f>
        <v/>
      </c>
      <c r="E369" s="230" t="str">
        <f ca="1">IF(A369&gt;TODAY(),"",IF(N('Daily Tracking'!H369)&gt;=Settings!$B$14,1,0))</f>
        <v/>
      </c>
      <c r="F369" s="230" t="str">
        <f ca="1">IF(A369&gt;TODAY(),"",IF(OR(N('Daily Tracking'!I369)&gt;0,'Daily Tracking'!J369="Yes"),1,0))</f>
        <v/>
      </c>
      <c r="G369" s="230" t="str">
        <f ca="1">IF(A369&gt;TODAY(),"",IF(N('Daily Tracking'!K369)&gt;=Settings!$B$15,1,0))</f>
        <v/>
      </c>
      <c r="H369" s="231" t="str">
        <f ca="1">IF(B369="","",AVERAGE(B369:G369))</f>
        <v/>
      </c>
      <c r="I369" s="136" t="str">
        <f ca="1">IF(B369="","",IF(B369=1,N(I368)+1,0))</f>
        <v/>
      </c>
      <c r="J369" s="232"/>
      <c r="K369" s="232"/>
      <c r="L369" s="232"/>
      <c r="M369" s="232"/>
    </row>
    <row r="370" spans="1:13" ht="18" customHeight="1" x14ac:dyDescent="0.3">
      <c r="A370" s="132">
        <f>'Daily Tracking'!A370</f>
        <v>46642</v>
      </c>
      <c r="B370" s="230" t="str">
        <f ca="1">IF(A370&gt;TODAY(),"",IF('Daily Tracking'!B370&lt;&gt;"",1,0))</f>
        <v/>
      </c>
      <c r="C370" s="230" t="str">
        <f ca="1">IF(A370&gt;TODAY(),"",IF('Daily Tracking'!E370&lt;&gt;"",1,0))</f>
        <v/>
      </c>
      <c r="D370" s="230" t="str">
        <f ca="1">IF(A370&gt;TODAY(),"",IF(N('Daily Tracking'!G370)&gt;=Settings!$B$13,1,0))</f>
        <v/>
      </c>
      <c r="E370" s="230" t="str">
        <f ca="1">IF(A370&gt;TODAY(),"",IF(N('Daily Tracking'!H370)&gt;=Settings!$B$14,1,0))</f>
        <v/>
      </c>
      <c r="F370" s="230" t="str">
        <f ca="1">IF(A370&gt;TODAY(),"",IF(OR(N('Daily Tracking'!I370)&gt;0,'Daily Tracking'!J370="Yes"),1,0))</f>
        <v/>
      </c>
      <c r="G370" s="230" t="str">
        <f ca="1">IF(A370&gt;TODAY(),"",IF(N('Daily Tracking'!K370)&gt;=Settings!$B$15,1,0))</f>
        <v/>
      </c>
      <c r="H370" s="231" t="str">
        <f ca="1">IF(B370="","",AVERAGE(B370:G370))</f>
        <v/>
      </c>
      <c r="I370" s="136" t="str">
        <f ca="1">IF(B370="","",IF(B370=1,N(I369)+1,0))</f>
        <v/>
      </c>
      <c r="J370" s="232"/>
      <c r="K370" s="232"/>
      <c r="L370" s="232"/>
      <c r="M370" s="232"/>
    </row>
    <row r="371" spans="1:13" ht="18" customHeight="1" x14ac:dyDescent="0.3">
      <c r="A371" s="132">
        <f>'Daily Tracking'!A371</f>
        <v>46643</v>
      </c>
      <c r="B371" s="230" t="str">
        <f ca="1">IF(A371&gt;TODAY(),"",IF('Daily Tracking'!B371&lt;&gt;"",1,0))</f>
        <v/>
      </c>
      <c r="C371" s="230" t="str">
        <f ca="1">IF(A371&gt;TODAY(),"",IF('Daily Tracking'!E371&lt;&gt;"",1,0))</f>
        <v/>
      </c>
      <c r="D371" s="230" t="str">
        <f ca="1">IF(A371&gt;TODAY(),"",IF(N('Daily Tracking'!G371)&gt;=Settings!$B$13,1,0))</f>
        <v/>
      </c>
      <c r="E371" s="230" t="str">
        <f ca="1">IF(A371&gt;TODAY(),"",IF(N('Daily Tracking'!H371)&gt;=Settings!$B$14,1,0))</f>
        <v/>
      </c>
      <c r="F371" s="230" t="str">
        <f ca="1">IF(A371&gt;TODAY(),"",IF(OR(N('Daily Tracking'!I371)&gt;0,'Daily Tracking'!J371="Yes"),1,0))</f>
        <v/>
      </c>
      <c r="G371" s="230" t="str">
        <f ca="1">IF(A371&gt;TODAY(),"",IF(N('Daily Tracking'!K371)&gt;=Settings!$B$15,1,0))</f>
        <v/>
      </c>
      <c r="H371" s="231" t="str">
        <f ca="1">IF(B371="","",AVERAGE(B371:G371))</f>
        <v/>
      </c>
      <c r="I371" s="136" t="str">
        <f ca="1">IF(B371="","",IF(B371=1,N(I370)+1,0))</f>
        <v/>
      </c>
      <c r="J371" s="232"/>
      <c r="K371" s="232"/>
      <c r="L371" s="232"/>
      <c r="M371" s="232"/>
    </row>
    <row r="372" spans="1:13" ht="18" customHeight="1" x14ac:dyDescent="0.3">
      <c r="A372" s="132">
        <f>'Daily Tracking'!A372</f>
        <v>46644</v>
      </c>
      <c r="B372" s="230" t="str">
        <f ca="1">IF(A372&gt;TODAY(),"",IF('Daily Tracking'!B372&lt;&gt;"",1,0))</f>
        <v/>
      </c>
      <c r="C372" s="230" t="str">
        <f ca="1">IF(A372&gt;TODAY(),"",IF('Daily Tracking'!E372&lt;&gt;"",1,0))</f>
        <v/>
      </c>
      <c r="D372" s="230" t="str">
        <f ca="1">IF(A372&gt;TODAY(),"",IF(N('Daily Tracking'!G372)&gt;=Settings!$B$13,1,0))</f>
        <v/>
      </c>
      <c r="E372" s="230" t="str">
        <f ca="1">IF(A372&gt;TODAY(),"",IF(N('Daily Tracking'!H372)&gt;=Settings!$B$14,1,0))</f>
        <v/>
      </c>
      <c r="F372" s="230" t="str">
        <f ca="1">IF(A372&gt;TODAY(),"",IF(OR(N('Daily Tracking'!I372)&gt;0,'Daily Tracking'!J372="Yes"),1,0))</f>
        <v/>
      </c>
      <c r="G372" s="230" t="str">
        <f ca="1">IF(A372&gt;TODAY(),"",IF(N('Daily Tracking'!K372)&gt;=Settings!$B$15,1,0))</f>
        <v/>
      </c>
      <c r="H372" s="231" t="str">
        <f ca="1">IF(B372="","",AVERAGE(B372:G372))</f>
        <v/>
      </c>
      <c r="I372" s="136" t="str">
        <f ca="1">IF(B372="","",IF(B372=1,N(I371)+1,0))</f>
        <v/>
      </c>
    </row>
    <row r="373" spans="1:13" ht="18" customHeight="1" x14ac:dyDescent="0.3">
      <c r="A373" s="132">
        <f>'Daily Tracking'!A373</f>
        <v>46645</v>
      </c>
      <c r="B373" s="230" t="str">
        <f ca="1">IF(A373&gt;TODAY(),"",IF('Daily Tracking'!B373&lt;&gt;"",1,0))</f>
        <v/>
      </c>
      <c r="C373" s="230" t="str">
        <f ca="1">IF(A373&gt;TODAY(),"",IF('Daily Tracking'!E373&lt;&gt;"",1,0))</f>
        <v/>
      </c>
      <c r="D373" s="230" t="str">
        <f ca="1">IF(A373&gt;TODAY(),"",IF(N('Daily Tracking'!G373)&gt;=Settings!$B$13,1,0))</f>
        <v/>
      </c>
      <c r="E373" s="230" t="str">
        <f ca="1">IF(A373&gt;TODAY(),"",IF(N('Daily Tracking'!H373)&gt;=Settings!$B$14,1,0))</f>
        <v/>
      </c>
      <c r="F373" s="230" t="str">
        <f ca="1">IF(A373&gt;TODAY(),"",IF(OR(N('Daily Tracking'!I373)&gt;0,'Daily Tracking'!J373="Yes"),1,0))</f>
        <v/>
      </c>
      <c r="G373" s="230" t="str">
        <f ca="1">IF(A373&gt;TODAY(),"",IF(N('Daily Tracking'!K373)&gt;=Settings!$B$15,1,0))</f>
        <v/>
      </c>
      <c r="H373" s="231" t="str">
        <f ca="1">IF(B373="","",AVERAGE(B373:G373))</f>
        <v/>
      </c>
      <c r="I373" s="136" t="str">
        <f ca="1">IF(B373="","",IF(B373=1,N(I372)+1,0))</f>
        <v/>
      </c>
    </row>
    <row r="374" spans="1:13" ht="18" customHeight="1" x14ac:dyDescent="0.3">
      <c r="A374" s="132">
        <f>'Daily Tracking'!A374</f>
        <v>46646</v>
      </c>
      <c r="B374" s="230" t="str">
        <f ca="1">IF(A374&gt;TODAY(),"",IF('Daily Tracking'!B374&lt;&gt;"",1,0))</f>
        <v/>
      </c>
      <c r="C374" s="230" t="str">
        <f ca="1">IF(A374&gt;TODAY(),"",IF('Daily Tracking'!E374&lt;&gt;"",1,0))</f>
        <v/>
      </c>
      <c r="D374" s="230" t="str">
        <f ca="1">IF(A374&gt;TODAY(),"",IF(N('Daily Tracking'!G374)&gt;=Settings!$B$13,1,0))</f>
        <v/>
      </c>
      <c r="E374" s="230" t="str">
        <f ca="1">IF(A374&gt;TODAY(),"",IF(N('Daily Tracking'!H374)&gt;=Settings!$B$14,1,0))</f>
        <v/>
      </c>
      <c r="F374" s="230" t="str">
        <f ca="1">IF(A374&gt;TODAY(),"",IF(OR(N('Daily Tracking'!I374)&gt;0,'Daily Tracking'!J374="Yes"),1,0))</f>
        <v/>
      </c>
      <c r="G374" s="230" t="str">
        <f ca="1">IF(A374&gt;TODAY(),"",IF(N('Daily Tracking'!K374)&gt;=Settings!$B$15,1,0))</f>
        <v/>
      </c>
      <c r="H374" s="231" t="str">
        <f ca="1">IF(B374="","",AVERAGE(B374:G374))</f>
        <v/>
      </c>
      <c r="I374" s="136" t="str">
        <f ca="1">IF(B374="","",IF(B374=1,N(I373)+1,0))</f>
        <v/>
      </c>
    </row>
    <row r="375" spans="1:13" ht="18" customHeight="1" x14ac:dyDescent="0.3">
      <c r="A375" s="132">
        <f>'Daily Tracking'!A375</f>
        <v>46647</v>
      </c>
      <c r="B375" s="230" t="str">
        <f ca="1">IF(A375&gt;TODAY(),"",IF('Daily Tracking'!B375&lt;&gt;"",1,0))</f>
        <v/>
      </c>
      <c r="C375" s="230" t="str">
        <f ca="1">IF(A375&gt;TODAY(),"",IF('Daily Tracking'!E375&lt;&gt;"",1,0))</f>
        <v/>
      </c>
      <c r="D375" s="230" t="str">
        <f ca="1">IF(A375&gt;TODAY(),"",IF(N('Daily Tracking'!G375)&gt;=Settings!$B$13,1,0))</f>
        <v/>
      </c>
      <c r="E375" s="230" t="str">
        <f ca="1">IF(A375&gt;TODAY(),"",IF(N('Daily Tracking'!H375)&gt;=Settings!$B$14,1,0))</f>
        <v/>
      </c>
      <c r="F375" s="230" t="str">
        <f ca="1">IF(A375&gt;TODAY(),"",IF(OR(N('Daily Tracking'!I375)&gt;0,'Daily Tracking'!J375="Yes"),1,0))</f>
        <v/>
      </c>
      <c r="G375" s="230" t="str">
        <f ca="1">IF(A375&gt;TODAY(),"",IF(N('Daily Tracking'!K375)&gt;=Settings!$B$15,1,0))</f>
        <v/>
      </c>
      <c r="H375" s="231" t="str">
        <f ca="1">IF(B375="","",AVERAGE(B375:G375))</f>
        <v/>
      </c>
      <c r="I375" s="136" t="str">
        <f ca="1">IF(B375="","",IF(B375=1,N(I374)+1,0))</f>
        <v/>
      </c>
    </row>
    <row r="376" spans="1:13" ht="18" customHeight="1" x14ac:dyDescent="0.3">
      <c r="A376" s="132">
        <f>'Daily Tracking'!A376</f>
        <v>46648</v>
      </c>
      <c r="B376" s="230" t="str">
        <f ca="1">IF(A376&gt;TODAY(),"",IF('Daily Tracking'!B376&lt;&gt;"",1,0))</f>
        <v/>
      </c>
      <c r="C376" s="230" t="str">
        <f ca="1">IF(A376&gt;TODAY(),"",IF('Daily Tracking'!E376&lt;&gt;"",1,0))</f>
        <v/>
      </c>
      <c r="D376" s="230" t="str">
        <f ca="1">IF(A376&gt;TODAY(),"",IF(N('Daily Tracking'!G376)&gt;=Settings!$B$13,1,0))</f>
        <v/>
      </c>
      <c r="E376" s="230" t="str">
        <f ca="1">IF(A376&gt;TODAY(),"",IF(N('Daily Tracking'!H376)&gt;=Settings!$B$14,1,0))</f>
        <v/>
      </c>
      <c r="F376" s="230" t="str">
        <f ca="1">IF(A376&gt;TODAY(),"",IF(OR(N('Daily Tracking'!I376)&gt;0,'Daily Tracking'!J376="Yes"),1,0))</f>
        <v/>
      </c>
      <c r="G376" s="230" t="str">
        <f ca="1">IF(A376&gt;TODAY(),"",IF(N('Daily Tracking'!K376)&gt;=Settings!$B$15,1,0))</f>
        <v/>
      </c>
      <c r="H376" s="231" t="str">
        <f ca="1">IF(B376="","",AVERAGE(B376:G376))</f>
        <v/>
      </c>
      <c r="I376" s="136" t="str">
        <f ca="1">IF(B376="","",IF(B376=1,N(I375)+1,0))</f>
        <v/>
      </c>
    </row>
    <row r="377" spans="1:13" ht="18" customHeight="1" x14ac:dyDescent="0.3">
      <c r="A377" s="132">
        <f>'Daily Tracking'!A377</f>
        <v>46649</v>
      </c>
      <c r="B377" s="230" t="str">
        <f ca="1">IF(A377&gt;TODAY(),"",IF('Daily Tracking'!B377&lt;&gt;"",1,0))</f>
        <v/>
      </c>
      <c r="C377" s="230" t="str">
        <f ca="1">IF(A377&gt;TODAY(),"",IF('Daily Tracking'!E377&lt;&gt;"",1,0))</f>
        <v/>
      </c>
      <c r="D377" s="230" t="str">
        <f ca="1">IF(A377&gt;TODAY(),"",IF(N('Daily Tracking'!G377)&gt;=Settings!$B$13,1,0))</f>
        <v/>
      </c>
      <c r="E377" s="230" t="str">
        <f ca="1">IF(A377&gt;TODAY(),"",IF(N('Daily Tracking'!H377)&gt;=Settings!$B$14,1,0))</f>
        <v/>
      </c>
      <c r="F377" s="230" t="str">
        <f ca="1">IF(A377&gt;TODAY(),"",IF(OR(N('Daily Tracking'!I377)&gt;0,'Daily Tracking'!J377="Yes"),1,0))</f>
        <v/>
      </c>
      <c r="G377" s="230" t="str">
        <f ca="1">IF(A377&gt;TODAY(),"",IF(N('Daily Tracking'!K377)&gt;=Settings!$B$15,1,0))</f>
        <v/>
      </c>
      <c r="H377" s="231" t="str">
        <f ca="1">IF(B377="","",AVERAGE(B377:G377))</f>
        <v/>
      </c>
      <c r="I377" s="136" t="str">
        <f ca="1">IF(B377="","",IF(B377=1,N(I376)+1,0))</f>
        <v/>
      </c>
    </row>
    <row r="378" spans="1:13" ht="18" customHeight="1" x14ac:dyDescent="0.3">
      <c r="A378" s="132">
        <f>'Daily Tracking'!A378</f>
        <v>46650</v>
      </c>
      <c r="B378" s="230" t="str">
        <f ca="1">IF(A378&gt;TODAY(),"",IF('Daily Tracking'!B378&lt;&gt;"",1,0))</f>
        <v/>
      </c>
      <c r="C378" s="230" t="str">
        <f ca="1">IF(A378&gt;TODAY(),"",IF('Daily Tracking'!E378&lt;&gt;"",1,0))</f>
        <v/>
      </c>
      <c r="D378" s="230" t="str">
        <f ca="1">IF(A378&gt;TODAY(),"",IF(N('Daily Tracking'!G378)&gt;=Settings!$B$13,1,0))</f>
        <v/>
      </c>
      <c r="E378" s="230" t="str">
        <f ca="1">IF(A378&gt;TODAY(),"",IF(N('Daily Tracking'!H378)&gt;=Settings!$B$14,1,0))</f>
        <v/>
      </c>
      <c r="F378" s="230" t="str">
        <f ca="1">IF(A378&gt;TODAY(),"",IF(OR(N('Daily Tracking'!I378)&gt;0,'Daily Tracking'!J378="Yes"),1,0))</f>
        <v/>
      </c>
      <c r="G378" s="230" t="str">
        <f ca="1">IF(A378&gt;TODAY(),"",IF(N('Daily Tracking'!K378)&gt;=Settings!$B$15,1,0))</f>
        <v/>
      </c>
      <c r="H378" s="231" t="str">
        <f ca="1">IF(B378="","",AVERAGE(B378:G378))</f>
        <v/>
      </c>
      <c r="I378" s="136" t="str">
        <f ca="1">IF(B378="","",IF(B378=1,N(I377)+1,0))</f>
        <v/>
      </c>
    </row>
    <row r="379" spans="1:13" ht="18" customHeight="1" x14ac:dyDescent="0.3">
      <c r="A379" s="132">
        <f>'Daily Tracking'!A379</f>
        <v>46651</v>
      </c>
      <c r="B379" s="230" t="str">
        <f ca="1">IF(A379&gt;TODAY(),"",IF('Daily Tracking'!B379&lt;&gt;"",1,0))</f>
        <v/>
      </c>
      <c r="C379" s="230" t="str">
        <f ca="1">IF(A379&gt;TODAY(),"",IF('Daily Tracking'!E379&lt;&gt;"",1,0))</f>
        <v/>
      </c>
      <c r="D379" s="230" t="str">
        <f ca="1">IF(A379&gt;TODAY(),"",IF(N('Daily Tracking'!G379)&gt;=Settings!$B$13,1,0))</f>
        <v/>
      </c>
      <c r="E379" s="230" t="str">
        <f ca="1">IF(A379&gt;TODAY(),"",IF(N('Daily Tracking'!H379)&gt;=Settings!$B$14,1,0))</f>
        <v/>
      </c>
      <c r="F379" s="230" t="str">
        <f ca="1">IF(A379&gt;TODAY(),"",IF(OR(N('Daily Tracking'!I379)&gt;0,'Daily Tracking'!J379="Yes"),1,0))</f>
        <v/>
      </c>
      <c r="G379" s="230" t="str">
        <f ca="1">IF(A379&gt;TODAY(),"",IF(N('Daily Tracking'!K379)&gt;=Settings!$B$15,1,0))</f>
        <v/>
      </c>
      <c r="H379" s="231" t="str">
        <f ca="1">IF(B379="","",AVERAGE(B379:G379))</f>
        <v/>
      </c>
      <c r="I379" s="136" t="str">
        <f ca="1">IF(B379="","",IF(B379=1,N(I378)+1,0))</f>
        <v/>
      </c>
    </row>
    <row r="380" spans="1:13" ht="18" customHeight="1" x14ac:dyDescent="0.3">
      <c r="A380" s="132">
        <f>'Daily Tracking'!A380</f>
        <v>46652</v>
      </c>
      <c r="B380" s="230" t="str">
        <f ca="1">IF(A380&gt;TODAY(),"",IF('Daily Tracking'!B380&lt;&gt;"",1,0))</f>
        <v/>
      </c>
      <c r="C380" s="230" t="str">
        <f ca="1">IF(A380&gt;TODAY(),"",IF('Daily Tracking'!E380&lt;&gt;"",1,0))</f>
        <v/>
      </c>
      <c r="D380" s="230" t="str">
        <f ca="1">IF(A380&gt;TODAY(),"",IF(N('Daily Tracking'!G380)&gt;=Settings!$B$13,1,0))</f>
        <v/>
      </c>
      <c r="E380" s="230" t="str">
        <f ca="1">IF(A380&gt;TODAY(),"",IF(N('Daily Tracking'!H380)&gt;=Settings!$B$14,1,0))</f>
        <v/>
      </c>
      <c r="F380" s="230" t="str">
        <f ca="1">IF(A380&gt;TODAY(),"",IF(OR(N('Daily Tracking'!I380)&gt;0,'Daily Tracking'!J380="Yes"),1,0))</f>
        <v/>
      </c>
      <c r="G380" s="230" t="str">
        <f ca="1">IF(A380&gt;TODAY(),"",IF(N('Daily Tracking'!K380)&gt;=Settings!$B$15,1,0))</f>
        <v/>
      </c>
      <c r="H380" s="231" t="str">
        <f ca="1">IF(B380="","",AVERAGE(B380:G380))</f>
        <v/>
      </c>
      <c r="I380" s="136" t="str">
        <f ca="1">IF(B380="","",IF(B380=1,N(I379)+1,0))</f>
        <v/>
      </c>
    </row>
    <row r="381" spans="1:13" ht="18" customHeight="1" x14ac:dyDescent="0.3">
      <c r="A381" s="132">
        <f>'Daily Tracking'!A381</f>
        <v>46653</v>
      </c>
      <c r="B381" s="230" t="str">
        <f ca="1">IF(A381&gt;TODAY(),"",IF('Daily Tracking'!B381&lt;&gt;"",1,0))</f>
        <v/>
      </c>
      <c r="C381" s="230" t="str">
        <f ca="1">IF(A381&gt;TODAY(),"",IF('Daily Tracking'!E381&lt;&gt;"",1,0))</f>
        <v/>
      </c>
      <c r="D381" s="230" t="str">
        <f ca="1">IF(A381&gt;TODAY(),"",IF(N('Daily Tracking'!G381)&gt;=Settings!$B$13,1,0))</f>
        <v/>
      </c>
      <c r="E381" s="230" t="str">
        <f ca="1">IF(A381&gt;TODAY(),"",IF(N('Daily Tracking'!H381)&gt;=Settings!$B$14,1,0))</f>
        <v/>
      </c>
      <c r="F381" s="230" t="str">
        <f ca="1">IF(A381&gt;TODAY(),"",IF(OR(N('Daily Tracking'!I381)&gt;0,'Daily Tracking'!J381="Yes"),1,0))</f>
        <v/>
      </c>
      <c r="G381" s="230" t="str">
        <f ca="1">IF(A381&gt;TODAY(),"",IF(N('Daily Tracking'!K381)&gt;=Settings!$B$15,1,0))</f>
        <v/>
      </c>
      <c r="H381" s="231" t="str">
        <f ca="1">IF(B381="","",AVERAGE(B381:G381))</f>
        <v/>
      </c>
      <c r="I381" s="136" t="str">
        <f ca="1">IF(B381="","",IF(B381=1,N(I380)+1,0))</f>
        <v/>
      </c>
    </row>
    <row r="382" spans="1:13" ht="18" customHeight="1" x14ac:dyDescent="0.3">
      <c r="A382" s="132">
        <f>'Daily Tracking'!A382</f>
        <v>46654</v>
      </c>
      <c r="B382" s="230" t="str">
        <f ca="1">IF(A382&gt;TODAY(),"",IF('Daily Tracking'!B382&lt;&gt;"",1,0))</f>
        <v/>
      </c>
      <c r="C382" s="230" t="str">
        <f ca="1">IF(A382&gt;TODAY(),"",IF('Daily Tracking'!E382&lt;&gt;"",1,0))</f>
        <v/>
      </c>
      <c r="D382" s="230" t="str">
        <f ca="1">IF(A382&gt;TODAY(),"",IF(N('Daily Tracking'!G382)&gt;=Settings!$B$13,1,0))</f>
        <v/>
      </c>
      <c r="E382" s="230" t="str">
        <f ca="1">IF(A382&gt;TODAY(),"",IF(N('Daily Tracking'!H382)&gt;=Settings!$B$14,1,0))</f>
        <v/>
      </c>
      <c r="F382" s="230" t="str">
        <f ca="1">IF(A382&gt;TODAY(),"",IF(OR(N('Daily Tracking'!I382)&gt;0,'Daily Tracking'!J382="Yes"),1,0))</f>
        <v/>
      </c>
      <c r="G382" s="230" t="str">
        <f ca="1">IF(A382&gt;TODAY(),"",IF(N('Daily Tracking'!K382)&gt;=Settings!$B$15,1,0))</f>
        <v/>
      </c>
      <c r="H382" s="231" t="str">
        <f ca="1">IF(B382="","",AVERAGE(B382:G382))</f>
        <v/>
      </c>
      <c r="I382" s="136" t="str">
        <f ca="1">IF(B382="","",IF(B382=1,N(I381)+1,0))</f>
        <v/>
      </c>
    </row>
    <row r="383" spans="1:13" ht="18" customHeight="1" x14ac:dyDescent="0.3">
      <c r="A383" s="132">
        <f>'Daily Tracking'!A383</f>
        <v>46655</v>
      </c>
      <c r="B383" s="230" t="str">
        <f ca="1">IF(A383&gt;TODAY(),"",IF('Daily Tracking'!B383&lt;&gt;"",1,0))</f>
        <v/>
      </c>
      <c r="C383" s="230" t="str">
        <f ca="1">IF(A383&gt;TODAY(),"",IF('Daily Tracking'!E383&lt;&gt;"",1,0))</f>
        <v/>
      </c>
      <c r="D383" s="230" t="str">
        <f ca="1">IF(A383&gt;TODAY(),"",IF(N('Daily Tracking'!G383)&gt;=Settings!$B$13,1,0))</f>
        <v/>
      </c>
      <c r="E383" s="230" t="str">
        <f ca="1">IF(A383&gt;TODAY(),"",IF(N('Daily Tracking'!H383)&gt;=Settings!$B$14,1,0))</f>
        <v/>
      </c>
      <c r="F383" s="230" t="str">
        <f ca="1">IF(A383&gt;TODAY(),"",IF(OR(N('Daily Tracking'!I383)&gt;0,'Daily Tracking'!J383="Yes"),1,0))</f>
        <v/>
      </c>
      <c r="G383" s="230" t="str">
        <f ca="1">IF(A383&gt;TODAY(),"",IF(N('Daily Tracking'!K383)&gt;=Settings!$B$15,1,0))</f>
        <v/>
      </c>
      <c r="H383" s="231" t="str">
        <f ca="1">IF(B383="","",AVERAGE(B383:G383))</f>
        <v/>
      </c>
      <c r="I383" s="136" t="str">
        <f ca="1">IF(B383="","",IF(B383=1,N(I382)+1,0))</f>
        <v/>
      </c>
    </row>
    <row r="384" spans="1:13" ht="18" customHeight="1" x14ac:dyDescent="0.3">
      <c r="A384" s="132">
        <f>'Daily Tracking'!A384</f>
        <v>46656</v>
      </c>
      <c r="B384" s="230" t="str">
        <f ca="1">IF(A384&gt;TODAY(),"",IF('Daily Tracking'!B384&lt;&gt;"",1,0))</f>
        <v/>
      </c>
      <c r="C384" s="230" t="str">
        <f ca="1">IF(A384&gt;TODAY(),"",IF('Daily Tracking'!E384&lt;&gt;"",1,0))</f>
        <v/>
      </c>
      <c r="D384" s="230" t="str">
        <f ca="1">IF(A384&gt;TODAY(),"",IF(N('Daily Tracking'!G384)&gt;=Settings!$B$13,1,0))</f>
        <v/>
      </c>
      <c r="E384" s="230" t="str">
        <f ca="1">IF(A384&gt;TODAY(),"",IF(N('Daily Tracking'!H384)&gt;=Settings!$B$14,1,0))</f>
        <v/>
      </c>
      <c r="F384" s="230" t="str">
        <f ca="1">IF(A384&gt;TODAY(),"",IF(OR(N('Daily Tracking'!I384)&gt;0,'Daily Tracking'!J384="Yes"),1,0))</f>
        <v/>
      </c>
      <c r="G384" s="230" t="str">
        <f ca="1">IF(A384&gt;TODAY(),"",IF(N('Daily Tracking'!K384)&gt;=Settings!$B$15,1,0))</f>
        <v/>
      </c>
      <c r="H384" s="231" t="str">
        <f ca="1">IF(B384="","",AVERAGE(B384:G384))</f>
        <v/>
      </c>
      <c r="I384" s="136" t="str">
        <f ca="1">IF(B384="","",IF(B384=1,N(I383)+1,0))</f>
        <v/>
      </c>
    </row>
    <row r="385" spans="1:9" ht="18" customHeight="1" x14ac:dyDescent="0.3">
      <c r="A385" s="132">
        <f>'Daily Tracking'!A385</f>
        <v>46657</v>
      </c>
      <c r="B385" s="230" t="str">
        <f ca="1">IF(A385&gt;TODAY(),"",IF('Daily Tracking'!B385&lt;&gt;"",1,0))</f>
        <v/>
      </c>
      <c r="C385" s="230" t="str">
        <f ca="1">IF(A385&gt;TODAY(),"",IF('Daily Tracking'!E385&lt;&gt;"",1,0))</f>
        <v/>
      </c>
      <c r="D385" s="230" t="str">
        <f ca="1">IF(A385&gt;TODAY(),"",IF(N('Daily Tracking'!G385)&gt;=Settings!$B$13,1,0))</f>
        <v/>
      </c>
      <c r="E385" s="230" t="str">
        <f ca="1">IF(A385&gt;TODAY(),"",IF(N('Daily Tracking'!H385)&gt;=Settings!$B$14,1,0))</f>
        <v/>
      </c>
      <c r="F385" s="230" t="str">
        <f ca="1">IF(A385&gt;TODAY(),"",IF(OR(N('Daily Tracking'!I385)&gt;0,'Daily Tracking'!J385="Yes"),1,0))</f>
        <v/>
      </c>
      <c r="G385" s="230" t="str">
        <f ca="1">IF(A385&gt;TODAY(),"",IF(N('Daily Tracking'!K385)&gt;=Settings!$B$15,1,0))</f>
        <v/>
      </c>
      <c r="H385" s="231" t="str">
        <f ca="1">IF(B385="","",AVERAGE(B385:G385))</f>
        <v/>
      </c>
      <c r="I385" s="136" t="str">
        <f ca="1">IF(B385="","",IF(B385=1,N(I384)+1,0))</f>
        <v/>
      </c>
    </row>
    <row r="386" spans="1:9" ht="18" customHeight="1" x14ac:dyDescent="0.3">
      <c r="A386" s="132">
        <f>'Daily Tracking'!A386</f>
        <v>46658</v>
      </c>
      <c r="B386" s="230" t="str">
        <f ca="1">IF(A386&gt;TODAY(),"",IF('Daily Tracking'!B386&lt;&gt;"",1,0))</f>
        <v/>
      </c>
      <c r="C386" s="230" t="str">
        <f ca="1">IF(A386&gt;TODAY(),"",IF('Daily Tracking'!E386&lt;&gt;"",1,0))</f>
        <v/>
      </c>
      <c r="D386" s="230" t="str">
        <f ca="1">IF(A386&gt;TODAY(),"",IF(N('Daily Tracking'!G386)&gt;=Settings!$B$13,1,0))</f>
        <v/>
      </c>
      <c r="E386" s="230" t="str">
        <f ca="1">IF(A386&gt;TODAY(),"",IF(N('Daily Tracking'!H386)&gt;=Settings!$B$14,1,0))</f>
        <v/>
      </c>
      <c r="F386" s="230" t="str">
        <f ca="1">IF(A386&gt;TODAY(),"",IF(OR(N('Daily Tracking'!I386)&gt;0,'Daily Tracking'!J386="Yes"),1,0))</f>
        <v/>
      </c>
      <c r="G386" s="230" t="str">
        <f ca="1">IF(A386&gt;TODAY(),"",IF(N('Daily Tracking'!K386)&gt;=Settings!$B$15,1,0))</f>
        <v/>
      </c>
      <c r="H386" s="231" t="str">
        <f ca="1">IF(B386="","",AVERAGE(B386:G386))</f>
        <v/>
      </c>
      <c r="I386" s="136" t="str">
        <f ca="1">IF(B386="","",IF(B386=1,N(I385)+1,0))</f>
        <v/>
      </c>
    </row>
    <row r="387" spans="1:9" ht="18" customHeight="1" x14ac:dyDescent="0.3">
      <c r="A387" s="132">
        <f>'Daily Tracking'!A387</f>
        <v>46659</v>
      </c>
      <c r="B387" s="230" t="str">
        <f ca="1">IF(A387&gt;TODAY(),"",IF('Daily Tracking'!B387&lt;&gt;"",1,0))</f>
        <v/>
      </c>
      <c r="C387" s="230" t="str">
        <f ca="1">IF(A387&gt;TODAY(),"",IF('Daily Tracking'!E387&lt;&gt;"",1,0))</f>
        <v/>
      </c>
      <c r="D387" s="230" t="str">
        <f ca="1">IF(A387&gt;TODAY(),"",IF(N('Daily Tracking'!G387)&gt;=Settings!$B$13,1,0))</f>
        <v/>
      </c>
      <c r="E387" s="230" t="str">
        <f ca="1">IF(A387&gt;TODAY(),"",IF(N('Daily Tracking'!H387)&gt;=Settings!$B$14,1,0))</f>
        <v/>
      </c>
      <c r="F387" s="230" t="str">
        <f ca="1">IF(A387&gt;TODAY(),"",IF(OR(N('Daily Tracking'!I387)&gt;0,'Daily Tracking'!J387="Yes"),1,0))</f>
        <v/>
      </c>
      <c r="G387" s="230" t="str">
        <f ca="1">IF(A387&gt;TODAY(),"",IF(N('Daily Tracking'!K387)&gt;=Settings!$B$15,1,0))</f>
        <v/>
      </c>
      <c r="H387" s="231" t="str">
        <f ca="1">IF(B387="","",AVERAGE(B387:G387))</f>
        <v/>
      </c>
      <c r="I387" s="136" t="str">
        <f ca="1">IF(B387="","",IF(B387=1,N(I386)+1,0))</f>
        <v/>
      </c>
    </row>
    <row r="388" spans="1:9" ht="18" customHeight="1" x14ac:dyDescent="0.3">
      <c r="A388" s="132">
        <f>'Daily Tracking'!A388</f>
        <v>46660</v>
      </c>
      <c r="B388" s="230" t="str">
        <f ca="1">IF(A388&gt;TODAY(),"",IF('Daily Tracking'!B388&lt;&gt;"",1,0))</f>
        <v/>
      </c>
      <c r="C388" s="230" t="str">
        <f ca="1">IF(A388&gt;TODAY(),"",IF('Daily Tracking'!E388&lt;&gt;"",1,0))</f>
        <v/>
      </c>
      <c r="D388" s="230" t="str">
        <f ca="1">IF(A388&gt;TODAY(),"",IF(N('Daily Tracking'!G388)&gt;=Settings!$B$13,1,0))</f>
        <v/>
      </c>
      <c r="E388" s="230" t="str">
        <f ca="1">IF(A388&gt;TODAY(),"",IF(N('Daily Tracking'!H388)&gt;=Settings!$B$14,1,0))</f>
        <v/>
      </c>
      <c r="F388" s="230" t="str">
        <f ca="1">IF(A388&gt;TODAY(),"",IF(OR(N('Daily Tracking'!I388)&gt;0,'Daily Tracking'!J388="Yes"),1,0))</f>
        <v/>
      </c>
      <c r="G388" s="230" t="str">
        <f ca="1">IF(A388&gt;TODAY(),"",IF(N('Daily Tracking'!K388)&gt;=Settings!$B$15,1,0))</f>
        <v/>
      </c>
      <c r="H388" s="231" t="str">
        <f ca="1">IF(B388="","",AVERAGE(B388:G388))</f>
        <v/>
      </c>
      <c r="I388" s="136" t="str">
        <f ca="1">IF(B388="","",IF(B388=1,N(I387)+1,0))</f>
        <v/>
      </c>
    </row>
    <row r="389" spans="1:9" ht="18" customHeight="1" x14ac:dyDescent="0.3">
      <c r="A389" s="132">
        <f>'Daily Tracking'!A389</f>
        <v>46661</v>
      </c>
      <c r="B389" s="230" t="str">
        <f ca="1">IF(A389&gt;TODAY(),"",IF('Daily Tracking'!B389&lt;&gt;"",1,0))</f>
        <v/>
      </c>
      <c r="C389" s="230" t="str">
        <f ca="1">IF(A389&gt;TODAY(),"",IF('Daily Tracking'!E389&lt;&gt;"",1,0))</f>
        <v/>
      </c>
      <c r="D389" s="230" t="str">
        <f ca="1">IF(A389&gt;TODAY(),"",IF(N('Daily Tracking'!G389)&gt;=Settings!$B$13,1,0))</f>
        <v/>
      </c>
      <c r="E389" s="230" t="str">
        <f ca="1">IF(A389&gt;TODAY(),"",IF(N('Daily Tracking'!H389)&gt;=Settings!$B$14,1,0))</f>
        <v/>
      </c>
      <c r="F389" s="230" t="str">
        <f ca="1">IF(A389&gt;TODAY(),"",IF(OR(N('Daily Tracking'!I389)&gt;0,'Daily Tracking'!J389="Yes"),1,0))</f>
        <v/>
      </c>
      <c r="G389" s="230" t="str">
        <f ca="1">IF(A389&gt;TODAY(),"",IF(N('Daily Tracking'!K389)&gt;=Settings!$B$15,1,0))</f>
        <v/>
      </c>
      <c r="H389" s="231" t="str">
        <f ca="1">IF(B389="","",AVERAGE(B389:G389))</f>
        <v/>
      </c>
      <c r="I389" s="136" t="str">
        <f ca="1">IF(B389="","",IF(B389=1,N(I388)+1,0))</f>
        <v/>
      </c>
    </row>
    <row r="390" spans="1:9" ht="18" customHeight="1" x14ac:dyDescent="0.3">
      <c r="A390" s="132">
        <f>'Daily Tracking'!A390</f>
        <v>46662</v>
      </c>
      <c r="B390" s="230" t="str">
        <f ca="1">IF(A390&gt;TODAY(),"",IF('Daily Tracking'!B390&lt;&gt;"",1,0))</f>
        <v/>
      </c>
      <c r="C390" s="230" t="str">
        <f ca="1">IF(A390&gt;TODAY(),"",IF('Daily Tracking'!E390&lt;&gt;"",1,0))</f>
        <v/>
      </c>
      <c r="D390" s="230" t="str">
        <f ca="1">IF(A390&gt;TODAY(),"",IF(N('Daily Tracking'!G390)&gt;=Settings!$B$13,1,0))</f>
        <v/>
      </c>
      <c r="E390" s="230" t="str">
        <f ca="1">IF(A390&gt;TODAY(),"",IF(N('Daily Tracking'!H390)&gt;=Settings!$B$14,1,0))</f>
        <v/>
      </c>
      <c r="F390" s="230" t="str">
        <f ca="1">IF(A390&gt;TODAY(),"",IF(OR(N('Daily Tracking'!I390)&gt;0,'Daily Tracking'!J390="Yes"),1,0))</f>
        <v/>
      </c>
      <c r="G390" s="230" t="str">
        <f ca="1">IF(A390&gt;TODAY(),"",IF(N('Daily Tracking'!K390)&gt;=Settings!$B$15,1,0))</f>
        <v/>
      </c>
      <c r="H390" s="231" t="str">
        <f ca="1">IF(B390="","",AVERAGE(B390:G390))</f>
        <v/>
      </c>
      <c r="I390" s="136" t="str">
        <f ca="1">IF(B390="","",IF(B390=1,N(I389)+1,0))</f>
        <v/>
      </c>
    </row>
    <row r="391" spans="1:9" ht="18" customHeight="1" x14ac:dyDescent="0.3">
      <c r="A391" s="132">
        <f>'Daily Tracking'!A391</f>
        <v>46663</v>
      </c>
      <c r="B391" s="230" t="str">
        <f ca="1">IF(A391&gt;TODAY(),"",IF('Daily Tracking'!B391&lt;&gt;"",1,0))</f>
        <v/>
      </c>
      <c r="C391" s="230" t="str">
        <f ca="1">IF(A391&gt;TODAY(),"",IF('Daily Tracking'!E391&lt;&gt;"",1,0))</f>
        <v/>
      </c>
      <c r="D391" s="230" t="str">
        <f ca="1">IF(A391&gt;TODAY(),"",IF(N('Daily Tracking'!G391)&gt;=Settings!$B$13,1,0))</f>
        <v/>
      </c>
      <c r="E391" s="230" t="str">
        <f ca="1">IF(A391&gt;TODAY(),"",IF(N('Daily Tracking'!H391)&gt;=Settings!$B$14,1,0))</f>
        <v/>
      </c>
      <c r="F391" s="230" t="str">
        <f ca="1">IF(A391&gt;TODAY(),"",IF(OR(N('Daily Tracking'!I391)&gt;0,'Daily Tracking'!J391="Yes"),1,0))</f>
        <v/>
      </c>
      <c r="G391" s="230" t="str">
        <f ca="1">IF(A391&gt;TODAY(),"",IF(N('Daily Tracking'!K391)&gt;=Settings!$B$15,1,0))</f>
        <v/>
      </c>
      <c r="H391" s="231" t="str">
        <f ca="1">IF(B391="","",AVERAGE(B391:G391))</f>
        <v/>
      </c>
      <c r="I391" s="136" t="str">
        <f ca="1">IF(B391="","",IF(B391=1,N(I390)+1,0))</f>
        <v/>
      </c>
    </row>
    <row r="392" spans="1:9" ht="18" customHeight="1" x14ac:dyDescent="0.3">
      <c r="A392" s="132">
        <f>'Daily Tracking'!A392</f>
        <v>46664</v>
      </c>
      <c r="B392" s="230" t="str">
        <f ca="1">IF(A392&gt;TODAY(),"",IF('Daily Tracking'!B392&lt;&gt;"",1,0))</f>
        <v/>
      </c>
      <c r="C392" s="230" t="str">
        <f ca="1">IF(A392&gt;TODAY(),"",IF('Daily Tracking'!E392&lt;&gt;"",1,0))</f>
        <v/>
      </c>
      <c r="D392" s="230" t="str">
        <f ca="1">IF(A392&gt;TODAY(),"",IF(N('Daily Tracking'!G392)&gt;=Settings!$B$13,1,0))</f>
        <v/>
      </c>
      <c r="E392" s="230" t="str">
        <f ca="1">IF(A392&gt;TODAY(),"",IF(N('Daily Tracking'!H392)&gt;=Settings!$B$14,1,0))</f>
        <v/>
      </c>
      <c r="F392" s="230" t="str">
        <f ca="1">IF(A392&gt;TODAY(),"",IF(OR(N('Daily Tracking'!I392)&gt;0,'Daily Tracking'!J392="Yes"),1,0))</f>
        <v/>
      </c>
      <c r="G392" s="230" t="str">
        <f ca="1">IF(A392&gt;TODAY(),"",IF(N('Daily Tracking'!K392)&gt;=Settings!$B$15,1,0))</f>
        <v/>
      </c>
      <c r="H392" s="231" t="str">
        <f ca="1">IF(B392="","",AVERAGE(B392:G392))</f>
        <v/>
      </c>
      <c r="I392" s="136" t="str">
        <f ca="1">IF(B392="","",IF(B392=1,N(I391)+1,0))</f>
        <v/>
      </c>
    </row>
    <row r="393" spans="1:9" ht="18" customHeight="1" x14ac:dyDescent="0.3">
      <c r="A393" s="132">
        <f>'Daily Tracking'!A393</f>
        <v>46665</v>
      </c>
      <c r="B393" s="230" t="str">
        <f ca="1">IF(A393&gt;TODAY(),"",IF('Daily Tracking'!B393&lt;&gt;"",1,0))</f>
        <v/>
      </c>
      <c r="C393" s="230" t="str">
        <f ca="1">IF(A393&gt;TODAY(),"",IF('Daily Tracking'!E393&lt;&gt;"",1,0))</f>
        <v/>
      </c>
      <c r="D393" s="230" t="str">
        <f ca="1">IF(A393&gt;TODAY(),"",IF(N('Daily Tracking'!G393)&gt;=Settings!$B$13,1,0))</f>
        <v/>
      </c>
      <c r="E393" s="230" t="str">
        <f ca="1">IF(A393&gt;TODAY(),"",IF(N('Daily Tracking'!H393)&gt;=Settings!$B$14,1,0))</f>
        <v/>
      </c>
      <c r="F393" s="230" t="str">
        <f ca="1">IF(A393&gt;TODAY(),"",IF(OR(N('Daily Tracking'!I393)&gt;0,'Daily Tracking'!J393="Yes"),1,0))</f>
        <v/>
      </c>
      <c r="G393" s="230" t="str">
        <f ca="1">IF(A393&gt;TODAY(),"",IF(N('Daily Tracking'!K393)&gt;=Settings!$B$15,1,0))</f>
        <v/>
      </c>
      <c r="H393" s="231" t="str">
        <f ca="1">IF(B393="","",AVERAGE(B393:G393))</f>
        <v/>
      </c>
      <c r="I393" s="136" t="str">
        <f ca="1">IF(B393="","",IF(B393=1,N(I392)+1,0))</f>
        <v/>
      </c>
    </row>
    <row r="394" spans="1:9" ht="18" customHeight="1" x14ac:dyDescent="0.3">
      <c r="A394" s="132">
        <f>'Daily Tracking'!A394</f>
        <v>46666</v>
      </c>
      <c r="B394" s="230" t="str">
        <f ca="1">IF(A394&gt;TODAY(),"",IF('Daily Tracking'!B394&lt;&gt;"",1,0))</f>
        <v/>
      </c>
      <c r="C394" s="230" t="str">
        <f ca="1">IF(A394&gt;TODAY(),"",IF('Daily Tracking'!E394&lt;&gt;"",1,0))</f>
        <v/>
      </c>
      <c r="D394" s="230" t="str">
        <f ca="1">IF(A394&gt;TODAY(),"",IF(N('Daily Tracking'!G394)&gt;=Settings!$B$13,1,0))</f>
        <v/>
      </c>
      <c r="E394" s="230" t="str">
        <f ca="1">IF(A394&gt;TODAY(),"",IF(N('Daily Tracking'!H394)&gt;=Settings!$B$14,1,0))</f>
        <v/>
      </c>
      <c r="F394" s="230" t="str">
        <f ca="1">IF(A394&gt;TODAY(),"",IF(OR(N('Daily Tracking'!I394)&gt;0,'Daily Tracking'!J394="Yes"),1,0))</f>
        <v/>
      </c>
      <c r="G394" s="230" t="str">
        <f ca="1">IF(A394&gt;TODAY(),"",IF(N('Daily Tracking'!K394)&gt;=Settings!$B$15,1,0))</f>
        <v/>
      </c>
      <c r="H394" s="231" t="str">
        <f ca="1">IF(B394="","",AVERAGE(B394:G394))</f>
        <v/>
      </c>
      <c r="I394" s="136" t="str">
        <f ca="1">IF(B394="","",IF(B394=1,N(I393)+1,0))</f>
        <v/>
      </c>
    </row>
    <row r="395" spans="1:9" ht="18" customHeight="1" x14ac:dyDescent="0.3">
      <c r="A395" s="132">
        <f>'Daily Tracking'!A395</f>
        <v>46667</v>
      </c>
      <c r="B395" s="230" t="str">
        <f ca="1">IF(A395&gt;TODAY(),"",IF('Daily Tracking'!B395&lt;&gt;"",1,0))</f>
        <v/>
      </c>
      <c r="C395" s="230" t="str">
        <f ca="1">IF(A395&gt;TODAY(),"",IF('Daily Tracking'!E395&lt;&gt;"",1,0))</f>
        <v/>
      </c>
      <c r="D395" s="230" t="str">
        <f ca="1">IF(A395&gt;TODAY(),"",IF(N('Daily Tracking'!G395)&gt;=Settings!$B$13,1,0))</f>
        <v/>
      </c>
      <c r="E395" s="230" t="str">
        <f ca="1">IF(A395&gt;TODAY(),"",IF(N('Daily Tracking'!H395)&gt;=Settings!$B$14,1,0))</f>
        <v/>
      </c>
      <c r="F395" s="230" t="str">
        <f ca="1">IF(A395&gt;TODAY(),"",IF(OR(N('Daily Tracking'!I395)&gt;0,'Daily Tracking'!J395="Yes"),1,0))</f>
        <v/>
      </c>
      <c r="G395" s="230" t="str">
        <f ca="1">IF(A395&gt;TODAY(),"",IF(N('Daily Tracking'!K395)&gt;=Settings!$B$15,1,0))</f>
        <v/>
      </c>
      <c r="H395" s="231" t="str">
        <f ca="1">IF(B395="","",AVERAGE(B395:G395))</f>
        <v/>
      </c>
      <c r="I395" s="136" t="str">
        <f ca="1">IF(B395="","",IF(B395=1,N(I394)+1,0))</f>
        <v/>
      </c>
    </row>
    <row r="396" spans="1:9" ht="18" customHeight="1" x14ac:dyDescent="0.3">
      <c r="A396" s="132">
        <f>'Daily Tracking'!A396</f>
        <v>46668</v>
      </c>
      <c r="B396" s="230" t="str">
        <f ca="1">IF(A396&gt;TODAY(),"",IF('Daily Tracking'!B396&lt;&gt;"",1,0))</f>
        <v/>
      </c>
      <c r="C396" s="230" t="str">
        <f ca="1">IF(A396&gt;TODAY(),"",IF('Daily Tracking'!E396&lt;&gt;"",1,0))</f>
        <v/>
      </c>
      <c r="D396" s="230" t="str">
        <f ca="1">IF(A396&gt;TODAY(),"",IF(N('Daily Tracking'!G396)&gt;=Settings!$B$13,1,0))</f>
        <v/>
      </c>
      <c r="E396" s="230" t="str">
        <f ca="1">IF(A396&gt;TODAY(),"",IF(N('Daily Tracking'!H396)&gt;=Settings!$B$14,1,0))</f>
        <v/>
      </c>
      <c r="F396" s="230" t="str">
        <f ca="1">IF(A396&gt;TODAY(),"",IF(OR(N('Daily Tracking'!I396)&gt;0,'Daily Tracking'!J396="Yes"),1,0))</f>
        <v/>
      </c>
      <c r="G396" s="230" t="str">
        <f ca="1">IF(A396&gt;TODAY(),"",IF(N('Daily Tracking'!K396)&gt;=Settings!$B$15,1,0))</f>
        <v/>
      </c>
      <c r="H396" s="231" t="str">
        <f ca="1">IF(B396="","",AVERAGE(B396:G396))</f>
        <v/>
      </c>
      <c r="I396" s="136" t="str">
        <f ca="1">IF(B396="","",IF(B396=1,N(I395)+1,0))</f>
        <v/>
      </c>
    </row>
    <row r="397" spans="1:9" ht="18" customHeight="1" x14ac:dyDescent="0.3">
      <c r="A397" s="132">
        <f>'Daily Tracking'!A397</f>
        <v>46669</v>
      </c>
      <c r="B397" s="230" t="str">
        <f ca="1">IF(A397&gt;TODAY(),"",IF('Daily Tracking'!B397&lt;&gt;"",1,0))</f>
        <v/>
      </c>
      <c r="C397" s="230" t="str">
        <f ca="1">IF(A397&gt;TODAY(),"",IF('Daily Tracking'!E397&lt;&gt;"",1,0))</f>
        <v/>
      </c>
      <c r="D397" s="230" t="str">
        <f ca="1">IF(A397&gt;TODAY(),"",IF(N('Daily Tracking'!G397)&gt;=Settings!$B$13,1,0))</f>
        <v/>
      </c>
      <c r="E397" s="230" t="str">
        <f ca="1">IF(A397&gt;TODAY(),"",IF(N('Daily Tracking'!H397)&gt;=Settings!$B$14,1,0))</f>
        <v/>
      </c>
      <c r="F397" s="230" t="str">
        <f ca="1">IF(A397&gt;TODAY(),"",IF(OR(N('Daily Tracking'!I397)&gt;0,'Daily Tracking'!J397="Yes"),1,0))</f>
        <v/>
      </c>
      <c r="G397" s="230" t="str">
        <f ca="1">IF(A397&gt;TODAY(),"",IF(N('Daily Tracking'!K397)&gt;=Settings!$B$15,1,0))</f>
        <v/>
      </c>
      <c r="H397" s="231" t="str">
        <f ca="1">IF(B397="","",AVERAGE(B397:G397))</f>
        <v/>
      </c>
      <c r="I397" s="136" t="str">
        <f ca="1">IF(B397="","",IF(B397=1,N(I396)+1,0))</f>
        <v/>
      </c>
    </row>
    <row r="398" spans="1:9" ht="18" customHeight="1" x14ac:dyDescent="0.3">
      <c r="A398" s="132">
        <f>'Daily Tracking'!A398</f>
        <v>46670</v>
      </c>
      <c r="B398" s="230" t="str">
        <f ca="1">IF(A398&gt;TODAY(),"",IF('Daily Tracking'!B398&lt;&gt;"",1,0))</f>
        <v/>
      </c>
      <c r="C398" s="230" t="str">
        <f ca="1">IF(A398&gt;TODAY(),"",IF('Daily Tracking'!E398&lt;&gt;"",1,0))</f>
        <v/>
      </c>
      <c r="D398" s="230" t="str">
        <f ca="1">IF(A398&gt;TODAY(),"",IF(N('Daily Tracking'!G398)&gt;=Settings!$B$13,1,0))</f>
        <v/>
      </c>
      <c r="E398" s="230" t="str">
        <f ca="1">IF(A398&gt;TODAY(),"",IF(N('Daily Tracking'!H398)&gt;=Settings!$B$14,1,0))</f>
        <v/>
      </c>
      <c r="F398" s="230" t="str">
        <f ca="1">IF(A398&gt;TODAY(),"",IF(OR(N('Daily Tracking'!I398)&gt;0,'Daily Tracking'!J398="Yes"),1,0))</f>
        <v/>
      </c>
      <c r="G398" s="230" t="str">
        <f ca="1">IF(A398&gt;TODAY(),"",IF(N('Daily Tracking'!K398)&gt;=Settings!$B$15,1,0))</f>
        <v/>
      </c>
      <c r="H398" s="231" t="str">
        <f ca="1">IF(B398="","",AVERAGE(B398:G398))</f>
        <v/>
      </c>
      <c r="I398" s="136" t="str">
        <f ca="1">IF(B398="","",IF(B398=1,N(I397)+1,0))</f>
        <v/>
      </c>
    </row>
    <row r="399" spans="1:9" ht="18" customHeight="1" x14ac:dyDescent="0.3">
      <c r="A399" s="132">
        <f>'Daily Tracking'!A399</f>
        <v>46671</v>
      </c>
      <c r="B399" s="230" t="str">
        <f ca="1">IF(A399&gt;TODAY(),"",IF('Daily Tracking'!B399&lt;&gt;"",1,0))</f>
        <v/>
      </c>
      <c r="C399" s="230" t="str">
        <f ca="1">IF(A399&gt;TODAY(),"",IF('Daily Tracking'!E399&lt;&gt;"",1,0))</f>
        <v/>
      </c>
      <c r="D399" s="230" t="str">
        <f ca="1">IF(A399&gt;TODAY(),"",IF(N('Daily Tracking'!G399)&gt;=Settings!$B$13,1,0))</f>
        <v/>
      </c>
      <c r="E399" s="230" t="str">
        <f ca="1">IF(A399&gt;TODAY(),"",IF(N('Daily Tracking'!H399)&gt;=Settings!$B$14,1,0))</f>
        <v/>
      </c>
      <c r="F399" s="230" t="str">
        <f ca="1">IF(A399&gt;TODAY(),"",IF(OR(N('Daily Tracking'!I399)&gt;0,'Daily Tracking'!J399="Yes"),1,0))</f>
        <v/>
      </c>
      <c r="G399" s="230" t="str">
        <f ca="1">IF(A399&gt;TODAY(),"",IF(N('Daily Tracking'!K399)&gt;=Settings!$B$15,1,0))</f>
        <v/>
      </c>
      <c r="H399" s="231" t="str">
        <f ca="1">IF(B399="","",AVERAGE(B399:G399))</f>
        <v/>
      </c>
      <c r="I399" s="136" t="str">
        <f ca="1">IF(B399="","",IF(B399=1,N(I398)+1,0))</f>
        <v/>
      </c>
    </row>
    <row r="400" spans="1:9" ht="18" customHeight="1" x14ac:dyDescent="0.3">
      <c r="A400" s="132">
        <f>'Daily Tracking'!A400</f>
        <v>46672</v>
      </c>
      <c r="B400" s="230" t="str">
        <f ca="1">IF(A400&gt;TODAY(),"",IF('Daily Tracking'!B400&lt;&gt;"",1,0))</f>
        <v/>
      </c>
      <c r="C400" s="230" t="str">
        <f ca="1">IF(A400&gt;TODAY(),"",IF('Daily Tracking'!E400&lt;&gt;"",1,0))</f>
        <v/>
      </c>
      <c r="D400" s="230" t="str">
        <f ca="1">IF(A400&gt;TODAY(),"",IF(N('Daily Tracking'!G400)&gt;=Settings!$B$13,1,0))</f>
        <v/>
      </c>
      <c r="E400" s="230" t="str">
        <f ca="1">IF(A400&gt;TODAY(),"",IF(N('Daily Tracking'!H400)&gt;=Settings!$B$14,1,0))</f>
        <v/>
      </c>
      <c r="F400" s="230" t="str">
        <f ca="1">IF(A400&gt;TODAY(),"",IF(OR(N('Daily Tracking'!I400)&gt;0,'Daily Tracking'!J400="Yes"),1,0))</f>
        <v/>
      </c>
      <c r="G400" s="230" t="str">
        <f ca="1">IF(A400&gt;TODAY(),"",IF(N('Daily Tracking'!K400)&gt;=Settings!$B$15,1,0))</f>
        <v/>
      </c>
      <c r="H400" s="231" t="str">
        <f ca="1">IF(B400="","",AVERAGE(B400:G400))</f>
        <v/>
      </c>
      <c r="I400" s="136" t="str">
        <f ca="1">IF(B400="","",IF(B400=1,N(I399)+1,0))</f>
        <v/>
      </c>
    </row>
    <row r="401" spans="1:9" ht="18" customHeight="1" x14ac:dyDescent="0.3">
      <c r="A401" s="132">
        <f>'Daily Tracking'!A401</f>
        <v>46673</v>
      </c>
      <c r="B401" s="230" t="str">
        <f ca="1">IF(A401&gt;TODAY(),"",IF('Daily Tracking'!B401&lt;&gt;"",1,0))</f>
        <v/>
      </c>
      <c r="C401" s="230" t="str">
        <f ca="1">IF(A401&gt;TODAY(),"",IF('Daily Tracking'!E401&lt;&gt;"",1,0))</f>
        <v/>
      </c>
      <c r="D401" s="230" t="str">
        <f ca="1">IF(A401&gt;TODAY(),"",IF(N('Daily Tracking'!G401)&gt;=Settings!$B$13,1,0))</f>
        <v/>
      </c>
      <c r="E401" s="230" t="str">
        <f ca="1">IF(A401&gt;TODAY(),"",IF(N('Daily Tracking'!H401)&gt;=Settings!$B$14,1,0))</f>
        <v/>
      </c>
      <c r="F401" s="230" t="str">
        <f ca="1">IF(A401&gt;TODAY(),"",IF(OR(N('Daily Tracking'!I401)&gt;0,'Daily Tracking'!J401="Yes"),1,0))</f>
        <v/>
      </c>
      <c r="G401" s="230" t="str">
        <f ca="1">IF(A401&gt;TODAY(),"",IF(N('Daily Tracking'!K401)&gt;=Settings!$B$15,1,0))</f>
        <v/>
      </c>
      <c r="H401" s="231" t="str">
        <f ca="1">IF(B401="","",AVERAGE(B401:G401))</f>
        <v/>
      </c>
      <c r="I401" s="136" t="str">
        <f ca="1">IF(B401="","",IF(B401=1,N(I400)+1,0))</f>
        <v/>
      </c>
    </row>
    <row r="402" spans="1:9" ht="18" customHeight="1" x14ac:dyDescent="0.3">
      <c r="A402" s="132">
        <f>'Daily Tracking'!A402</f>
        <v>46674</v>
      </c>
      <c r="B402" s="230" t="str">
        <f ca="1">IF(A402&gt;TODAY(),"",IF('Daily Tracking'!B402&lt;&gt;"",1,0))</f>
        <v/>
      </c>
      <c r="C402" s="230" t="str">
        <f ca="1">IF(A402&gt;TODAY(),"",IF('Daily Tracking'!E402&lt;&gt;"",1,0))</f>
        <v/>
      </c>
      <c r="D402" s="230" t="str">
        <f ca="1">IF(A402&gt;TODAY(),"",IF(N('Daily Tracking'!G402)&gt;=Settings!$B$13,1,0))</f>
        <v/>
      </c>
      <c r="E402" s="230" t="str">
        <f ca="1">IF(A402&gt;TODAY(),"",IF(N('Daily Tracking'!H402)&gt;=Settings!$B$14,1,0))</f>
        <v/>
      </c>
      <c r="F402" s="230" t="str">
        <f ca="1">IF(A402&gt;TODAY(),"",IF(OR(N('Daily Tracking'!I402)&gt;0,'Daily Tracking'!J402="Yes"),1,0))</f>
        <v/>
      </c>
      <c r="G402" s="230" t="str">
        <f ca="1">IF(A402&gt;TODAY(),"",IF(N('Daily Tracking'!K402)&gt;=Settings!$B$15,1,0))</f>
        <v/>
      </c>
      <c r="H402" s="231" t="str">
        <f ca="1">IF(B402="","",AVERAGE(B402:G402))</f>
        <v/>
      </c>
      <c r="I402" s="136" t="str">
        <f ca="1">IF(B402="","",IF(B402=1,N(I401)+1,0))</f>
        <v/>
      </c>
    </row>
    <row r="403" spans="1:9" ht="18" customHeight="1" x14ac:dyDescent="0.3">
      <c r="A403" s="132">
        <f>'Daily Tracking'!A403</f>
        <v>46675</v>
      </c>
      <c r="B403" s="230" t="str">
        <f ca="1">IF(A403&gt;TODAY(),"",IF('Daily Tracking'!B403&lt;&gt;"",1,0))</f>
        <v/>
      </c>
      <c r="C403" s="230" t="str">
        <f ca="1">IF(A403&gt;TODAY(),"",IF('Daily Tracking'!E403&lt;&gt;"",1,0))</f>
        <v/>
      </c>
      <c r="D403" s="230" t="str">
        <f ca="1">IF(A403&gt;TODAY(),"",IF(N('Daily Tracking'!G403)&gt;=Settings!$B$13,1,0))</f>
        <v/>
      </c>
      <c r="E403" s="230" t="str">
        <f ca="1">IF(A403&gt;TODAY(),"",IF(N('Daily Tracking'!H403)&gt;=Settings!$B$14,1,0))</f>
        <v/>
      </c>
      <c r="F403" s="230" t="str">
        <f ca="1">IF(A403&gt;TODAY(),"",IF(OR(N('Daily Tracking'!I403)&gt;0,'Daily Tracking'!J403="Yes"),1,0))</f>
        <v/>
      </c>
      <c r="G403" s="230" t="str">
        <f ca="1">IF(A403&gt;TODAY(),"",IF(N('Daily Tracking'!K403)&gt;=Settings!$B$15,1,0))</f>
        <v/>
      </c>
      <c r="H403" s="231" t="str">
        <f ca="1">IF(B403="","",AVERAGE(B403:G403))</f>
        <v/>
      </c>
      <c r="I403" s="136" t="str">
        <f ca="1">IF(B403="","",IF(B403=1,N(I402)+1,0))</f>
        <v/>
      </c>
    </row>
    <row r="404" spans="1:9" ht="18" customHeight="1" x14ac:dyDescent="0.3">
      <c r="A404" s="132">
        <f>'Daily Tracking'!A404</f>
        <v>46676</v>
      </c>
      <c r="B404" s="230" t="str">
        <f ca="1">IF(A404&gt;TODAY(),"",IF('Daily Tracking'!B404&lt;&gt;"",1,0))</f>
        <v/>
      </c>
      <c r="C404" s="230" t="str">
        <f ca="1">IF(A404&gt;TODAY(),"",IF('Daily Tracking'!E404&lt;&gt;"",1,0))</f>
        <v/>
      </c>
      <c r="D404" s="230" t="str">
        <f ca="1">IF(A404&gt;TODAY(),"",IF(N('Daily Tracking'!G404)&gt;=Settings!$B$13,1,0))</f>
        <v/>
      </c>
      <c r="E404" s="230" t="str">
        <f ca="1">IF(A404&gt;TODAY(),"",IF(N('Daily Tracking'!H404)&gt;=Settings!$B$14,1,0))</f>
        <v/>
      </c>
      <c r="F404" s="230" t="str">
        <f ca="1">IF(A404&gt;TODAY(),"",IF(OR(N('Daily Tracking'!I404)&gt;0,'Daily Tracking'!J404="Yes"),1,0))</f>
        <v/>
      </c>
      <c r="G404" s="230" t="str">
        <f ca="1">IF(A404&gt;TODAY(),"",IF(N('Daily Tracking'!K404)&gt;=Settings!$B$15,1,0))</f>
        <v/>
      </c>
      <c r="H404" s="231" t="str">
        <f ca="1">IF(B404="","",AVERAGE(B404:G404))</f>
        <v/>
      </c>
      <c r="I404" s="136" t="str">
        <f ca="1">IF(B404="","",IF(B404=1,N(I403)+1,0))</f>
        <v/>
      </c>
    </row>
    <row r="405" spans="1:9" ht="18" customHeight="1" x14ac:dyDescent="0.3">
      <c r="A405" s="132">
        <f>'Daily Tracking'!A405</f>
        <v>46677</v>
      </c>
      <c r="B405" s="230" t="str">
        <f ca="1">IF(A405&gt;TODAY(),"",IF('Daily Tracking'!B405&lt;&gt;"",1,0))</f>
        <v/>
      </c>
      <c r="C405" s="230" t="str">
        <f ca="1">IF(A405&gt;TODAY(),"",IF('Daily Tracking'!E405&lt;&gt;"",1,0))</f>
        <v/>
      </c>
      <c r="D405" s="230" t="str">
        <f ca="1">IF(A405&gt;TODAY(),"",IF(N('Daily Tracking'!G405)&gt;=Settings!$B$13,1,0))</f>
        <v/>
      </c>
      <c r="E405" s="230" t="str">
        <f ca="1">IF(A405&gt;TODAY(),"",IF(N('Daily Tracking'!H405)&gt;=Settings!$B$14,1,0))</f>
        <v/>
      </c>
      <c r="F405" s="230" t="str">
        <f ca="1">IF(A405&gt;TODAY(),"",IF(OR(N('Daily Tracking'!I405)&gt;0,'Daily Tracking'!J405="Yes"),1,0))</f>
        <v/>
      </c>
      <c r="G405" s="230" t="str">
        <f ca="1">IF(A405&gt;TODAY(),"",IF(N('Daily Tracking'!K405)&gt;=Settings!$B$15,1,0))</f>
        <v/>
      </c>
      <c r="H405" s="231" t="str">
        <f ca="1">IF(B405="","",AVERAGE(B405:G405))</f>
        <v/>
      </c>
      <c r="I405" s="136" t="str">
        <f ca="1">IF(B405="","",IF(B405=1,N(I404)+1,0))</f>
        <v/>
      </c>
    </row>
    <row r="406" spans="1:9" ht="18" customHeight="1" x14ac:dyDescent="0.3">
      <c r="A406" s="132">
        <f>'Daily Tracking'!A406</f>
        <v>46678</v>
      </c>
      <c r="B406" s="230" t="str">
        <f ca="1">IF(A406&gt;TODAY(),"",IF('Daily Tracking'!B406&lt;&gt;"",1,0))</f>
        <v/>
      </c>
      <c r="C406" s="230" t="str">
        <f ca="1">IF(A406&gt;TODAY(),"",IF('Daily Tracking'!E406&lt;&gt;"",1,0))</f>
        <v/>
      </c>
      <c r="D406" s="230" t="str">
        <f ca="1">IF(A406&gt;TODAY(),"",IF(N('Daily Tracking'!G406)&gt;=Settings!$B$13,1,0))</f>
        <v/>
      </c>
      <c r="E406" s="230" t="str">
        <f ca="1">IF(A406&gt;TODAY(),"",IF(N('Daily Tracking'!H406)&gt;=Settings!$B$14,1,0))</f>
        <v/>
      </c>
      <c r="F406" s="230" t="str">
        <f ca="1">IF(A406&gt;TODAY(),"",IF(OR(N('Daily Tracking'!I406)&gt;0,'Daily Tracking'!J406="Yes"),1,0))</f>
        <v/>
      </c>
      <c r="G406" s="230" t="str">
        <f ca="1">IF(A406&gt;TODAY(),"",IF(N('Daily Tracking'!K406)&gt;=Settings!$B$15,1,0))</f>
        <v/>
      </c>
      <c r="H406" s="231" t="str">
        <f ca="1">IF(B406="","",AVERAGE(B406:G406))</f>
        <v/>
      </c>
      <c r="I406" s="136" t="str">
        <f ca="1">IF(B406="","",IF(B406=1,N(I405)+1,0))</f>
        <v/>
      </c>
    </row>
    <row r="407" spans="1:9" ht="18" customHeight="1" x14ac:dyDescent="0.3">
      <c r="A407" s="132">
        <f>'Daily Tracking'!A407</f>
        <v>46679</v>
      </c>
      <c r="B407" s="230" t="str">
        <f ca="1">IF(A407&gt;TODAY(),"",IF('Daily Tracking'!B407&lt;&gt;"",1,0))</f>
        <v/>
      </c>
      <c r="C407" s="230" t="str">
        <f ca="1">IF(A407&gt;TODAY(),"",IF('Daily Tracking'!E407&lt;&gt;"",1,0))</f>
        <v/>
      </c>
      <c r="D407" s="230" t="str">
        <f ca="1">IF(A407&gt;TODAY(),"",IF(N('Daily Tracking'!G407)&gt;=Settings!$B$13,1,0))</f>
        <v/>
      </c>
      <c r="E407" s="230" t="str">
        <f ca="1">IF(A407&gt;TODAY(),"",IF(N('Daily Tracking'!H407)&gt;=Settings!$B$14,1,0))</f>
        <v/>
      </c>
      <c r="F407" s="230" t="str">
        <f ca="1">IF(A407&gt;TODAY(),"",IF(OR(N('Daily Tracking'!I407)&gt;0,'Daily Tracking'!J407="Yes"),1,0))</f>
        <v/>
      </c>
      <c r="G407" s="230" t="str">
        <f ca="1">IF(A407&gt;TODAY(),"",IF(N('Daily Tracking'!K407)&gt;=Settings!$B$15,1,0))</f>
        <v/>
      </c>
      <c r="H407" s="231" t="str">
        <f ca="1">IF(B407="","",AVERAGE(B407:G407))</f>
        <v/>
      </c>
      <c r="I407" s="136" t="str">
        <f ca="1">IF(B407="","",IF(B407=1,N(I406)+1,0))</f>
        <v/>
      </c>
    </row>
    <row r="408" spans="1:9" ht="18" customHeight="1" x14ac:dyDescent="0.3">
      <c r="A408" s="132">
        <f>'Daily Tracking'!A408</f>
        <v>46680</v>
      </c>
      <c r="B408" s="230" t="str">
        <f ca="1">IF(A408&gt;TODAY(),"",IF('Daily Tracking'!B408&lt;&gt;"",1,0))</f>
        <v/>
      </c>
      <c r="C408" s="230" t="str">
        <f ca="1">IF(A408&gt;TODAY(),"",IF('Daily Tracking'!E408&lt;&gt;"",1,0))</f>
        <v/>
      </c>
      <c r="D408" s="230" t="str">
        <f ca="1">IF(A408&gt;TODAY(),"",IF(N('Daily Tracking'!G408)&gt;=Settings!$B$13,1,0))</f>
        <v/>
      </c>
      <c r="E408" s="230" t="str">
        <f ca="1">IF(A408&gt;TODAY(),"",IF(N('Daily Tracking'!H408)&gt;=Settings!$B$14,1,0))</f>
        <v/>
      </c>
      <c r="F408" s="230" t="str">
        <f ca="1">IF(A408&gt;TODAY(),"",IF(OR(N('Daily Tracking'!I408)&gt;0,'Daily Tracking'!J408="Yes"),1,0))</f>
        <v/>
      </c>
      <c r="G408" s="230" t="str">
        <f ca="1">IF(A408&gt;TODAY(),"",IF(N('Daily Tracking'!K408)&gt;=Settings!$B$15,1,0))</f>
        <v/>
      </c>
      <c r="H408" s="231" t="str">
        <f ca="1">IF(B408="","",AVERAGE(B408:G408))</f>
        <v/>
      </c>
      <c r="I408" s="136" t="str">
        <f ca="1">IF(B408="","",IF(B408=1,N(I407)+1,0))</f>
        <v/>
      </c>
    </row>
    <row r="409" spans="1:9" ht="18" customHeight="1" x14ac:dyDescent="0.3">
      <c r="A409" s="132">
        <f>'Daily Tracking'!A409</f>
        <v>46681</v>
      </c>
      <c r="B409" s="230" t="str">
        <f ca="1">IF(A409&gt;TODAY(),"",IF('Daily Tracking'!B409&lt;&gt;"",1,0))</f>
        <v/>
      </c>
      <c r="C409" s="230" t="str">
        <f ca="1">IF(A409&gt;TODAY(),"",IF('Daily Tracking'!E409&lt;&gt;"",1,0))</f>
        <v/>
      </c>
      <c r="D409" s="230" t="str">
        <f ca="1">IF(A409&gt;TODAY(),"",IF(N('Daily Tracking'!G409)&gt;=Settings!$B$13,1,0))</f>
        <v/>
      </c>
      <c r="E409" s="230" t="str">
        <f ca="1">IF(A409&gt;TODAY(),"",IF(N('Daily Tracking'!H409)&gt;=Settings!$B$14,1,0))</f>
        <v/>
      </c>
      <c r="F409" s="230" t="str">
        <f ca="1">IF(A409&gt;TODAY(),"",IF(OR(N('Daily Tracking'!I409)&gt;0,'Daily Tracking'!J409="Yes"),1,0))</f>
        <v/>
      </c>
      <c r="G409" s="230" t="str">
        <f ca="1">IF(A409&gt;TODAY(),"",IF(N('Daily Tracking'!K409)&gt;=Settings!$B$15,1,0))</f>
        <v/>
      </c>
      <c r="H409" s="231" t="str">
        <f ca="1">IF(B409="","",AVERAGE(B409:G409))</f>
        <v/>
      </c>
      <c r="I409" s="136" t="str">
        <f ca="1">IF(B409="","",IF(B409=1,N(I408)+1,0))</f>
        <v/>
      </c>
    </row>
    <row r="410" spans="1:9" ht="18" customHeight="1" x14ac:dyDescent="0.3">
      <c r="A410" s="132">
        <f>'Daily Tracking'!A410</f>
        <v>46682</v>
      </c>
      <c r="B410" s="230" t="str">
        <f ca="1">IF(A410&gt;TODAY(),"",IF('Daily Tracking'!B410&lt;&gt;"",1,0))</f>
        <v/>
      </c>
      <c r="C410" s="230" t="str">
        <f ca="1">IF(A410&gt;TODAY(),"",IF('Daily Tracking'!E410&lt;&gt;"",1,0))</f>
        <v/>
      </c>
      <c r="D410" s="230" t="str">
        <f ca="1">IF(A410&gt;TODAY(),"",IF(N('Daily Tracking'!G410)&gt;=Settings!$B$13,1,0))</f>
        <v/>
      </c>
      <c r="E410" s="230" t="str">
        <f ca="1">IF(A410&gt;TODAY(),"",IF(N('Daily Tracking'!H410)&gt;=Settings!$B$14,1,0))</f>
        <v/>
      </c>
      <c r="F410" s="230" t="str">
        <f ca="1">IF(A410&gt;TODAY(),"",IF(OR(N('Daily Tracking'!I410)&gt;0,'Daily Tracking'!J410="Yes"),1,0))</f>
        <v/>
      </c>
      <c r="G410" s="230" t="str">
        <f ca="1">IF(A410&gt;TODAY(),"",IF(N('Daily Tracking'!K410)&gt;=Settings!$B$15,1,0))</f>
        <v/>
      </c>
      <c r="H410" s="231" t="str">
        <f ca="1">IF(B410="","",AVERAGE(B410:G410))</f>
        <v/>
      </c>
      <c r="I410" s="136" t="str">
        <f ca="1">IF(B410="","",IF(B410=1,N(I409)+1,0))</f>
        <v/>
      </c>
    </row>
    <row r="411" spans="1:9" ht="18" customHeight="1" x14ac:dyDescent="0.3">
      <c r="A411" s="132">
        <f>'Daily Tracking'!A411</f>
        <v>46683</v>
      </c>
      <c r="B411" s="230" t="str">
        <f ca="1">IF(A411&gt;TODAY(),"",IF('Daily Tracking'!B411&lt;&gt;"",1,0))</f>
        <v/>
      </c>
      <c r="C411" s="230" t="str">
        <f ca="1">IF(A411&gt;TODAY(),"",IF('Daily Tracking'!E411&lt;&gt;"",1,0))</f>
        <v/>
      </c>
      <c r="D411" s="230" t="str">
        <f ca="1">IF(A411&gt;TODAY(),"",IF(N('Daily Tracking'!G411)&gt;=Settings!$B$13,1,0))</f>
        <v/>
      </c>
      <c r="E411" s="230" t="str">
        <f ca="1">IF(A411&gt;TODAY(),"",IF(N('Daily Tracking'!H411)&gt;=Settings!$B$14,1,0))</f>
        <v/>
      </c>
      <c r="F411" s="230" t="str">
        <f ca="1">IF(A411&gt;TODAY(),"",IF(OR(N('Daily Tracking'!I411)&gt;0,'Daily Tracking'!J411="Yes"),1,0))</f>
        <v/>
      </c>
      <c r="G411" s="230" t="str">
        <f ca="1">IF(A411&gt;TODAY(),"",IF(N('Daily Tracking'!K411)&gt;=Settings!$B$15,1,0))</f>
        <v/>
      </c>
      <c r="H411" s="231" t="str">
        <f ca="1">IF(B411="","",AVERAGE(B411:G411))</f>
        <v/>
      </c>
      <c r="I411" s="136" t="str">
        <f ca="1">IF(B411="","",IF(B411=1,N(I410)+1,0))</f>
        <v/>
      </c>
    </row>
    <row r="412" spans="1:9" ht="18" customHeight="1" x14ac:dyDescent="0.3">
      <c r="A412" s="132">
        <f>'Daily Tracking'!A412</f>
        <v>46684</v>
      </c>
      <c r="B412" s="230" t="str">
        <f ca="1">IF(A412&gt;TODAY(),"",IF('Daily Tracking'!B412&lt;&gt;"",1,0))</f>
        <v/>
      </c>
      <c r="C412" s="230" t="str">
        <f ca="1">IF(A412&gt;TODAY(),"",IF('Daily Tracking'!E412&lt;&gt;"",1,0))</f>
        <v/>
      </c>
      <c r="D412" s="230" t="str">
        <f ca="1">IF(A412&gt;TODAY(),"",IF(N('Daily Tracking'!G412)&gt;=Settings!$B$13,1,0))</f>
        <v/>
      </c>
      <c r="E412" s="230" t="str">
        <f ca="1">IF(A412&gt;TODAY(),"",IF(N('Daily Tracking'!H412)&gt;=Settings!$B$14,1,0))</f>
        <v/>
      </c>
      <c r="F412" s="230" t="str">
        <f ca="1">IF(A412&gt;TODAY(),"",IF(OR(N('Daily Tracking'!I412)&gt;0,'Daily Tracking'!J412="Yes"),1,0))</f>
        <v/>
      </c>
      <c r="G412" s="230" t="str">
        <f ca="1">IF(A412&gt;TODAY(),"",IF(N('Daily Tracking'!K412)&gt;=Settings!$B$15,1,0))</f>
        <v/>
      </c>
      <c r="H412" s="231" t="str">
        <f ca="1">IF(B412="","",AVERAGE(B412:G412))</f>
        <v/>
      </c>
      <c r="I412" s="136" t="str">
        <f ca="1">IF(B412="","",IF(B412=1,N(I411)+1,0))</f>
        <v/>
      </c>
    </row>
    <row r="413" spans="1:9" ht="18" customHeight="1" x14ac:dyDescent="0.3">
      <c r="A413" s="132">
        <f>'Daily Tracking'!A413</f>
        <v>46685</v>
      </c>
      <c r="B413" s="230" t="str">
        <f ca="1">IF(A413&gt;TODAY(),"",IF('Daily Tracking'!B413&lt;&gt;"",1,0))</f>
        <v/>
      </c>
      <c r="C413" s="230" t="str">
        <f ca="1">IF(A413&gt;TODAY(),"",IF('Daily Tracking'!E413&lt;&gt;"",1,0))</f>
        <v/>
      </c>
      <c r="D413" s="230" t="str">
        <f ca="1">IF(A413&gt;TODAY(),"",IF(N('Daily Tracking'!G413)&gt;=Settings!$B$13,1,0))</f>
        <v/>
      </c>
      <c r="E413" s="230" t="str">
        <f ca="1">IF(A413&gt;TODAY(),"",IF(N('Daily Tracking'!H413)&gt;=Settings!$B$14,1,0))</f>
        <v/>
      </c>
      <c r="F413" s="230" t="str">
        <f ca="1">IF(A413&gt;TODAY(),"",IF(OR(N('Daily Tracking'!I413)&gt;0,'Daily Tracking'!J413="Yes"),1,0))</f>
        <v/>
      </c>
      <c r="G413" s="230" t="str">
        <f ca="1">IF(A413&gt;TODAY(),"",IF(N('Daily Tracking'!K413)&gt;=Settings!$B$15,1,0))</f>
        <v/>
      </c>
      <c r="H413" s="231" t="str">
        <f ca="1">IF(B413="","",AVERAGE(B413:G413))</f>
        <v/>
      </c>
      <c r="I413" s="136" t="str">
        <f ca="1">IF(B413="","",IF(B413=1,N(I412)+1,0))</f>
        <v/>
      </c>
    </row>
    <row r="414" spans="1:9" ht="18" customHeight="1" x14ac:dyDescent="0.3">
      <c r="A414" s="132">
        <f>'Daily Tracking'!A414</f>
        <v>46686</v>
      </c>
      <c r="B414" s="230" t="str">
        <f ca="1">IF(A414&gt;TODAY(),"",IF('Daily Tracking'!B414&lt;&gt;"",1,0))</f>
        <v/>
      </c>
      <c r="C414" s="230" t="str">
        <f ca="1">IF(A414&gt;TODAY(),"",IF('Daily Tracking'!E414&lt;&gt;"",1,0))</f>
        <v/>
      </c>
      <c r="D414" s="230" t="str">
        <f ca="1">IF(A414&gt;TODAY(),"",IF(N('Daily Tracking'!G414)&gt;=Settings!$B$13,1,0))</f>
        <v/>
      </c>
      <c r="E414" s="230" t="str">
        <f ca="1">IF(A414&gt;TODAY(),"",IF(N('Daily Tracking'!H414)&gt;=Settings!$B$14,1,0))</f>
        <v/>
      </c>
      <c r="F414" s="230" t="str">
        <f ca="1">IF(A414&gt;TODAY(),"",IF(OR(N('Daily Tracking'!I414)&gt;0,'Daily Tracking'!J414="Yes"),1,0))</f>
        <v/>
      </c>
      <c r="G414" s="230" t="str">
        <f ca="1">IF(A414&gt;TODAY(),"",IF(N('Daily Tracking'!K414)&gt;=Settings!$B$15,1,0))</f>
        <v/>
      </c>
      <c r="H414" s="231" t="str">
        <f ca="1">IF(B414="","",AVERAGE(B414:G414))</f>
        <v/>
      </c>
      <c r="I414" s="136" t="str">
        <f ca="1">IF(B414="","",IF(B414=1,N(I413)+1,0))</f>
        <v/>
      </c>
    </row>
    <row r="415" spans="1:9" ht="18" customHeight="1" x14ac:dyDescent="0.3">
      <c r="A415" s="132">
        <f>'Daily Tracking'!A415</f>
        <v>46687</v>
      </c>
      <c r="B415" s="230" t="str">
        <f ca="1">IF(A415&gt;TODAY(),"",IF('Daily Tracking'!B415&lt;&gt;"",1,0))</f>
        <v/>
      </c>
      <c r="C415" s="230" t="str">
        <f ca="1">IF(A415&gt;TODAY(),"",IF('Daily Tracking'!E415&lt;&gt;"",1,0))</f>
        <v/>
      </c>
      <c r="D415" s="230" t="str">
        <f ca="1">IF(A415&gt;TODAY(),"",IF(N('Daily Tracking'!G415)&gt;=Settings!$B$13,1,0))</f>
        <v/>
      </c>
      <c r="E415" s="230" t="str">
        <f ca="1">IF(A415&gt;TODAY(),"",IF(N('Daily Tracking'!H415)&gt;=Settings!$B$14,1,0))</f>
        <v/>
      </c>
      <c r="F415" s="230" t="str">
        <f ca="1">IF(A415&gt;TODAY(),"",IF(OR(N('Daily Tracking'!I415)&gt;0,'Daily Tracking'!J415="Yes"),1,0))</f>
        <v/>
      </c>
      <c r="G415" s="230" t="str">
        <f ca="1">IF(A415&gt;TODAY(),"",IF(N('Daily Tracking'!K415)&gt;=Settings!$B$15,1,0))</f>
        <v/>
      </c>
      <c r="H415" s="231" t="str">
        <f ca="1">IF(B415="","",AVERAGE(B415:G415))</f>
        <v/>
      </c>
      <c r="I415" s="136" t="str">
        <f ca="1">IF(B415="","",IF(B415=1,N(I414)+1,0))</f>
        <v/>
      </c>
    </row>
    <row r="416" spans="1:9" ht="18" customHeight="1" x14ac:dyDescent="0.3">
      <c r="A416" s="132">
        <f>'Daily Tracking'!A416</f>
        <v>46688</v>
      </c>
      <c r="B416" s="230" t="str">
        <f ca="1">IF(A416&gt;TODAY(),"",IF('Daily Tracking'!B416&lt;&gt;"",1,0))</f>
        <v/>
      </c>
      <c r="C416" s="230" t="str">
        <f ca="1">IF(A416&gt;TODAY(),"",IF('Daily Tracking'!E416&lt;&gt;"",1,0))</f>
        <v/>
      </c>
      <c r="D416" s="230" t="str">
        <f ca="1">IF(A416&gt;TODAY(),"",IF(N('Daily Tracking'!G416)&gt;=Settings!$B$13,1,0))</f>
        <v/>
      </c>
      <c r="E416" s="230" t="str">
        <f ca="1">IF(A416&gt;TODAY(),"",IF(N('Daily Tracking'!H416)&gt;=Settings!$B$14,1,0))</f>
        <v/>
      </c>
      <c r="F416" s="230" t="str">
        <f ca="1">IF(A416&gt;TODAY(),"",IF(OR(N('Daily Tracking'!I416)&gt;0,'Daily Tracking'!J416="Yes"),1,0))</f>
        <v/>
      </c>
      <c r="G416" s="230" t="str">
        <f ca="1">IF(A416&gt;TODAY(),"",IF(N('Daily Tracking'!K416)&gt;=Settings!$B$15,1,0))</f>
        <v/>
      </c>
      <c r="H416" s="231" t="str">
        <f ca="1">IF(B416="","",AVERAGE(B416:G416))</f>
        <v/>
      </c>
      <c r="I416" s="136" t="str">
        <f ca="1">IF(B416="","",IF(B416=1,N(I415)+1,0))</f>
        <v/>
      </c>
    </row>
    <row r="417" spans="1:9" ht="18" customHeight="1" x14ac:dyDescent="0.3">
      <c r="A417" s="132">
        <f>'Daily Tracking'!A417</f>
        <v>46689</v>
      </c>
      <c r="B417" s="230" t="str">
        <f ca="1">IF(A417&gt;TODAY(),"",IF('Daily Tracking'!B417&lt;&gt;"",1,0))</f>
        <v/>
      </c>
      <c r="C417" s="230" t="str">
        <f ca="1">IF(A417&gt;TODAY(),"",IF('Daily Tracking'!E417&lt;&gt;"",1,0))</f>
        <v/>
      </c>
      <c r="D417" s="230" t="str">
        <f ca="1">IF(A417&gt;TODAY(),"",IF(N('Daily Tracking'!G417)&gt;=Settings!$B$13,1,0))</f>
        <v/>
      </c>
      <c r="E417" s="230" t="str">
        <f ca="1">IF(A417&gt;TODAY(),"",IF(N('Daily Tracking'!H417)&gt;=Settings!$B$14,1,0))</f>
        <v/>
      </c>
      <c r="F417" s="230" t="str">
        <f ca="1">IF(A417&gt;TODAY(),"",IF(OR(N('Daily Tracking'!I417)&gt;0,'Daily Tracking'!J417="Yes"),1,0))</f>
        <v/>
      </c>
      <c r="G417" s="230" t="str">
        <f ca="1">IF(A417&gt;TODAY(),"",IF(N('Daily Tracking'!K417)&gt;=Settings!$B$15,1,0))</f>
        <v/>
      </c>
      <c r="H417" s="231" t="str">
        <f ca="1">IF(B417="","",AVERAGE(B417:G417))</f>
        <v/>
      </c>
      <c r="I417" s="136" t="str">
        <f ca="1">IF(B417="","",IF(B417=1,N(I416)+1,0))</f>
        <v/>
      </c>
    </row>
    <row r="418" spans="1:9" ht="18" customHeight="1" x14ac:dyDescent="0.3">
      <c r="A418" s="132">
        <f>'Daily Tracking'!A418</f>
        <v>46690</v>
      </c>
      <c r="B418" s="230" t="str">
        <f ca="1">IF(A418&gt;TODAY(),"",IF('Daily Tracking'!B418&lt;&gt;"",1,0))</f>
        <v/>
      </c>
      <c r="C418" s="230" t="str">
        <f ca="1">IF(A418&gt;TODAY(),"",IF('Daily Tracking'!E418&lt;&gt;"",1,0))</f>
        <v/>
      </c>
      <c r="D418" s="230" t="str">
        <f ca="1">IF(A418&gt;TODAY(),"",IF(N('Daily Tracking'!G418)&gt;=Settings!$B$13,1,0))</f>
        <v/>
      </c>
      <c r="E418" s="230" t="str">
        <f ca="1">IF(A418&gt;TODAY(),"",IF(N('Daily Tracking'!H418)&gt;=Settings!$B$14,1,0))</f>
        <v/>
      </c>
      <c r="F418" s="230" t="str">
        <f ca="1">IF(A418&gt;TODAY(),"",IF(OR(N('Daily Tracking'!I418)&gt;0,'Daily Tracking'!J418="Yes"),1,0))</f>
        <v/>
      </c>
      <c r="G418" s="230" t="str">
        <f ca="1">IF(A418&gt;TODAY(),"",IF(N('Daily Tracking'!K418)&gt;=Settings!$B$15,1,0))</f>
        <v/>
      </c>
      <c r="H418" s="231" t="str">
        <f ca="1">IF(B418="","",AVERAGE(B418:G418))</f>
        <v/>
      </c>
      <c r="I418" s="136" t="str">
        <f ca="1">IF(B418="","",IF(B418=1,N(I417)+1,0))</f>
        <v/>
      </c>
    </row>
    <row r="419" spans="1:9" ht="18" customHeight="1" x14ac:dyDescent="0.3">
      <c r="A419" s="132">
        <f>'Daily Tracking'!A419</f>
        <v>46691</v>
      </c>
      <c r="B419" s="230" t="str">
        <f ca="1">IF(A419&gt;TODAY(),"",IF('Daily Tracking'!B419&lt;&gt;"",1,0))</f>
        <v/>
      </c>
      <c r="C419" s="230" t="str">
        <f ca="1">IF(A419&gt;TODAY(),"",IF('Daily Tracking'!E419&lt;&gt;"",1,0))</f>
        <v/>
      </c>
      <c r="D419" s="230" t="str">
        <f ca="1">IF(A419&gt;TODAY(),"",IF(N('Daily Tracking'!G419)&gt;=Settings!$B$13,1,0))</f>
        <v/>
      </c>
      <c r="E419" s="230" t="str">
        <f ca="1">IF(A419&gt;TODAY(),"",IF(N('Daily Tracking'!H419)&gt;=Settings!$B$14,1,0))</f>
        <v/>
      </c>
      <c r="F419" s="230" t="str">
        <f ca="1">IF(A419&gt;TODAY(),"",IF(OR(N('Daily Tracking'!I419)&gt;0,'Daily Tracking'!J419="Yes"),1,0))</f>
        <v/>
      </c>
      <c r="G419" s="230" t="str">
        <f ca="1">IF(A419&gt;TODAY(),"",IF(N('Daily Tracking'!K419)&gt;=Settings!$B$15,1,0))</f>
        <v/>
      </c>
      <c r="H419" s="231" t="str">
        <f ca="1">IF(B419="","",AVERAGE(B419:G419))</f>
        <v/>
      </c>
      <c r="I419" s="136" t="str">
        <f ca="1">IF(B419="","",IF(B419=1,N(I418)+1,0))</f>
        <v/>
      </c>
    </row>
    <row r="420" spans="1:9" ht="18" customHeight="1" x14ac:dyDescent="0.3">
      <c r="A420" s="132">
        <f>'Daily Tracking'!A420</f>
        <v>46692</v>
      </c>
      <c r="B420" s="230" t="str">
        <f ca="1">IF(A420&gt;TODAY(),"",IF('Daily Tracking'!B420&lt;&gt;"",1,0))</f>
        <v/>
      </c>
      <c r="C420" s="230" t="str">
        <f ca="1">IF(A420&gt;TODAY(),"",IF('Daily Tracking'!E420&lt;&gt;"",1,0))</f>
        <v/>
      </c>
      <c r="D420" s="230" t="str">
        <f ca="1">IF(A420&gt;TODAY(),"",IF(N('Daily Tracking'!G420)&gt;=Settings!$B$13,1,0))</f>
        <v/>
      </c>
      <c r="E420" s="230" t="str">
        <f ca="1">IF(A420&gt;TODAY(),"",IF(N('Daily Tracking'!H420)&gt;=Settings!$B$14,1,0))</f>
        <v/>
      </c>
      <c r="F420" s="230" t="str">
        <f ca="1">IF(A420&gt;TODAY(),"",IF(OR(N('Daily Tracking'!I420)&gt;0,'Daily Tracking'!J420="Yes"),1,0))</f>
        <v/>
      </c>
      <c r="G420" s="230" t="str">
        <f ca="1">IF(A420&gt;TODAY(),"",IF(N('Daily Tracking'!K420)&gt;=Settings!$B$15,1,0))</f>
        <v/>
      </c>
      <c r="H420" s="231" t="str">
        <f ca="1">IF(B420="","",AVERAGE(B420:G420))</f>
        <v/>
      </c>
      <c r="I420" s="136" t="str">
        <f ca="1">IF(B420="","",IF(B420=1,N(I419)+1,0))</f>
        <v/>
      </c>
    </row>
    <row r="421" spans="1:9" ht="18" customHeight="1" x14ac:dyDescent="0.3">
      <c r="A421" s="132">
        <f>'Daily Tracking'!A421</f>
        <v>46693</v>
      </c>
      <c r="B421" s="230" t="str">
        <f ca="1">IF(A421&gt;TODAY(),"",IF('Daily Tracking'!B421&lt;&gt;"",1,0))</f>
        <v/>
      </c>
      <c r="C421" s="230" t="str">
        <f ca="1">IF(A421&gt;TODAY(),"",IF('Daily Tracking'!E421&lt;&gt;"",1,0))</f>
        <v/>
      </c>
      <c r="D421" s="230" t="str">
        <f ca="1">IF(A421&gt;TODAY(),"",IF(N('Daily Tracking'!G421)&gt;=Settings!$B$13,1,0))</f>
        <v/>
      </c>
      <c r="E421" s="230" t="str">
        <f ca="1">IF(A421&gt;TODAY(),"",IF(N('Daily Tracking'!H421)&gt;=Settings!$B$14,1,0))</f>
        <v/>
      </c>
      <c r="F421" s="230" t="str">
        <f ca="1">IF(A421&gt;TODAY(),"",IF(OR(N('Daily Tracking'!I421)&gt;0,'Daily Tracking'!J421="Yes"),1,0))</f>
        <v/>
      </c>
      <c r="G421" s="230" t="str">
        <f ca="1">IF(A421&gt;TODAY(),"",IF(N('Daily Tracking'!K421)&gt;=Settings!$B$15,1,0))</f>
        <v/>
      </c>
      <c r="H421" s="231" t="str">
        <f ca="1">IF(B421="","",AVERAGE(B421:G421))</f>
        <v/>
      </c>
      <c r="I421" s="136" t="str">
        <f ca="1">IF(B421="","",IF(B421=1,N(I420)+1,0))</f>
        <v/>
      </c>
    </row>
    <row r="422" spans="1:9" ht="18" customHeight="1" x14ac:dyDescent="0.3">
      <c r="A422" s="132">
        <f>'Daily Tracking'!A422</f>
        <v>46694</v>
      </c>
      <c r="B422" s="230" t="str">
        <f ca="1">IF(A422&gt;TODAY(),"",IF('Daily Tracking'!B422&lt;&gt;"",1,0))</f>
        <v/>
      </c>
      <c r="C422" s="230" t="str">
        <f ca="1">IF(A422&gt;TODAY(),"",IF('Daily Tracking'!E422&lt;&gt;"",1,0))</f>
        <v/>
      </c>
      <c r="D422" s="230" t="str">
        <f ca="1">IF(A422&gt;TODAY(),"",IF(N('Daily Tracking'!G422)&gt;=Settings!$B$13,1,0))</f>
        <v/>
      </c>
      <c r="E422" s="230" t="str">
        <f ca="1">IF(A422&gt;TODAY(),"",IF(N('Daily Tracking'!H422)&gt;=Settings!$B$14,1,0))</f>
        <v/>
      </c>
      <c r="F422" s="230" t="str">
        <f ca="1">IF(A422&gt;TODAY(),"",IF(OR(N('Daily Tracking'!I422)&gt;0,'Daily Tracking'!J422="Yes"),1,0))</f>
        <v/>
      </c>
      <c r="G422" s="230" t="str">
        <f ca="1">IF(A422&gt;TODAY(),"",IF(N('Daily Tracking'!K422)&gt;=Settings!$B$15,1,0))</f>
        <v/>
      </c>
      <c r="H422" s="231" t="str">
        <f ca="1">IF(B422="","",AVERAGE(B422:G422))</f>
        <v/>
      </c>
      <c r="I422" s="136" t="str">
        <f ca="1">IF(B422="","",IF(B422=1,N(I421)+1,0))</f>
        <v/>
      </c>
    </row>
    <row r="423" spans="1:9" ht="18" customHeight="1" x14ac:dyDescent="0.3">
      <c r="A423" s="132">
        <f>'Daily Tracking'!A423</f>
        <v>46695</v>
      </c>
      <c r="B423" s="230" t="str">
        <f ca="1">IF(A423&gt;TODAY(),"",IF('Daily Tracking'!B423&lt;&gt;"",1,0))</f>
        <v/>
      </c>
      <c r="C423" s="230" t="str">
        <f ca="1">IF(A423&gt;TODAY(),"",IF('Daily Tracking'!E423&lt;&gt;"",1,0))</f>
        <v/>
      </c>
      <c r="D423" s="230" t="str">
        <f ca="1">IF(A423&gt;TODAY(),"",IF(N('Daily Tracking'!G423)&gt;=Settings!$B$13,1,0))</f>
        <v/>
      </c>
      <c r="E423" s="230" t="str">
        <f ca="1">IF(A423&gt;TODAY(),"",IF(N('Daily Tracking'!H423)&gt;=Settings!$B$14,1,0))</f>
        <v/>
      </c>
      <c r="F423" s="230" t="str">
        <f ca="1">IF(A423&gt;TODAY(),"",IF(OR(N('Daily Tracking'!I423)&gt;0,'Daily Tracking'!J423="Yes"),1,0))</f>
        <v/>
      </c>
      <c r="G423" s="230" t="str">
        <f ca="1">IF(A423&gt;TODAY(),"",IF(N('Daily Tracking'!K423)&gt;=Settings!$B$15,1,0))</f>
        <v/>
      </c>
      <c r="H423" s="231" t="str">
        <f ca="1">IF(B423="","",AVERAGE(B423:G423))</f>
        <v/>
      </c>
      <c r="I423" s="136" t="str">
        <f ca="1">IF(B423="","",IF(B423=1,N(I422)+1,0))</f>
        <v/>
      </c>
    </row>
    <row r="424" spans="1:9" ht="18" customHeight="1" x14ac:dyDescent="0.3">
      <c r="A424" s="132">
        <f>'Daily Tracking'!A424</f>
        <v>46696</v>
      </c>
      <c r="B424" s="230" t="str">
        <f ca="1">IF(A424&gt;TODAY(),"",IF('Daily Tracking'!B424&lt;&gt;"",1,0))</f>
        <v/>
      </c>
      <c r="C424" s="230" t="str">
        <f ca="1">IF(A424&gt;TODAY(),"",IF('Daily Tracking'!E424&lt;&gt;"",1,0))</f>
        <v/>
      </c>
      <c r="D424" s="230" t="str">
        <f ca="1">IF(A424&gt;TODAY(),"",IF(N('Daily Tracking'!G424)&gt;=Settings!$B$13,1,0))</f>
        <v/>
      </c>
      <c r="E424" s="230" t="str">
        <f ca="1">IF(A424&gt;TODAY(),"",IF(N('Daily Tracking'!H424)&gt;=Settings!$B$14,1,0))</f>
        <v/>
      </c>
      <c r="F424" s="230" t="str">
        <f ca="1">IF(A424&gt;TODAY(),"",IF(OR(N('Daily Tracking'!I424)&gt;0,'Daily Tracking'!J424="Yes"),1,0))</f>
        <v/>
      </c>
      <c r="G424" s="230" t="str">
        <f ca="1">IF(A424&gt;TODAY(),"",IF(N('Daily Tracking'!K424)&gt;=Settings!$B$15,1,0))</f>
        <v/>
      </c>
      <c r="H424" s="231" t="str">
        <f ca="1">IF(B424="","",AVERAGE(B424:G424))</f>
        <v/>
      </c>
      <c r="I424" s="136" t="str">
        <f ca="1">IF(B424="","",IF(B424=1,N(I423)+1,0))</f>
        <v/>
      </c>
    </row>
    <row r="425" spans="1:9" ht="18" customHeight="1" x14ac:dyDescent="0.3">
      <c r="A425" s="132">
        <f>'Daily Tracking'!A425</f>
        <v>46697</v>
      </c>
      <c r="B425" s="230" t="str">
        <f ca="1">IF(A425&gt;TODAY(),"",IF('Daily Tracking'!B425&lt;&gt;"",1,0))</f>
        <v/>
      </c>
      <c r="C425" s="230" t="str">
        <f ca="1">IF(A425&gt;TODAY(),"",IF('Daily Tracking'!E425&lt;&gt;"",1,0))</f>
        <v/>
      </c>
      <c r="D425" s="230" t="str">
        <f ca="1">IF(A425&gt;TODAY(),"",IF(N('Daily Tracking'!G425)&gt;=Settings!$B$13,1,0))</f>
        <v/>
      </c>
      <c r="E425" s="230" t="str">
        <f ca="1">IF(A425&gt;TODAY(),"",IF(N('Daily Tracking'!H425)&gt;=Settings!$B$14,1,0))</f>
        <v/>
      </c>
      <c r="F425" s="230" t="str">
        <f ca="1">IF(A425&gt;TODAY(),"",IF(OR(N('Daily Tracking'!I425)&gt;0,'Daily Tracking'!J425="Yes"),1,0))</f>
        <v/>
      </c>
      <c r="G425" s="230" t="str">
        <f ca="1">IF(A425&gt;TODAY(),"",IF(N('Daily Tracking'!K425)&gt;=Settings!$B$15,1,0))</f>
        <v/>
      </c>
      <c r="H425" s="231" t="str">
        <f ca="1">IF(B425="","",AVERAGE(B425:G425))</f>
        <v/>
      </c>
      <c r="I425" s="136" t="str">
        <f ca="1">IF(B425="","",IF(B425=1,N(I424)+1,0))</f>
        <v/>
      </c>
    </row>
    <row r="426" spans="1:9" ht="18" customHeight="1" x14ac:dyDescent="0.3">
      <c r="A426" s="132">
        <f>'Daily Tracking'!A426</f>
        <v>46698</v>
      </c>
      <c r="B426" s="230" t="str">
        <f ca="1">IF(A426&gt;TODAY(),"",IF('Daily Tracking'!B426&lt;&gt;"",1,0))</f>
        <v/>
      </c>
      <c r="C426" s="230" t="str">
        <f ca="1">IF(A426&gt;TODAY(),"",IF('Daily Tracking'!E426&lt;&gt;"",1,0))</f>
        <v/>
      </c>
      <c r="D426" s="230" t="str">
        <f ca="1">IF(A426&gt;TODAY(),"",IF(N('Daily Tracking'!G426)&gt;=Settings!$B$13,1,0))</f>
        <v/>
      </c>
      <c r="E426" s="230" t="str">
        <f ca="1">IF(A426&gt;TODAY(),"",IF(N('Daily Tracking'!H426)&gt;=Settings!$B$14,1,0))</f>
        <v/>
      </c>
      <c r="F426" s="230" t="str">
        <f ca="1">IF(A426&gt;TODAY(),"",IF(OR(N('Daily Tracking'!I426)&gt;0,'Daily Tracking'!J426="Yes"),1,0))</f>
        <v/>
      </c>
      <c r="G426" s="230" t="str">
        <f ca="1">IF(A426&gt;TODAY(),"",IF(N('Daily Tracking'!K426)&gt;=Settings!$B$15,1,0))</f>
        <v/>
      </c>
      <c r="H426" s="231" t="str">
        <f ca="1">IF(B426="","",AVERAGE(B426:G426))</f>
        <v/>
      </c>
      <c r="I426" s="136" t="str">
        <f ca="1">IF(B426="","",IF(B426=1,N(I425)+1,0))</f>
        <v/>
      </c>
    </row>
    <row r="427" spans="1:9" ht="18" customHeight="1" x14ac:dyDescent="0.3">
      <c r="A427" s="132">
        <f>'Daily Tracking'!A427</f>
        <v>46699</v>
      </c>
      <c r="B427" s="230" t="str">
        <f ca="1">IF(A427&gt;TODAY(),"",IF('Daily Tracking'!B427&lt;&gt;"",1,0))</f>
        <v/>
      </c>
      <c r="C427" s="230" t="str">
        <f ca="1">IF(A427&gt;TODAY(),"",IF('Daily Tracking'!E427&lt;&gt;"",1,0))</f>
        <v/>
      </c>
      <c r="D427" s="230" t="str">
        <f ca="1">IF(A427&gt;TODAY(),"",IF(N('Daily Tracking'!G427)&gt;=Settings!$B$13,1,0))</f>
        <v/>
      </c>
      <c r="E427" s="230" t="str">
        <f ca="1">IF(A427&gt;TODAY(),"",IF(N('Daily Tracking'!H427)&gt;=Settings!$B$14,1,0))</f>
        <v/>
      </c>
      <c r="F427" s="230" t="str">
        <f ca="1">IF(A427&gt;TODAY(),"",IF(OR(N('Daily Tracking'!I427)&gt;0,'Daily Tracking'!J427="Yes"),1,0))</f>
        <v/>
      </c>
      <c r="G427" s="230" t="str">
        <f ca="1">IF(A427&gt;TODAY(),"",IF(N('Daily Tracking'!K427)&gt;=Settings!$B$15,1,0))</f>
        <v/>
      </c>
      <c r="H427" s="231" t="str">
        <f ca="1">IF(B427="","",AVERAGE(B427:G427))</f>
        <v/>
      </c>
      <c r="I427" s="136" t="str">
        <f ca="1">IF(B427="","",IF(B427=1,N(I426)+1,0))</f>
        <v/>
      </c>
    </row>
    <row r="428" spans="1:9" ht="18" customHeight="1" x14ac:dyDescent="0.3">
      <c r="A428" s="132">
        <f>'Daily Tracking'!A428</f>
        <v>46700</v>
      </c>
      <c r="B428" s="230" t="str">
        <f ca="1">IF(A428&gt;TODAY(),"",IF('Daily Tracking'!B428&lt;&gt;"",1,0))</f>
        <v/>
      </c>
      <c r="C428" s="230" t="str">
        <f ca="1">IF(A428&gt;TODAY(),"",IF('Daily Tracking'!E428&lt;&gt;"",1,0))</f>
        <v/>
      </c>
      <c r="D428" s="230" t="str">
        <f ca="1">IF(A428&gt;TODAY(),"",IF(N('Daily Tracking'!G428)&gt;=Settings!$B$13,1,0))</f>
        <v/>
      </c>
      <c r="E428" s="230" t="str">
        <f ca="1">IF(A428&gt;TODAY(),"",IF(N('Daily Tracking'!H428)&gt;=Settings!$B$14,1,0))</f>
        <v/>
      </c>
      <c r="F428" s="230" t="str">
        <f ca="1">IF(A428&gt;TODAY(),"",IF(OR(N('Daily Tracking'!I428)&gt;0,'Daily Tracking'!J428="Yes"),1,0))</f>
        <v/>
      </c>
      <c r="G428" s="230" t="str">
        <f ca="1">IF(A428&gt;TODAY(),"",IF(N('Daily Tracking'!K428)&gt;=Settings!$B$15,1,0))</f>
        <v/>
      </c>
      <c r="H428" s="231" t="str">
        <f ca="1">IF(B428="","",AVERAGE(B428:G428))</f>
        <v/>
      </c>
      <c r="I428" s="136" t="str">
        <f ca="1">IF(B428="","",IF(B428=1,N(I427)+1,0))</f>
        <v/>
      </c>
    </row>
    <row r="429" spans="1:9" ht="18" customHeight="1" x14ac:dyDescent="0.3">
      <c r="A429" s="132">
        <f>'Daily Tracking'!A429</f>
        <v>46701</v>
      </c>
      <c r="B429" s="230" t="str">
        <f ca="1">IF(A429&gt;TODAY(),"",IF('Daily Tracking'!B429&lt;&gt;"",1,0))</f>
        <v/>
      </c>
      <c r="C429" s="230" t="str">
        <f ca="1">IF(A429&gt;TODAY(),"",IF('Daily Tracking'!E429&lt;&gt;"",1,0))</f>
        <v/>
      </c>
      <c r="D429" s="230" t="str">
        <f ca="1">IF(A429&gt;TODAY(),"",IF(N('Daily Tracking'!G429)&gt;=Settings!$B$13,1,0))</f>
        <v/>
      </c>
      <c r="E429" s="230" t="str">
        <f ca="1">IF(A429&gt;TODAY(),"",IF(N('Daily Tracking'!H429)&gt;=Settings!$B$14,1,0))</f>
        <v/>
      </c>
      <c r="F429" s="230" t="str">
        <f ca="1">IF(A429&gt;TODAY(),"",IF(OR(N('Daily Tracking'!I429)&gt;0,'Daily Tracking'!J429="Yes"),1,0))</f>
        <v/>
      </c>
      <c r="G429" s="230" t="str">
        <f ca="1">IF(A429&gt;TODAY(),"",IF(N('Daily Tracking'!K429)&gt;=Settings!$B$15,1,0))</f>
        <v/>
      </c>
      <c r="H429" s="231" t="str">
        <f ca="1">IF(B429="","",AVERAGE(B429:G429))</f>
        <v/>
      </c>
      <c r="I429" s="136" t="str">
        <f ca="1">IF(B429="","",IF(B429=1,N(I428)+1,0))</f>
        <v/>
      </c>
    </row>
    <row r="430" spans="1:9" ht="18" customHeight="1" x14ac:dyDescent="0.3">
      <c r="A430" s="132">
        <f>'Daily Tracking'!A430</f>
        <v>46702</v>
      </c>
      <c r="B430" s="230" t="str">
        <f ca="1">IF(A430&gt;TODAY(),"",IF('Daily Tracking'!B430&lt;&gt;"",1,0))</f>
        <v/>
      </c>
      <c r="C430" s="230" t="str">
        <f ca="1">IF(A430&gt;TODAY(),"",IF('Daily Tracking'!E430&lt;&gt;"",1,0))</f>
        <v/>
      </c>
      <c r="D430" s="230" t="str">
        <f ca="1">IF(A430&gt;TODAY(),"",IF(N('Daily Tracking'!G430)&gt;=Settings!$B$13,1,0))</f>
        <v/>
      </c>
      <c r="E430" s="230" t="str">
        <f ca="1">IF(A430&gt;TODAY(),"",IF(N('Daily Tracking'!H430)&gt;=Settings!$B$14,1,0))</f>
        <v/>
      </c>
      <c r="F430" s="230" t="str">
        <f ca="1">IF(A430&gt;TODAY(),"",IF(OR(N('Daily Tracking'!I430)&gt;0,'Daily Tracking'!J430="Yes"),1,0))</f>
        <v/>
      </c>
      <c r="G430" s="230" t="str">
        <f ca="1">IF(A430&gt;TODAY(),"",IF(N('Daily Tracking'!K430)&gt;=Settings!$B$15,1,0))</f>
        <v/>
      </c>
      <c r="H430" s="231" t="str">
        <f ca="1">IF(B430="","",AVERAGE(B430:G430))</f>
        <v/>
      </c>
      <c r="I430" s="136" t="str">
        <f ca="1">IF(B430="","",IF(B430=1,N(I429)+1,0))</f>
        <v/>
      </c>
    </row>
    <row r="431" spans="1:9" ht="18" customHeight="1" x14ac:dyDescent="0.3">
      <c r="A431" s="132">
        <f>'Daily Tracking'!A431</f>
        <v>46703</v>
      </c>
      <c r="B431" s="230" t="str">
        <f ca="1">IF(A431&gt;TODAY(),"",IF('Daily Tracking'!B431&lt;&gt;"",1,0))</f>
        <v/>
      </c>
      <c r="C431" s="230" t="str">
        <f ca="1">IF(A431&gt;TODAY(),"",IF('Daily Tracking'!E431&lt;&gt;"",1,0))</f>
        <v/>
      </c>
      <c r="D431" s="230" t="str">
        <f ca="1">IF(A431&gt;TODAY(),"",IF(N('Daily Tracking'!G431)&gt;=Settings!$B$13,1,0))</f>
        <v/>
      </c>
      <c r="E431" s="230" t="str">
        <f ca="1">IF(A431&gt;TODAY(),"",IF(N('Daily Tracking'!H431)&gt;=Settings!$B$14,1,0))</f>
        <v/>
      </c>
      <c r="F431" s="230" t="str">
        <f ca="1">IF(A431&gt;TODAY(),"",IF(OR(N('Daily Tracking'!I431)&gt;0,'Daily Tracking'!J431="Yes"),1,0))</f>
        <v/>
      </c>
      <c r="G431" s="230" t="str">
        <f ca="1">IF(A431&gt;TODAY(),"",IF(N('Daily Tracking'!K431)&gt;=Settings!$B$15,1,0))</f>
        <v/>
      </c>
      <c r="H431" s="231" t="str">
        <f ca="1">IF(B431="","",AVERAGE(B431:G431))</f>
        <v/>
      </c>
      <c r="I431" s="136" t="str">
        <f ca="1">IF(B431="","",IF(B431=1,N(I430)+1,0))</f>
        <v/>
      </c>
    </row>
    <row r="432" spans="1:9" ht="18" customHeight="1" x14ac:dyDescent="0.3">
      <c r="A432" s="132">
        <f>'Daily Tracking'!A432</f>
        <v>46704</v>
      </c>
      <c r="B432" s="230" t="str">
        <f ca="1">IF(A432&gt;TODAY(),"",IF('Daily Tracking'!B432&lt;&gt;"",1,0))</f>
        <v/>
      </c>
      <c r="C432" s="230" t="str">
        <f ca="1">IF(A432&gt;TODAY(),"",IF('Daily Tracking'!E432&lt;&gt;"",1,0))</f>
        <v/>
      </c>
      <c r="D432" s="230" t="str">
        <f ca="1">IF(A432&gt;TODAY(),"",IF(N('Daily Tracking'!G432)&gt;=Settings!$B$13,1,0))</f>
        <v/>
      </c>
      <c r="E432" s="230" t="str">
        <f ca="1">IF(A432&gt;TODAY(),"",IF(N('Daily Tracking'!H432)&gt;=Settings!$B$14,1,0))</f>
        <v/>
      </c>
      <c r="F432" s="230" t="str">
        <f ca="1">IF(A432&gt;TODAY(),"",IF(OR(N('Daily Tracking'!I432)&gt;0,'Daily Tracking'!J432="Yes"),1,0))</f>
        <v/>
      </c>
      <c r="G432" s="230" t="str">
        <f ca="1">IF(A432&gt;TODAY(),"",IF(N('Daily Tracking'!K432)&gt;=Settings!$B$15,1,0))</f>
        <v/>
      </c>
      <c r="H432" s="231" t="str">
        <f ca="1">IF(B432="","",AVERAGE(B432:G432))</f>
        <v/>
      </c>
      <c r="I432" s="136" t="str">
        <f ca="1">IF(B432="","",IF(B432=1,N(I431)+1,0))</f>
        <v/>
      </c>
    </row>
    <row r="433" spans="1:9" ht="18" customHeight="1" x14ac:dyDescent="0.3">
      <c r="A433" s="132">
        <f>'Daily Tracking'!A433</f>
        <v>46705</v>
      </c>
      <c r="B433" s="230" t="str">
        <f ca="1">IF(A433&gt;TODAY(),"",IF('Daily Tracking'!B433&lt;&gt;"",1,0))</f>
        <v/>
      </c>
      <c r="C433" s="230" t="str">
        <f ca="1">IF(A433&gt;TODAY(),"",IF('Daily Tracking'!E433&lt;&gt;"",1,0))</f>
        <v/>
      </c>
      <c r="D433" s="230" t="str">
        <f ca="1">IF(A433&gt;TODAY(),"",IF(N('Daily Tracking'!G433)&gt;=Settings!$B$13,1,0))</f>
        <v/>
      </c>
      <c r="E433" s="230" t="str">
        <f ca="1">IF(A433&gt;TODAY(),"",IF(N('Daily Tracking'!H433)&gt;=Settings!$B$14,1,0))</f>
        <v/>
      </c>
      <c r="F433" s="230" t="str">
        <f ca="1">IF(A433&gt;TODAY(),"",IF(OR(N('Daily Tracking'!I433)&gt;0,'Daily Tracking'!J433="Yes"),1,0))</f>
        <v/>
      </c>
      <c r="G433" s="230" t="str">
        <f ca="1">IF(A433&gt;TODAY(),"",IF(N('Daily Tracking'!K433)&gt;=Settings!$B$15,1,0))</f>
        <v/>
      </c>
      <c r="H433" s="231" t="str">
        <f ca="1">IF(B433="","",AVERAGE(B433:G433))</f>
        <v/>
      </c>
      <c r="I433" s="136" t="str">
        <f ca="1">IF(B433="","",IF(B433=1,N(I432)+1,0))</f>
        <v/>
      </c>
    </row>
    <row r="434" spans="1:9" ht="18" customHeight="1" x14ac:dyDescent="0.3">
      <c r="A434" s="132">
        <f>'Daily Tracking'!A434</f>
        <v>46706</v>
      </c>
      <c r="B434" s="230" t="str">
        <f ca="1">IF(A434&gt;TODAY(),"",IF('Daily Tracking'!B434&lt;&gt;"",1,0))</f>
        <v/>
      </c>
      <c r="C434" s="230" t="str">
        <f ca="1">IF(A434&gt;TODAY(),"",IF('Daily Tracking'!E434&lt;&gt;"",1,0))</f>
        <v/>
      </c>
      <c r="D434" s="230" t="str">
        <f ca="1">IF(A434&gt;TODAY(),"",IF(N('Daily Tracking'!G434)&gt;=Settings!$B$13,1,0))</f>
        <v/>
      </c>
      <c r="E434" s="230" t="str">
        <f ca="1">IF(A434&gt;TODAY(),"",IF(N('Daily Tracking'!H434)&gt;=Settings!$B$14,1,0))</f>
        <v/>
      </c>
      <c r="F434" s="230" t="str">
        <f ca="1">IF(A434&gt;TODAY(),"",IF(OR(N('Daily Tracking'!I434)&gt;0,'Daily Tracking'!J434="Yes"),1,0))</f>
        <v/>
      </c>
      <c r="G434" s="230" t="str">
        <f ca="1">IF(A434&gt;TODAY(),"",IF(N('Daily Tracking'!K434)&gt;=Settings!$B$15,1,0))</f>
        <v/>
      </c>
      <c r="H434" s="231" t="str">
        <f ca="1">IF(B434="","",AVERAGE(B434:G434))</f>
        <v/>
      </c>
      <c r="I434" s="136" t="str">
        <f ca="1">IF(B434="","",IF(B434=1,N(I433)+1,0))</f>
        <v/>
      </c>
    </row>
    <row r="435" spans="1:9" ht="18" customHeight="1" x14ac:dyDescent="0.3">
      <c r="A435" s="132">
        <f>'Daily Tracking'!A435</f>
        <v>46707</v>
      </c>
      <c r="B435" s="230" t="str">
        <f ca="1">IF(A435&gt;TODAY(),"",IF('Daily Tracking'!B435&lt;&gt;"",1,0))</f>
        <v/>
      </c>
      <c r="C435" s="230" t="str">
        <f ca="1">IF(A435&gt;TODAY(),"",IF('Daily Tracking'!E435&lt;&gt;"",1,0))</f>
        <v/>
      </c>
      <c r="D435" s="230" t="str">
        <f ca="1">IF(A435&gt;TODAY(),"",IF(N('Daily Tracking'!G435)&gt;=Settings!$B$13,1,0))</f>
        <v/>
      </c>
      <c r="E435" s="230" t="str">
        <f ca="1">IF(A435&gt;TODAY(),"",IF(N('Daily Tracking'!H435)&gt;=Settings!$B$14,1,0))</f>
        <v/>
      </c>
      <c r="F435" s="230" t="str">
        <f ca="1">IF(A435&gt;TODAY(),"",IF(OR(N('Daily Tracking'!I435)&gt;0,'Daily Tracking'!J435="Yes"),1,0))</f>
        <v/>
      </c>
      <c r="G435" s="230" t="str">
        <f ca="1">IF(A435&gt;TODAY(),"",IF(N('Daily Tracking'!K435)&gt;=Settings!$B$15,1,0))</f>
        <v/>
      </c>
      <c r="H435" s="231" t="str">
        <f ca="1">IF(B435="","",AVERAGE(B435:G435))</f>
        <v/>
      </c>
      <c r="I435" s="136" t="str">
        <f ca="1">IF(B435="","",IF(B435=1,N(I434)+1,0))</f>
        <v/>
      </c>
    </row>
    <row r="436" spans="1:9" ht="18" customHeight="1" x14ac:dyDescent="0.3">
      <c r="A436" s="132">
        <f>'Daily Tracking'!A436</f>
        <v>46708</v>
      </c>
      <c r="B436" s="230" t="str">
        <f ca="1">IF(A436&gt;TODAY(),"",IF('Daily Tracking'!B436&lt;&gt;"",1,0))</f>
        <v/>
      </c>
      <c r="C436" s="230" t="str">
        <f ca="1">IF(A436&gt;TODAY(),"",IF('Daily Tracking'!E436&lt;&gt;"",1,0))</f>
        <v/>
      </c>
      <c r="D436" s="230" t="str">
        <f ca="1">IF(A436&gt;TODAY(),"",IF(N('Daily Tracking'!G436)&gt;=Settings!$B$13,1,0))</f>
        <v/>
      </c>
      <c r="E436" s="230" t="str">
        <f ca="1">IF(A436&gt;TODAY(),"",IF(N('Daily Tracking'!H436)&gt;=Settings!$B$14,1,0))</f>
        <v/>
      </c>
      <c r="F436" s="230" t="str">
        <f ca="1">IF(A436&gt;TODAY(),"",IF(OR(N('Daily Tracking'!I436)&gt;0,'Daily Tracking'!J436="Yes"),1,0))</f>
        <v/>
      </c>
      <c r="G436" s="230" t="str">
        <f ca="1">IF(A436&gt;TODAY(),"",IF(N('Daily Tracking'!K436)&gt;=Settings!$B$15,1,0))</f>
        <v/>
      </c>
      <c r="H436" s="231" t="str">
        <f ca="1">IF(B436="","",AVERAGE(B436:G436))</f>
        <v/>
      </c>
      <c r="I436" s="136" t="str">
        <f ca="1">IF(B436="","",IF(B436=1,N(I435)+1,0))</f>
        <v/>
      </c>
    </row>
    <row r="437" spans="1:9" ht="18" customHeight="1" x14ac:dyDescent="0.3">
      <c r="A437" s="132">
        <f>'Daily Tracking'!A437</f>
        <v>46709</v>
      </c>
      <c r="B437" s="230" t="str">
        <f ca="1">IF(A437&gt;TODAY(),"",IF('Daily Tracking'!B437&lt;&gt;"",1,0))</f>
        <v/>
      </c>
      <c r="C437" s="230" t="str">
        <f ca="1">IF(A437&gt;TODAY(),"",IF('Daily Tracking'!E437&lt;&gt;"",1,0))</f>
        <v/>
      </c>
      <c r="D437" s="230" t="str">
        <f ca="1">IF(A437&gt;TODAY(),"",IF(N('Daily Tracking'!G437)&gt;=Settings!$B$13,1,0))</f>
        <v/>
      </c>
      <c r="E437" s="230" t="str">
        <f ca="1">IF(A437&gt;TODAY(),"",IF(N('Daily Tracking'!H437)&gt;=Settings!$B$14,1,0))</f>
        <v/>
      </c>
      <c r="F437" s="230" t="str">
        <f ca="1">IF(A437&gt;TODAY(),"",IF(OR(N('Daily Tracking'!I437)&gt;0,'Daily Tracking'!J437="Yes"),1,0))</f>
        <v/>
      </c>
      <c r="G437" s="230" t="str">
        <f ca="1">IF(A437&gt;TODAY(),"",IF(N('Daily Tracking'!K437)&gt;=Settings!$B$15,1,0))</f>
        <v/>
      </c>
      <c r="H437" s="231" t="str">
        <f ca="1">IF(B437="","",AVERAGE(B437:G437))</f>
        <v/>
      </c>
      <c r="I437" s="136" t="str">
        <f ca="1">IF(B437="","",IF(B437=1,N(I436)+1,0))</f>
        <v/>
      </c>
    </row>
    <row r="438" spans="1:9" ht="18" customHeight="1" x14ac:dyDescent="0.3">
      <c r="A438" s="132">
        <f>'Daily Tracking'!A438</f>
        <v>46710</v>
      </c>
      <c r="B438" s="230" t="str">
        <f ca="1">IF(A438&gt;TODAY(),"",IF('Daily Tracking'!B438&lt;&gt;"",1,0))</f>
        <v/>
      </c>
      <c r="C438" s="230" t="str">
        <f ca="1">IF(A438&gt;TODAY(),"",IF('Daily Tracking'!E438&lt;&gt;"",1,0))</f>
        <v/>
      </c>
      <c r="D438" s="230" t="str">
        <f ca="1">IF(A438&gt;TODAY(),"",IF(N('Daily Tracking'!G438)&gt;=Settings!$B$13,1,0))</f>
        <v/>
      </c>
      <c r="E438" s="230" t="str">
        <f ca="1">IF(A438&gt;TODAY(),"",IF(N('Daily Tracking'!H438)&gt;=Settings!$B$14,1,0))</f>
        <v/>
      </c>
      <c r="F438" s="230" t="str">
        <f ca="1">IF(A438&gt;TODAY(),"",IF(OR(N('Daily Tracking'!I438)&gt;0,'Daily Tracking'!J438="Yes"),1,0))</f>
        <v/>
      </c>
      <c r="G438" s="230" t="str">
        <f ca="1">IF(A438&gt;TODAY(),"",IF(N('Daily Tracking'!K438)&gt;=Settings!$B$15,1,0))</f>
        <v/>
      </c>
      <c r="H438" s="231" t="str">
        <f ca="1">IF(B438="","",AVERAGE(B438:G438))</f>
        <v/>
      </c>
      <c r="I438" s="136" t="str">
        <f ca="1">IF(B438="","",IF(B438=1,N(I437)+1,0))</f>
        <v/>
      </c>
    </row>
    <row r="439" spans="1:9" ht="18" customHeight="1" x14ac:dyDescent="0.3">
      <c r="A439" s="132">
        <f>'Daily Tracking'!A439</f>
        <v>46711</v>
      </c>
      <c r="B439" s="230" t="str">
        <f ca="1">IF(A439&gt;TODAY(),"",IF('Daily Tracking'!B439&lt;&gt;"",1,0))</f>
        <v/>
      </c>
      <c r="C439" s="230" t="str">
        <f ca="1">IF(A439&gt;TODAY(),"",IF('Daily Tracking'!E439&lt;&gt;"",1,0))</f>
        <v/>
      </c>
      <c r="D439" s="230" t="str">
        <f ca="1">IF(A439&gt;TODAY(),"",IF(N('Daily Tracking'!G439)&gt;=Settings!$B$13,1,0))</f>
        <v/>
      </c>
      <c r="E439" s="230" t="str">
        <f ca="1">IF(A439&gt;TODAY(),"",IF(N('Daily Tracking'!H439)&gt;=Settings!$B$14,1,0))</f>
        <v/>
      </c>
      <c r="F439" s="230" t="str">
        <f ca="1">IF(A439&gt;TODAY(),"",IF(OR(N('Daily Tracking'!I439)&gt;0,'Daily Tracking'!J439="Yes"),1,0))</f>
        <v/>
      </c>
      <c r="G439" s="230" t="str">
        <f ca="1">IF(A439&gt;TODAY(),"",IF(N('Daily Tracking'!K439)&gt;=Settings!$B$15,1,0))</f>
        <v/>
      </c>
      <c r="H439" s="231" t="str">
        <f ca="1">IF(B439="","",AVERAGE(B439:G439))</f>
        <v/>
      </c>
      <c r="I439" s="136" t="str">
        <f ca="1">IF(B439="","",IF(B439=1,N(I438)+1,0))</f>
        <v/>
      </c>
    </row>
    <row r="440" spans="1:9" ht="18" customHeight="1" x14ac:dyDescent="0.3">
      <c r="A440" s="132">
        <f>'Daily Tracking'!A440</f>
        <v>46712</v>
      </c>
      <c r="B440" s="230" t="str">
        <f ca="1">IF(A440&gt;TODAY(),"",IF('Daily Tracking'!B440&lt;&gt;"",1,0))</f>
        <v/>
      </c>
      <c r="C440" s="230" t="str">
        <f ca="1">IF(A440&gt;TODAY(),"",IF('Daily Tracking'!E440&lt;&gt;"",1,0))</f>
        <v/>
      </c>
      <c r="D440" s="230" t="str">
        <f ca="1">IF(A440&gt;TODAY(),"",IF(N('Daily Tracking'!G440)&gt;=Settings!$B$13,1,0))</f>
        <v/>
      </c>
      <c r="E440" s="230" t="str">
        <f ca="1">IF(A440&gt;TODAY(),"",IF(N('Daily Tracking'!H440)&gt;=Settings!$B$14,1,0))</f>
        <v/>
      </c>
      <c r="F440" s="230" t="str">
        <f ca="1">IF(A440&gt;TODAY(),"",IF(OR(N('Daily Tracking'!I440)&gt;0,'Daily Tracking'!J440="Yes"),1,0))</f>
        <v/>
      </c>
      <c r="G440" s="230" t="str">
        <f ca="1">IF(A440&gt;TODAY(),"",IF(N('Daily Tracking'!K440)&gt;=Settings!$B$15,1,0))</f>
        <v/>
      </c>
      <c r="H440" s="231" t="str">
        <f ca="1">IF(B440="","",AVERAGE(B440:G440))</f>
        <v/>
      </c>
      <c r="I440" s="136" t="str">
        <f ca="1">IF(B440="","",IF(B440=1,N(I439)+1,0))</f>
        <v/>
      </c>
    </row>
    <row r="441" spans="1:9" ht="18" customHeight="1" x14ac:dyDescent="0.3">
      <c r="A441" s="132">
        <f>'Daily Tracking'!A441</f>
        <v>46713</v>
      </c>
      <c r="B441" s="230" t="str">
        <f ca="1">IF(A441&gt;TODAY(),"",IF('Daily Tracking'!B441&lt;&gt;"",1,0))</f>
        <v/>
      </c>
      <c r="C441" s="230" t="str">
        <f ca="1">IF(A441&gt;TODAY(),"",IF('Daily Tracking'!E441&lt;&gt;"",1,0))</f>
        <v/>
      </c>
      <c r="D441" s="230" t="str">
        <f ca="1">IF(A441&gt;TODAY(),"",IF(N('Daily Tracking'!G441)&gt;=Settings!$B$13,1,0))</f>
        <v/>
      </c>
      <c r="E441" s="230" t="str">
        <f ca="1">IF(A441&gt;TODAY(),"",IF(N('Daily Tracking'!H441)&gt;=Settings!$B$14,1,0))</f>
        <v/>
      </c>
      <c r="F441" s="230" t="str">
        <f ca="1">IF(A441&gt;TODAY(),"",IF(OR(N('Daily Tracking'!I441)&gt;0,'Daily Tracking'!J441="Yes"),1,0))</f>
        <v/>
      </c>
      <c r="G441" s="230" t="str">
        <f ca="1">IF(A441&gt;TODAY(),"",IF(N('Daily Tracking'!K441)&gt;=Settings!$B$15,1,0))</f>
        <v/>
      </c>
      <c r="H441" s="231" t="str">
        <f ca="1">IF(B441="","",AVERAGE(B441:G441))</f>
        <v/>
      </c>
      <c r="I441" s="136" t="str">
        <f ca="1">IF(B441="","",IF(B441=1,N(I440)+1,0))</f>
        <v/>
      </c>
    </row>
    <row r="442" spans="1:9" ht="18" customHeight="1" x14ac:dyDescent="0.3">
      <c r="A442" s="132">
        <f>'Daily Tracking'!A442</f>
        <v>46714</v>
      </c>
      <c r="B442" s="230" t="str">
        <f ca="1">IF(A442&gt;TODAY(),"",IF('Daily Tracking'!B442&lt;&gt;"",1,0))</f>
        <v/>
      </c>
      <c r="C442" s="230" t="str">
        <f ca="1">IF(A442&gt;TODAY(),"",IF('Daily Tracking'!E442&lt;&gt;"",1,0))</f>
        <v/>
      </c>
      <c r="D442" s="230" t="str">
        <f ca="1">IF(A442&gt;TODAY(),"",IF(N('Daily Tracking'!G442)&gt;=Settings!$B$13,1,0))</f>
        <v/>
      </c>
      <c r="E442" s="230" t="str">
        <f ca="1">IF(A442&gt;TODAY(),"",IF(N('Daily Tracking'!H442)&gt;=Settings!$B$14,1,0))</f>
        <v/>
      </c>
      <c r="F442" s="230" t="str">
        <f ca="1">IF(A442&gt;TODAY(),"",IF(OR(N('Daily Tracking'!I442)&gt;0,'Daily Tracking'!J442="Yes"),1,0))</f>
        <v/>
      </c>
      <c r="G442" s="230" t="str">
        <f ca="1">IF(A442&gt;TODAY(),"",IF(N('Daily Tracking'!K442)&gt;=Settings!$B$15,1,0))</f>
        <v/>
      </c>
      <c r="H442" s="231" t="str">
        <f ca="1">IF(B442="","",AVERAGE(B442:G442))</f>
        <v/>
      </c>
      <c r="I442" s="136" t="str">
        <f ca="1">IF(B442="","",IF(B442=1,N(I441)+1,0))</f>
        <v/>
      </c>
    </row>
    <row r="443" spans="1:9" ht="18" customHeight="1" x14ac:dyDescent="0.3">
      <c r="A443" s="132">
        <f>'Daily Tracking'!A443</f>
        <v>46715</v>
      </c>
      <c r="B443" s="230" t="str">
        <f ca="1">IF(A443&gt;TODAY(),"",IF('Daily Tracking'!B443&lt;&gt;"",1,0))</f>
        <v/>
      </c>
      <c r="C443" s="230" t="str">
        <f ca="1">IF(A443&gt;TODAY(),"",IF('Daily Tracking'!E443&lt;&gt;"",1,0))</f>
        <v/>
      </c>
      <c r="D443" s="230" t="str">
        <f ca="1">IF(A443&gt;TODAY(),"",IF(N('Daily Tracking'!G443)&gt;=Settings!$B$13,1,0))</f>
        <v/>
      </c>
      <c r="E443" s="230" t="str">
        <f ca="1">IF(A443&gt;TODAY(),"",IF(N('Daily Tracking'!H443)&gt;=Settings!$B$14,1,0))</f>
        <v/>
      </c>
      <c r="F443" s="230" t="str">
        <f ca="1">IF(A443&gt;TODAY(),"",IF(OR(N('Daily Tracking'!I443)&gt;0,'Daily Tracking'!J443="Yes"),1,0))</f>
        <v/>
      </c>
      <c r="G443" s="230" t="str">
        <f ca="1">IF(A443&gt;TODAY(),"",IF(N('Daily Tracking'!K443)&gt;=Settings!$B$15,1,0))</f>
        <v/>
      </c>
      <c r="H443" s="231" t="str">
        <f ca="1">IF(B443="","",AVERAGE(B443:G443))</f>
        <v/>
      </c>
      <c r="I443" s="136" t="str">
        <f ca="1">IF(B443="","",IF(B443=1,N(I442)+1,0))</f>
        <v/>
      </c>
    </row>
    <row r="444" spans="1:9" ht="18" customHeight="1" x14ac:dyDescent="0.3">
      <c r="A444" s="132">
        <f>'Daily Tracking'!A444</f>
        <v>46716</v>
      </c>
      <c r="B444" s="230" t="str">
        <f ca="1">IF(A444&gt;TODAY(),"",IF('Daily Tracking'!B444&lt;&gt;"",1,0))</f>
        <v/>
      </c>
      <c r="C444" s="230" t="str">
        <f ca="1">IF(A444&gt;TODAY(),"",IF('Daily Tracking'!E444&lt;&gt;"",1,0))</f>
        <v/>
      </c>
      <c r="D444" s="230" t="str">
        <f ca="1">IF(A444&gt;TODAY(),"",IF(N('Daily Tracking'!G444)&gt;=Settings!$B$13,1,0))</f>
        <v/>
      </c>
      <c r="E444" s="230" t="str">
        <f ca="1">IF(A444&gt;TODAY(),"",IF(N('Daily Tracking'!H444)&gt;=Settings!$B$14,1,0))</f>
        <v/>
      </c>
      <c r="F444" s="230" t="str">
        <f ca="1">IF(A444&gt;TODAY(),"",IF(OR(N('Daily Tracking'!I444)&gt;0,'Daily Tracking'!J444="Yes"),1,0))</f>
        <v/>
      </c>
      <c r="G444" s="230" t="str">
        <f ca="1">IF(A444&gt;TODAY(),"",IF(N('Daily Tracking'!K444)&gt;=Settings!$B$15,1,0))</f>
        <v/>
      </c>
      <c r="H444" s="231" t="str">
        <f ca="1">IF(B444="","",AVERAGE(B444:G444))</f>
        <v/>
      </c>
      <c r="I444" s="136" t="str">
        <f ca="1">IF(B444="","",IF(B444=1,N(I443)+1,0))</f>
        <v/>
      </c>
    </row>
    <row r="445" spans="1:9" ht="18" customHeight="1" x14ac:dyDescent="0.3">
      <c r="A445" s="132">
        <f>'Daily Tracking'!A445</f>
        <v>46717</v>
      </c>
      <c r="B445" s="230" t="str">
        <f ca="1">IF(A445&gt;TODAY(),"",IF('Daily Tracking'!B445&lt;&gt;"",1,0))</f>
        <v/>
      </c>
      <c r="C445" s="230" t="str">
        <f ca="1">IF(A445&gt;TODAY(),"",IF('Daily Tracking'!E445&lt;&gt;"",1,0))</f>
        <v/>
      </c>
      <c r="D445" s="230" t="str">
        <f ca="1">IF(A445&gt;TODAY(),"",IF(N('Daily Tracking'!G445)&gt;=Settings!$B$13,1,0))</f>
        <v/>
      </c>
      <c r="E445" s="230" t="str">
        <f ca="1">IF(A445&gt;TODAY(),"",IF(N('Daily Tracking'!H445)&gt;=Settings!$B$14,1,0))</f>
        <v/>
      </c>
      <c r="F445" s="230" t="str">
        <f ca="1">IF(A445&gt;TODAY(),"",IF(OR(N('Daily Tracking'!I445)&gt;0,'Daily Tracking'!J445="Yes"),1,0))</f>
        <v/>
      </c>
      <c r="G445" s="230" t="str">
        <f ca="1">IF(A445&gt;TODAY(),"",IF(N('Daily Tracking'!K445)&gt;=Settings!$B$15,1,0))</f>
        <v/>
      </c>
      <c r="H445" s="231" t="str">
        <f ca="1">IF(B445="","",AVERAGE(B445:G445))</f>
        <v/>
      </c>
      <c r="I445" s="136" t="str">
        <f ca="1">IF(B445="","",IF(B445=1,N(I444)+1,0))</f>
        <v/>
      </c>
    </row>
    <row r="446" spans="1:9" ht="18" customHeight="1" x14ac:dyDescent="0.3">
      <c r="A446" s="132">
        <f>'Daily Tracking'!A446</f>
        <v>46718</v>
      </c>
      <c r="B446" s="230" t="str">
        <f ca="1">IF(A446&gt;TODAY(),"",IF('Daily Tracking'!B446&lt;&gt;"",1,0))</f>
        <v/>
      </c>
      <c r="C446" s="230" t="str">
        <f ca="1">IF(A446&gt;TODAY(),"",IF('Daily Tracking'!E446&lt;&gt;"",1,0))</f>
        <v/>
      </c>
      <c r="D446" s="230" t="str">
        <f ca="1">IF(A446&gt;TODAY(),"",IF(N('Daily Tracking'!G446)&gt;=Settings!$B$13,1,0))</f>
        <v/>
      </c>
      <c r="E446" s="230" t="str">
        <f ca="1">IF(A446&gt;TODAY(),"",IF(N('Daily Tracking'!H446)&gt;=Settings!$B$14,1,0))</f>
        <v/>
      </c>
      <c r="F446" s="230" t="str">
        <f ca="1">IF(A446&gt;TODAY(),"",IF(OR(N('Daily Tracking'!I446)&gt;0,'Daily Tracking'!J446="Yes"),1,0))</f>
        <v/>
      </c>
      <c r="G446" s="230" t="str">
        <f ca="1">IF(A446&gt;TODAY(),"",IF(N('Daily Tracking'!K446)&gt;=Settings!$B$15,1,0))</f>
        <v/>
      </c>
      <c r="H446" s="231" t="str">
        <f ca="1">IF(B446="","",AVERAGE(B446:G446))</f>
        <v/>
      </c>
      <c r="I446" s="136" t="str">
        <f ca="1">IF(B446="","",IF(B446=1,N(I445)+1,0))</f>
        <v/>
      </c>
    </row>
    <row r="447" spans="1:9" ht="18" customHeight="1" x14ac:dyDescent="0.3">
      <c r="A447" s="132">
        <f>'Daily Tracking'!A447</f>
        <v>46719</v>
      </c>
      <c r="B447" s="230" t="str">
        <f ca="1">IF(A447&gt;TODAY(),"",IF('Daily Tracking'!B447&lt;&gt;"",1,0))</f>
        <v/>
      </c>
      <c r="C447" s="230" t="str">
        <f ca="1">IF(A447&gt;TODAY(),"",IF('Daily Tracking'!E447&lt;&gt;"",1,0))</f>
        <v/>
      </c>
      <c r="D447" s="230" t="str">
        <f ca="1">IF(A447&gt;TODAY(),"",IF(N('Daily Tracking'!G447)&gt;=Settings!$B$13,1,0))</f>
        <v/>
      </c>
      <c r="E447" s="230" t="str">
        <f ca="1">IF(A447&gt;TODAY(),"",IF(N('Daily Tracking'!H447)&gt;=Settings!$B$14,1,0))</f>
        <v/>
      </c>
      <c r="F447" s="230" t="str">
        <f ca="1">IF(A447&gt;TODAY(),"",IF(OR(N('Daily Tracking'!I447)&gt;0,'Daily Tracking'!J447="Yes"),1,0))</f>
        <v/>
      </c>
      <c r="G447" s="230" t="str">
        <f ca="1">IF(A447&gt;TODAY(),"",IF(N('Daily Tracking'!K447)&gt;=Settings!$B$15,1,0))</f>
        <v/>
      </c>
      <c r="H447" s="231" t="str">
        <f ca="1">IF(B447="","",AVERAGE(B447:G447))</f>
        <v/>
      </c>
      <c r="I447" s="136" t="str">
        <f ca="1">IF(B447="","",IF(B447=1,N(I446)+1,0))</f>
        <v/>
      </c>
    </row>
    <row r="448" spans="1:9" ht="18" customHeight="1" x14ac:dyDescent="0.3">
      <c r="A448" s="132">
        <f>'Daily Tracking'!A448</f>
        <v>46720</v>
      </c>
      <c r="B448" s="230" t="str">
        <f ca="1">IF(A448&gt;TODAY(),"",IF('Daily Tracking'!B448&lt;&gt;"",1,0))</f>
        <v/>
      </c>
      <c r="C448" s="230" t="str">
        <f ca="1">IF(A448&gt;TODAY(),"",IF('Daily Tracking'!E448&lt;&gt;"",1,0))</f>
        <v/>
      </c>
      <c r="D448" s="230" t="str">
        <f ca="1">IF(A448&gt;TODAY(),"",IF(N('Daily Tracking'!G448)&gt;=Settings!$B$13,1,0))</f>
        <v/>
      </c>
      <c r="E448" s="230" t="str">
        <f ca="1">IF(A448&gt;TODAY(),"",IF(N('Daily Tracking'!H448)&gt;=Settings!$B$14,1,0))</f>
        <v/>
      </c>
      <c r="F448" s="230" t="str">
        <f ca="1">IF(A448&gt;TODAY(),"",IF(OR(N('Daily Tracking'!I448)&gt;0,'Daily Tracking'!J448="Yes"),1,0))</f>
        <v/>
      </c>
      <c r="G448" s="230" t="str">
        <f ca="1">IF(A448&gt;TODAY(),"",IF(N('Daily Tracking'!K448)&gt;=Settings!$B$15,1,0))</f>
        <v/>
      </c>
      <c r="H448" s="231" t="str">
        <f ca="1">IF(B448="","",AVERAGE(B448:G448))</f>
        <v/>
      </c>
      <c r="I448" s="136" t="str">
        <f ca="1">IF(B448="","",IF(B448=1,N(I447)+1,0))</f>
        <v/>
      </c>
    </row>
    <row r="449" spans="1:9" ht="18" customHeight="1" x14ac:dyDescent="0.3">
      <c r="A449" s="132">
        <f>'Daily Tracking'!A449</f>
        <v>46721</v>
      </c>
      <c r="B449" s="230" t="str">
        <f ca="1">IF(A449&gt;TODAY(),"",IF('Daily Tracking'!B449&lt;&gt;"",1,0))</f>
        <v/>
      </c>
      <c r="C449" s="230" t="str">
        <f ca="1">IF(A449&gt;TODAY(),"",IF('Daily Tracking'!E449&lt;&gt;"",1,0))</f>
        <v/>
      </c>
      <c r="D449" s="230" t="str">
        <f ca="1">IF(A449&gt;TODAY(),"",IF(N('Daily Tracking'!G449)&gt;=Settings!$B$13,1,0))</f>
        <v/>
      </c>
      <c r="E449" s="230" t="str">
        <f ca="1">IF(A449&gt;TODAY(),"",IF(N('Daily Tracking'!H449)&gt;=Settings!$B$14,1,0))</f>
        <v/>
      </c>
      <c r="F449" s="230" t="str">
        <f ca="1">IF(A449&gt;TODAY(),"",IF(OR(N('Daily Tracking'!I449)&gt;0,'Daily Tracking'!J449="Yes"),1,0))</f>
        <v/>
      </c>
      <c r="G449" s="230" t="str">
        <f ca="1">IF(A449&gt;TODAY(),"",IF(N('Daily Tracking'!K449)&gt;=Settings!$B$15,1,0))</f>
        <v/>
      </c>
      <c r="H449" s="231" t="str">
        <f ca="1">IF(B449="","",AVERAGE(B449:G449))</f>
        <v/>
      </c>
      <c r="I449" s="136" t="str">
        <f ca="1">IF(B449="","",IF(B449=1,N(I448)+1,0))</f>
        <v/>
      </c>
    </row>
    <row r="450" spans="1:9" ht="18" customHeight="1" x14ac:dyDescent="0.3">
      <c r="A450" s="132">
        <f>'Daily Tracking'!A450</f>
        <v>46722</v>
      </c>
      <c r="B450" s="230" t="str">
        <f ca="1">IF(A450&gt;TODAY(),"",IF('Daily Tracking'!B450&lt;&gt;"",1,0))</f>
        <v/>
      </c>
      <c r="C450" s="230" t="str">
        <f ca="1">IF(A450&gt;TODAY(),"",IF('Daily Tracking'!E450&lt;&gt;"",1,0))</f>
        <v/>
      </c>
      <c r="D450" s="230" t="str">
        <f ca="1">IF(A450&gt;TODAY(),"",IF(N('Daily Tracking'!G450)&gt;=Settings!$B$13,1,0))</f>
        <v/>
      </c>
      <c r="E450" s="230" t="str">
        <f ca="1">IF(A450&gt;TODAY(),"",IF(N('Daily Tracking'!H450)&gt;=Settings!$B$14,1,0))</f>
        <v/>
      </c>
      <c r="F450" s="230" t="str">
        <f ca="1">IF(A450&gt;TODAY(),"",IF(OR(N('Daily Tracking'!I450)&gt;0,'Daily Tracking'!J450="Yes"),1,0))</f>
        <v/>
      </c>
      <c r="G450" s="230" t="str">
        <f ca="1">IF(A450&gt;TODAY(),"",IF(N('Daily Tracking'!K450)&gt;=Settings!$B$15,1,0))</f>
        <v/>
      </c>
      <c r="H450" s="231" t="str">
        <f ca="1">IF(B450="","",AVERAGE(B450:G450))</f>
        <v/>
      </c>
      <c r="I450" s="136" t="str">
        <f ca="1">IF(B450="","",IF(B450=1,N(I449)+1,0))</f>
        <v/>
      </c>
    </row>
    <row r="451" spans="1:9" ht="18" customHeight="1" x14ac:dyDescent="0.3">
      <c r="A451" s="132">
        <f>'Daily Tracking'!A451</f>
        <v>46723</v>
      </c>
      <c r="B451" s="230" t="str">
        <f ca="1">IF(A451&gt;TODAY(),"",IF('Daily Tracking'!B451&lt;&gt;"",1,0))</f>
        <v/>
      </c>
      <c r="C451" s="230" t="str">
        <f ca="1">IF(A451&gt;TODAY(),"",IF('Daily Tracking'!E451&lt;&gt;"",1,0))</f>
        <v/>
      </c>
      <c r="D451" s="230" t="str">
        <f ca="1">IF(A451&gt;TODAY(),"",IF(N('Daily Tracking'!G451)&gt;=Settings!$B$13,1,0))</f>
        <v/>
      </c>
      <c r="E451" s="230" t="str">
        <f ca="1">IF(A451&gt;TODAY(),"",IF(N('Daily Tracking'!H451)&gt;=Settings!$B$14,1,0))</f>
        <v/>
      </c>
      <c r="F451" s="230" t="str">
        <f ca="1">IF(A451&gt;TODAY(),"",IF(OR(N('Daily Tracking'!I451)&gt;0,'Daily Tracking'!J451="Yes"),1,0))</f>
        <v/>
      </c>
      <c r="G451" s="230" t="str">
        <f ca="1">IF(A451&gt;TODAY(),"",IF(N('Daily Tracking'!K451)&gt;=Settings!$B$15,1,0))</f>
        <v/>
      </c>
      <c r="H451" s="231" t="str">
        <f ca="1">IF(B451="","",AVERAGE(B451:G451))</f>
        <v/>
      </c>
      <c r="I451" s="136" t="str">
        <f ca="1">IF(B451="","",IF(B451=1,N(I450)+1,0))</f>
        <v/>
      </c>
    </row>
    <row r="452" spans="1:9" ht="18" customHeight="1" x14ac:dyDescent="0.3">
      <c r="A452" s="132">
        <f>'Daily Tracking'!A452</f>
        <v>46724</v>
      </c>
      <c r="B452" s="230" t="str">
        <f ca="1">IF(A452&gt;TODAY(),"",IF('Daily Tracking'!B452&lt;&gt;"",1,0))</f>
        <v/>
      </c>
      <c r="C452" s="230" t="str">
        <f ca="1">IF(A452&gt;TODAY(),"",IF('Daily Tracking'!E452&lt;&gt;"",1,0))</f>
        <v/>
      </c>
      <c r="D452" s="230" t="str">
        <f ca="1">IF(A452&gt;TODAY(),"",IF(N('Daily Tracking'!G452)&gt;=Settings!$B$13,1,0))</f>
        <v/>
      </c>
      <c r="E452" s="230" t="str">
        <f ca="1">IF(A452&gt;TODAY(),"",IF(N('Daily Tracking'!H452)&gt;=Settings!$B$14,1,0))</f>
        <v/>
      </c>
      <c r="F452" s="230" t="str">
        <f ca="1">IF(A452&gt;TODAY(),"",IF(OR(N('Daily Tracking'!I452)&gt;0,'Daily Tracking'!J452="Yes"),1,0))</f>
        <v/>
      </c>
      <c r="G452" s="230" t="str">
        <f ca="1">IF(A452&gt;TODAY(),"",IF(N('Daily Tracking'!K452)&gt;=Settings!$B$15,1,0))</f>
        <v/>
      </c>
      <c r="H452" s="231" t="str">
        <f ca="1">IF(B452="","",AVERAGE(B452:G452))</f>
        <v/>
      </c>
      <c r="I452" s="136" t="str">
        <f ca="1">IF(B452="","",IF(B452=1,N(I451)+1,0))</f>
        <v/>
      </c>
    </row>
    <row r="453" spans="1:9" ht="18" customHeight="1" x14ac:dyDescent="0.3">
      <c r="A453" s="132">
        <f>'Daily Tracking'!A453</f>
        <v>46725</v>
      </c>
      <c r="B453" s="230" t="str">
        <f ca="1">IF(A453&gt;TODAY(),"",IF('Daily Tracking'!B453&lt;&gt;"",1,0))</f>
        <v/>
      </c>
      <c r="C453" s="230" t="str">
        <f ca="1">IF(A453&gt;TODAY(),"",IF('Daily Tracking'!E453&lt;&gt;"",1,0))</f>
        <v/>
      </c>
      <c r="D453" s="230" t="str">
        <f ca="1">IF(A453&gt;TODAY(),"",IF(N('Daily Tracking'!G453)&gt;=Settings!$B$13,1,0))</f>
        <v/>
      </c>
      <c r="E453" s="230" t="str">
        <f ca="1">IF(A453&gt;TODAY(),"",IF(N('Daily Tracking'!H453)&gt;=Settings!$B$14,1,0))</f>
        <v/>
      </c>
      <c r="F453" s="230" t="str">
        <f ca="1">IF(A453&gt;TODAY(),"",IF(OR(N('Daily Tracking'!I453)&gt;0,'Daily Tracking'!J453="Yes"),1,0))</f>
        <v/>
      </c>
      <c r="G453" s="230" t="str">
        <f ca="1">IF(A453&gt;TODAY(),"",IF(N('Daily Tracking'!K453)&gt;=Settings!$B$15,1,0))</f>
        <v/>
      </c>
      <c r="H453" s="231" t="str">
        <f ca="1">IF(B453="","",AVERAGE(B453:G453))</f>
        <v/>
      </c>
      <c r="I453" s="136" t="str">
        <f ca="1">IF(B453="","",IF(B453=1,N(I452)+1,0))</f>
        <v/>
      </c>
    </row>
    <row r="454" spans="1:9" ht="18" customHeight="1" x14ac:dyDescent="0.3">
      <c r="A454" s="132">
        <f>'Daily Tracking'!A454</f>
        <v>46726</v>
      </c>
      <c r="B454" s="230" t="str">
        <f ca="1">IF(A454&gt;TODAY(),"",IF('Daily Tracking'!B454&lt;&gt;"",1,0))</f>
        <v/>
      </c>
      <c r="C454" s="230" t="str">
        <f ca="1">IF(A454&gt;TODAY(),"",IF('Daily Tracking'!E454&lt;&gt;"",1,0))</f>
        <v/>
      </c>
      <c r="D454" s="230" t="str">
        <f ca="1">IF(A454&gt;TODAY(),"",IF(N('Daily Tracking'!G454)&gt;=Settings!$B$13,1,0))</f>
        <v/>
      </c>
      <c r="E454" s="230" t="str">
        <f ca="1">IF(A454&gt;TODAY(),"",IF(N('Daily Tracking'!H454)&gt;=Settings!$B$14,1,0))</f>
        <v/>
      </c>
      <c r="F454" s="230" t="str">
        <f ca="1">IF(A454&gt;TODAY(),"",IF(OR(N('Daily Tracking'!I454)&gt;0,'Daily Tracking'!J454="Yes"),1,0))</f>
        <v/>
      </c>
      <c r="G454" s="230" t="str">
        <f ca="1">IF(A454&gt;TODAY(),"",IF(N('Daily Tracking'!K454)&gt;=Settings!$B$15,1,0))</f>
        <v/>
      </c>
      <c r="H454" s="231" t="str">
        <f ca="1">IF(B454="","",AVERAGE(B454:G454))</f>
        <v/>
      </c>
      <c r="I454" s="136" t="str">
        <f ca="1">IF(B454="","",IF(B454=1,N(I453)+1,0))</f>
        <v/>
      </c>
    </row>
    <row r="455" spans="1:9" ht="18" customHeight="1" x14ac:dyDescent="0.3">
      <c r="A455" s="132">
        <f>'Daily Tracking'!A455</f>
        <v>46727</v>
      </c>
      <c r="B455" s="230" t="str">
        <f ca="1">IF(A455&gt;TODAY(),"",IF('Daily Tracking'!B455&lt;&gt;"",1,0))</f>
        <v/>
      </c>
      <c r="C455" s="230" t="str">
        <f ca="1">IF(A455&gt;TODAY(),"",IF('Daily Tracking'!E455&lt;&gt;"",1,0))</f>
        <v/>
      </c>
      <c r="D455" s="230" t="str">
        <f ca="1">IF(A455&gt;TODAY(),"",IF(N('Daily Tracking'!G455)&gt;=Settings!$B$13,1,0))</f>
        <v/>
      </c>
      <c r="E455" s="230" t="str">
        <f ca="1">IF(A455&gt;TODAY(),"",IF(N('Daily Tracking'!H455)&gt;=Settings!$B$14,1,0))</f>
        <v/>
      </c>
      <c r="F455" s="230" t="str">
        <f ca="1">IF(A455&gt;TODAY(),"",IF(OR(N('Daily Tracking'!I455)&gt;0,'Daily Tracking'!J455="Yes"),1,0))</f>
        <v/>
      </c>
      <c r="G455" s="230" t="str">
        <f ca="1">IF(A455&gt;TODAY(),"",IF(N('Daily Tracking'!K455)&gt;=Settings!$B$15,1,0))</f>
        <v/>
      </c>
      <c r="H455" s="231" t="str">
        <f ca="1">IF(B455="","",AVERAGE(B455:G455))</f>
        <v/>
      </c>
      <c r="I455" s="136" t="str">
        <f ca="1">IF(B455="","",IF(B455=1,N(I454)+1,0))</f>
        <v/>
      </c>
    </row>
    <row r="456" spans="1:9" ht="18" customHeight="1" x14ac:dyDescent="0.3">
      <c r="A456" s="132">
        <f>'Daily Tracking'!A456</f>
        <v>46728</v>
      </c>
      <c r="B456" s="230" t="str">
        <f ca="1">IF(A456&gt;TODAY(),"",IF('Daily Tracking'!B456&lt;&gt;"",1,0))</f>
        <v/>
      </c>
      <c r="C456" s="230" t="str">
        <f ca="1">IF(A456&gt;TODAY(),"",IF('Daily Tracking'!E456&lt;&gt;"",1,0))</f>
        <v/>
      </c>
      <c r="D456" s="230" t="str">
        <f ca="1">IF(A456&gt;TODAY(),"",IF(N('Daily Tracking'!G456)&gt;=Settings!$B$13,1,0))</f>
        <v/>
      </c>
      <c r="E456" s="230" t="str">
        <f ca="1">IF(A456&gt;TODAY(),"",IF(N('Daily Tracking'!H456)&gt;=Settings!$B$14,1,0))</f>
        <v/>
      </c>
      <c r="F456" s="230" t="str">
        <f ca="1">IF(A456&gt;TODAY(),"",IF(OR(N('Daily Tracking'!I456)&gt;0,'Daily Tracking'!J456="Yes"),1,0))</f>
        <v/>
      </c>
      <c r="G456" s="230" t="str">
        <f ca="1">IF(A456&gt;TODAY(),"",IF(N('Daily Tracking'!K456)&gt;=Settings!$B$15,1,0))</f>
        <v/>
      </c>
      <c r="H456" s="231" t="str">
        <f ca="1">IF(B456="","",AVERAGE(B456:G456))</f>
        <v/>
      </c>
      <c r="I456" s="136" t="str">
        <f ca="1">IF(B456="","",IF(B456=1,N(I455)+1,0))</f>
        <v/>
      </c>
    </row>
    <row r="457" spans="1:9" ht="18" customHeight="1" x14ac:dyDescent="0.3">
      <c r="A457" s="132">
        <f>'Daily Tracking'!A457</f>
        <v>46729</v>
      </c>
      <c r="B457" s="230" t="str">
        <f ca="1">IF(A457&gt;TODAY(),"",IF('Daily Tracking'!B457&lt;&gt;"",1,0))</f>
        <v/>
      </c>
      <c r="C457" s="230" t="str">
        <f ca="1">IF(A457&gt;TODAY(),"",IF('Daily Tracking'!E457&lt;&gt;"",1,0))</f>
        <v/>
      </c>
      <c r="D457" s="230" t="str">
        <f ca="1">IF(A457&gt;TODAY(),"",IF(N('Daily Tracking'!G457)&gt;=Settings!$B$13,1,0))</f>
        <v/>
      </c>
      <c r="E457" s="230" t="str">
        <f ca="1">IF(A457&gt;TODAY(),"",IF(N('Daily Tracking'!H457)&gt;=Settings!$B$14,1,0))</f>
        <v/>
      </c>
      <c r="F457" s="230" t="str">
        <f ca="1">IF(A457&gt;TODAY(),"",IF(OR(N('Daily Tracking'!I457)&gt;0,'Daily Tracking'!J457="Yes"),1,0))</f>
        <v/>
      </c>
      <c r="G457" s="230" t="str">
        <f ca="1">IF(A457&gt;TODAY(),"",IF(N('Daily Tracking'!K457)&gt;=Settings!$B$15,1,0))</f>
        <v/>
      </c>
      <c r="H457" s="231" t="str">
        <f ca="1">IF(B457="","",AVERAGE(B457:G457))</f>
        <v/>
      </c>
      <c r="I457" s="136" t="str">
        <f ca="1">IF(B457="","",IF(B457=1,N(I456)+1,0))</f>
        <v/>
      </c>
    </row>
    <row r="458" spans="1:9" ht="18" customHeight="1" x14ac:dyDescent="0.3">
      <c r="A458" s="132">
        <f>'Daily Tracking'!A458</f>
        <v>46730</v>
      </c>
      <c r="B458" s="230" t="str">
        <f ca="1">IF(A458&gt;TODAY(),"",IF('Daily Tracking'!B458&lt;&gt;"",1,0))</f>
        <v/>
      </c>
      <c r="C458" s="230" t="str">
        <f ca="1">IF(A458&gt;TODAY(),"",IF('Daily Tracking'!E458&lt;&gt;"",1,0))</f>
        <v/>
      </c>
      <c r="D458" s="230" t="str">
        <f ca="1">IF(A458&gt;TODAY(),"",IF(N('Daily Tracking'!G458)&gt;=Settings!$B$13,1,0))</f>
        <v/>
      </c>
      <c r="E458" s="230" t="str">
        <f ca="1">IF(A458&gt;TODAY(),"",IF(N('Daily Tracking'!H458)&gt;=Settings!$B$14,1,0))</f>
        <v/>
      </c>
      <c r="F458" s="230" t="str">
        <f ca="1">IF(A458&gt;TODAY(),"",IF(OR(N('Daily Tracking'!I458)&gt;0,'Daily Tracking'!J458="Yes"),1,0))</f>
        <v/>
      </c>
      <c r="G458" s="230" t="str">
        <f ca="1">IF(A458&gt;TODAY(),"",IF(N('Daily Tracking'!K458)&gt;=Settings!$B$15,1,0))</f>
        <v/>
      </c>
      <c r="H458" s="231" t="str">
        <f ca="1">IF(B458="","",AVERAGE(B458:G458))</f>
        <v/>
      </c>
      <c r="I458" s="136" t="str">
        <f ca="1">IF(B458="","",IF(B458=1,N(I457)+1,0))</f>
        <v/>
      </c>
    </row>
    <row r="459" spans="1:9" ht="18" customHeight="1" x14ac:dyDescent="0.3">
      <c r="A459" s="132">
        <f>'Daily Tracking'!A459</f>
        <v>46731</v>
      </c>
      <c r="B459" s="230" t="str">
        <f ca="1">IF(A459&gt;TODAY(),"",IF('Daily Tracking'!B459&lt;&gt;"",1,0))</f>
        <v/>
      </c>
      <c r="C459" s="230" t="str">
        <f ca="1">IF(A459&gt;TODAY(),"",IF('Daily Tracking'!E459&lt;&gt;"",1,0))</f>
        <v/>
      </c>
      <c r="D459" s="230" t="str">
        <f ca="1">IF(A459&gt;TODAY(),"",IF(N('Daily Tracking'!G459)&gt;=Settings!$B$13,1,0))</f>
        <v/>
      </c>
      <c r="E459" s="230" t="str">
        <f ca="1">IF(A459&gt;TODAY(),"",IF(N('Daily Tracking'!H459)&gt;=Settings!$B$14,1,0))</f>
        <v/>
      </c>
      <c r="F459" s="230" t="str">
        <f ca="1">IF(A459&gt;TODAY(),"",IF(OR(N('Daily Tracking'!I459)&gt;0,'Daily Tracking'!J459="Yes"),1,0))</f>
        <v/>
      </c>
      <c r="G459" s="230" t="str">
        <f ca="1">IF(A459&gt;TODAY(),"",IF(N('Daily Tracking'!K459)&gt;=Settings!$B$15,1,0))</f>
        <v/>
      </c>
      <c r="H459" s="231" t="str">
        <f ca="1">IF(B459="","",AVERAGE(B459:G459))</f>
        <v/>
      </c>
      <c r="I459" s="136" t="str">
        <f ca="1">IF(B459="","",IF(B459=1,N(I458)+1,0))</f>
        <v/>
      </c>
    </row>
    <row r="460" spans="1:9" ht="18" customHeight="1" x14ac:dyDescent="0.3">
      <c r="A460" s="132">
        <f>'Daily Tracking'!A460</f>
        <v>46732</v>
      </c>
      <c r="B460" s="230" t="str">
        <f ca="1">IF(A460&gt;TODAY(),"",IF('Daily Tracking'!B460&lt;&gt;"",1,0))</f>
        <v/>
      </c>
      <c r="C460" s="230" t="str">
        <f ca="1">IF(A460&gt;TODAY(),"",IF('Daily Tracking'!E460&lt;&gt;"",1,0))</f>
        <v/>
      </c>
      <c r="D460" s="230" t="str">
        <f ca="1">IF(A460&gt;TODAY(),"",IF(N('Daily Tracking'!G460)&gt;=Settings!$B$13,1,0))</f>
        <v/>
      </c>
      <c r="E460" s="230" t="str">
        <f ca="1">IF(A460&gt;TODAY(),"",IF(N('Daily Tracking'!H460)&gt;=Settings!$B$14,1,0))</f>
        <v/>
      </c>
      <c r="F460" s="230" t="str">
        <f ca="1">IF(A460&gt;TODAY(),"",IF(OR(N('Daily Tracking'!I460)&gt;0,'Daily Tracking'!J460="Yes"),1,0))</f>
        <v/>
      </c>
      <c r="G460" s="230" t="str">
        <f ca="1">IF(A460&gt;TODAY(),"",IF(N('Daily Tracking'!K460)&gt;=Settings!$B$15,1,0))</f>
        <v/>
      </c>
      <c r="H460" s="231" t="str">
        <f ca="1">IF(B460="","",AVERAGE(B460:G460))</f>
        <v/>
      </c>
      <c r="I460" s="136" t="str">
        <f ca="1">IF(B460="","",IF(B460=1,N(I459)+1,0))</f>
        <v/>
      </c>
    </row>
    <row r="461" spans="1:9" ht="18" customHeight="1" x14ac:dyDescent="0.3">
      <c r="A461" s="132">
        <f>'Daily Tracking'!A461</f>
        <v>46733</v>
      </c>
      <c r="B461" s="230" t="str">
        <f ca="1">IF(A461&gt;TODAY(),"",IF('Daily Tracking'!B461&lt;&gt;"",1,0))</f>
        <v/>
      </c>
      <c r="C461" s="230" t="str">
        <f ca="1">IF(A461&gt;TODAY(),"",IF('Daily Tracking'!E461&lt;&gt;"",1,0))</f>
        <v/>
      </c>
      <c r="D461" s="230" t="str">
        <f ca="1">IF(A461&gt;TODAY(),"",IF(N('Daily Tracking'!G461)&gt;=Settings!$B$13,1,0))</f>
        <v/>
      </c>
      <c r="E461" s="230" t="str">
        <f ca="1">IF(A461&gt;TODAY(),"",IF(N('Daily Tracking'!H461)&gt;=Settings!$B$14,1,0))</f>
        <v/>
      </c>
      <c r="F461" s="230" t="str">
        <f ca="1">IF(A461&gt;TODAY(),"",IF(OR(N('Daily Tracking'!I461)&gt;0,'Daily Tracking'!J461="Yes"),1,0))</f>
        <v/>
      </c>
      <c r="G461" s="230" t="str">
        <f ca="1">IF(A461&gt;TODAY(),"",IF(N('Daily Tracking'!K461)&gt;=Settings!$B$15,1,0))</f>
        <v/>
      </c>
      <c r="H461" s="231" t="str">
        <f ca="1">IF(B461="","",AVERAGE(B461:G461))</f>
        <v/>
      </c>
      <c r="I461" s="136" t="str">
        <f ca="1">IF(B461="","",IF(B461=1,N(I460)+1,0))</f>
        <v/>
      </c>
    </row>
    <row r="462" spans="1:9" ht="18" customHeight="1" x14ac:dyDescent="0.3">
      <c r="A462" s="132">
        <f>'Daily Tracking'!A462</f>
        <v>46734</v>
      </c>
      <c r="B462" s="230" t="str">
        <f ca="1">IF(A462&gt;TODAY(),"",IF('Daily Tracking'!B462&lt;&gt;"",1,0))</f>
        <v/>
      </c>
      <c r="C462" s="230" t="str">
        <f ca="1">IF(A462&gt;TODAY(),"",IF('Daily Tracking'!E462&lt;&gt;"",1,0))</f>
        <v/>
      </c>
      <c r="D462" s="230" t="str">
        <f ca="1">IF(A462&gt;TODAY(),"",IF(N('Daily Tracking'!G462)&gt;=Settings!$B$13,1,0))</f>
        <v/>
      </c>
      <c r="E462" s="230" t="str">
        <f ca="1">IF(A462&gt;TODAY(),"",IF(N('Daily Tracking'!H462)&gt;=Settings!$B$14,1,0))</f>
        <v/>
      </c>
      <c r="F462" s="230" t="str">
        <f ca="1">IF(A462&gt;TODAY(),"",IF(OR(N('Daily Tracking'!I462)&gt;0,'Daily Tracking'!J462="Yes"),1,0))</f>
        <v/>
      </c>
      <c r="G462" s="230" t="str">
        <f ca="1">IF(A462&gt;TODAY(),"",IF(N('Daily Tracking'!K462)&gt;=Settings!$B$15,1,0))</f>
        <v/>
      </c>
      <c r="H462" s="231" t="str">
        <f ca="1">IF(B462="","",AVERAGE(B462:G462))</f>
        <v/>
      </c>
      <c r="I462" s="136" t="str">
        <f ca="1">IF(B462="","",IF(B462=1,N(I461)+1,0))</f>
        <v/>
      </c>
    </row>
    <row r="463" spans="1:9" ht="18" customHeight="1" x14ac:dyDescent="0.3">
      <c r="A463" s="132">
        <f>'Daily Tracking'!A463</f>
        <v>46735</v>
      </c>
      <c r="B463" s="230" t="str">
        <f ca="1">IF(A463&gt;TODAY(),"",IF('Daily Tracking'!B463&lt;&gt;"",1,0))</f>
        <v/>
      </c>
      <c r="C463" s="230" t="str">
        <f ca="1">IF(A463&gt;TODAY(),"",IF('Daily Tracking'!E463&lt;&gt;"",1,0))</f>
        <v/>
      </c>
      <c r="D463" s="230" t="str">
        <f ca="1">IF(A463&gt;TODAY(),"",IF(N('Daily Tracking'!G463)&gt;=Settings!$B$13,1,0))</f>
        <v/>
      </c>
      <c r="E463" s="230" t="str">
        <f ca="1">IF(A463&gt;TODAY(),"",IF(N('Daily Tracking'!H463)&gt;=Settings!$B$14,1,0))</f>
        <v/>
      </c>
      <c r="F463" s="230" t="str">
        <f ca="1">IF(A463&gt;TODAY(),"",IF(OR(N('Daily Tracking'!I463)&gt;0,'Daily Tracking'!J463="Yes"),1,0))</f>
        <v/>
      </c>
      <c r="G463" s="230" t="str">
        <f ca="1">IF(A463&gt;TODAY(),"",IF(N('Daily Tracking'!K463)&gt;=Settings!$B$15,1,0))</f>
        <v/>
      </c>
      <c r="H463" s="231" t="str">
        <f ca="1">IF(B463="","",AVERAGE(B463:G463))</f>
        <v/>
      </c>
      <c r="I463" s="136" t="str">
        <f ca="1">IF(B463="","",IF(B463=1,N(I462)+1,0))</f>
        <v/>
      </c>
    </row>
    <row r="464" spans="1:9" ht="18" customHeight="1" x14ac:dyDescent="0.3">
      <c r="A464" s="132">
        <f>'Daily Tracking'!A464</f>
        <v>46736</v>
      </c>
      <c r="B464" s="230" t="str">
        <f ca="1">IF(A464&gt;TODAY(),"",IF('Daily Tracking'!B464&lt;&gt;"",1,0))</f>
        <v/>
      </c>
      <c r="C464" s="230" t="str">
        <f ca="1">IF(A464&gt;TODAY(),"",IF('Daily Tracking'!E464&lt;&gt;"",1,0))</f>
        <v/>
      </c>
      <c r="D464" s="230" t="str">
        <f ca="1">IF(A464&gt;TODAY(),"",IF(N('Daily Tracking'!G464)&gt;=Settings!$B$13,1,0))</f>
        <v/>
      </c>
      <c r="E464" s="230" t="str">
        <f ca="1">IF(A464&gt;TODAY(),"",IF(N('Daily Tracking'!H464)&gt;=Settings!$B$14,1,0))</f>
        <v/>
      </c>
      <c r="F464" s="230" t="str">
        <f ca="1">IF(A464&gt;TODAY(),"",IF(OR(N('Daily Tracking'!I464)&gt;0,'Daily Tracking'!J464="Yes"),1,0))</f>
        <v/>
      </c>
      <c r="G464" s="230" t="str">
        <f ca="1">IF(A464&gt;TODAY(),"",IF(N('Daily Tracking'!K464)&gt;=Settings!$B$15,1,0))</f>
        <v/>
      </c>
      <c r="H464" s="231" t="str">
        <f ca="1">IF(B464="","",AVERAGE(B464:G464))</f>
        <v/>
      </c>
      <c r="I464" s="136" t="str">
        <f ca="1">IF(B464="","",IF(B464=1,N(I463)+1,0))</f>
        <v/>
      </c>
    </row>
    <row r="465" spans="1:9" ht="18" customHeight="1" x14ac:dyDescent="0.3">
      <c r="A465" s="132">
        <f>'Daily Tracking'!A465</f>
        <v>46737</v>
      </c>
      <c r="B465" s="230" t="str">
        <f ca="1">IF(A465&gt;TODAY(),"",IF('Daily Tracking'!B465&lt;&gt;"",1,0))</f>
        <v/>
      </c>
      <c r="C465" s="230" t="str">
        <f ca="1">IF(A465&gt;TODAY(),"",IF('Daily Tracking'!E465&lt;&gt;"",1,0))</f>
        <v/>
      </c>
      <c r="D465" s="230" t="str">
        <f ca="1">IF(A465&gt;TODAY(),"",IF(N('Daily Tracking'!G465)&gt;=Settings!$B$13,1,0))</f>
        <v/>
      </c>
      <c r="E465" s="230" t="str">
        <f ca="1">IF(A465&gt;TODAY(),"",IF(N('Daily Tracking'!H465)&gt;=Settings!$B$14,1,0))</f>
        <v/>
      </c>
      <c r="F465" s="230" t="str">
        <f ca="1">IF(A465&gt;TODAY(),"",IF(OR(N('Daily Tracking'!I465)&gt;0,'Daily Tracking'!J465="Yes"),1,0))</f>
        <v/>
      </c>
      <c r="G465" s="230" t="str">
        <f ca="1">IF(A465&gt;TODAY(),"",IF(N('Daily Tracking'!K465)&gt;=Settings!$B$15,1,0))</f>
        <v/>
      </c>
      <c r="H465" s="231" t="str">
        <f ca="1">IF(B465="","",AVERAGE(B465:G465))</f>
        <v/>
      </c>
      <c r="I465" s="136" t="str">
        <f ca="1">IF(B465="","",IF(B465=1,N(I464)+1,0))</f>
        <v/>
      </c>
    </row>
    <row r="466" spans="1:9" ht="18" customHeight="1" x14ac:dyDescent="0.3">
      <c r="A466" s="132">
        <f>'Daily Tracking'!A466</f>
        <v>46738</v>
      </c>
      <c r="B466" s="230" t="str">
        <f ca="1">IF(A466&gt;TODAY(),"",IF('Daily Tracking'!B466&lt;&gt;"",1,0))</f>
        <v/>
      </c>
      <c r="C466" s="230" t="str">
        <f ca="1">IF(A466&gt;TODAY(),"",IF('Daily Tracking'!E466&lt;&gt;"",1,0))</f>
        <v/>
      </c>
      <c r="D466" s="230" t="str">
        <f ca="1">IF(A466&gt;TODAY(),"",IF(N('Daily Tracking'!G466)&gt;=Settings!$B$13,1,0))</f>
        <v/>
      </c>
      <c r="E466" s="230" t="str">
        <f ca="1">IF(A466&gt;TODAY(),"",IF(N('Daily Tracking'!H466)&gt;=Settings!$B$14,1,0))</f>
        <v/>
      </c>
      <c r="F466" s="230" t="str">
        <f ca="1">IF(A466&gt;TODAY(),"",IF(OR(N('Daily Tracking'!I466)&gt;0,'Daily Tracking'!J466="Yes"),1,0))</f>
        <v/>
      </c>
      <c r="G466" s="230" t="str">
        <f ca="1">IF(A466&gt;TODAY(),"",IF(N('Daily Tracking'!K466)&gt;=Settings!$B$15,1,0))</f>
        <v/>
      </c>
      <c r="H466" s="231" t="str">
        <f ca="1">IF(B466="","",AVERAGE(B466:G466))</f>
        <v/>
      </c>
      <c r="I466" s="136" t="str">
        <f ca="1">IF(B466="","",IF(B466=1,N(I465)+1,0))</f>
        <v/>
      </c>
    </row>
    <row r="467" spans="1:9" ht="18" customHeight="1" x14ac:dyDescent="0.3">
      <c r="A467" s="132">
        <f>'Daily Tracking'!A467</f>
        <v>46739</v>
      </c>
      <c r="B467" s="230" t="str">
        <f ca="1">IF(A467&gt;TODAY(),"",IF('Daily Tracking'!B467&lt;&gt;"",1,0))</f>
        <v/>
      </c>
      <c r="C467" s="230" t="str">
        <f ca="1">IF(A467&gt;TODAY(),"",IF('Daily Tracking'!E467&lt;&gt;"",1,0))</f>
        <v/>
      </c>
      <c r="D467" s="230" t="str">
        <f ca="1">IF(A467&gt;TODAY(),"",IF(N('Daily Tracking'!G467)&gt;=Settings!$B$13,1,0))</f>
        <v/>
      </c>
      <c r="E467" s="230" t="str">
        <f ca="1">IF(A467&gt;TODAY(),"",IF(N('Daily Tracking'!H467)&gt;=Settings!$B$14,1,0))</f>
        <v/>
      </c>
      <c r="F467" s="230" t="str">
        <f ca="1">IF(A467&gt;TODAY(),"",IF(OR(N('Daily Tracking'!I467)&gt;0,'Daily Tracking'!J467="Yes"),1,0))</f>
        <v/>
      </c>
      <c r="G467" s="230" t="str">
        <f ca="1">IF(A467&gt;TODAY(),"",IF(N('Daily Tracking'!K467)&gt;=Settings!$B$15,1,0))</f>
        <v/>
      </c>
      <c r="H467" s="231" t="str">
        <f ca="1">IF(B467="","",AVERAGE(B467:G467))</f>
        <v/>
      </c>
      <c r="I467" s="136" t="str">
        <f ca="1">IF(B467="","",IF(B467=1,N(I466)+1,0))</f>
        <v/>
      </c>
    </row>
    <row r="468" spans="1:9" ht="18" customHeight="1" x14ac:dyDescent="0.3">
      <c r="A468" s="132">
        <f>'Daily Tracking'!A468</f>
        <v>46740</v>
      </c>
      <c r="B468" s="230" t="str">
        <f ca="1">IF(A468&gt;TODAY(),"",IF('Daily Tracking'!B468&lt;&gt;"",1,0))</f>
        <v/>
      </c>
      <c r="C468" s="230" t="str">
        <f ca="1">IF(A468&gt;TODAY(),"",IF('Daily Tracking'!E468&lt;&gt;"",1,0))</f>
        <v/>
      </c>
      <c r="D468" s="230" t="str">
        <f ca="1">IF(A468&gt;TODAY(),"",IF(N('Daily Tracking'!G468)&gt;=Settings!$B$13,1,0))</f>
        <v/>
      </c>
      <c r="E468" s="230" t="str">
        <f ca="1">IF(A468&gt;TODAY(),"",IF(N('Daily Tracking'!H468)&gt;=Settings!$B$14,1,0))</f>
        <v/>
      </c>
      <c r="F468" s="230" t="str">
        <f ca="1">IF(A468&gt;TODAY(),"",IF(OR(N('Daily Tracking'!I468)&gt;0,'Daily Tracking'!J468="Yes"),1,0))</f>
        <v/>
      </c>
      <c r="G468" s="230" t="str">
        <f ca="1">IF(A468&gt;TODAY(),"",IF(N('Daily Tracking'!K468)&gt;=Settings!$B$15,1,0))</f>
        <v/>
      </c>
      <c r="H468" s="231" t="str">
        <f ca="1">IF(B468="","",AVERAGE(B468:G468))</f>
        <v/>
      </c>
      <c r="I468" s="136" t="str">
        <f ca="1">IF(B468="","",IF(B468=1,N(I467)+1,0))</f>
        <v/>
      </c>
    </row>
    <row r="469" spans="1:9" ht="18" customHeight="1" x14ac:dyDescent="0.3">
      <c r="A469" s="132">
        <f>'Daily Tracking'!A469</f>
        <v>46741</v>
      </c>
      <c r="B469" s="230" t="str">
        <f ca="1">IF(A469&gt;TODAY(),"",IF('Daily Tracking'!B469&lt;&gt;"",1,0))</f>
        <v/>
      </c>
      <c r="C469" s="230" t="str">
        <f ca="1">IF(A469&gt;TODAY(),"",IF('Daily Tracking'!E469&lt;&gt;"",1,0))</f>
        <v/>
      </c>
      <c r="D469" s="230" t="str">
        <f ca="1">IF(A469&gt;TODAY(),"",IF(N('Daily Tracking'!G469)&gt;=Settings!$B$13,1,0))</f>
        <v/>
      </c>
      <c r="E469" s="230" t="str">
        <f ca="1">IF(A469&gt;TODAY(),"",IF(N('Daily Tracking'!H469)&gt;=Settings!$B$14,1,0))</f>
        <v/>
      </c>
      <c r="F469" s="230" t="str">
        <f ca="1">IF(A469&gt;TODAY(),"",IF(OR(N('Daily Tracking'!I469)&gt;0,'Daily Tracking'!J469="Yes"),1,0))</f>
        <v/>
      </c>
      <c r="G469" s="230" t="str">
        <f ca="1">IF(A469&gt;TODAY(),"",IF(N('Daily Tracking'!K469)&gt;=Settings!$B$15,1,0))</f>
        <v/>
      </c>
      <c r="H469" s="231" t="str">
        <f ca="1">IF(B469="","",AVERAGE(B469:G469))</f>
        <v/>
      </c>
      <c r="I469" s="136" t="str">
        <f ca="1">IF(B469="","",IF(B469=1,N(I468)+1,0))</f>
        <v/>
      </c>
    </row>
    <row r="470" spans="1:9" ht="18" customHeight="1" x14ac:dyDescent="0.3">
      <c r="A470" s="132">
        <f>'Daily Tracking'!A470</f>
        <v>46742</v>
      </c>
      <c r="B470" s="230" t="str">
        <f ca="1">IF(A470&gt;TODAY(),"",IF('Daily Tracking'!B470&lt;&gt;"",1,0))</f>
        <v/>
      </c>
      <c r="C470" s="230" t="str">
        <f ca="1">IF(A470&gt;TODAY(),"",IF('Daily Tracking'!E470&lt;&gt;"",1,0))</f>
        <v/>
      </c>
      <c r="D470" s="230" t="str">
        <f ca="1">IF(A470&gt;TODAY(),"",IF(N('Daily Tracking'!G470)&gt;=Settings!$B$13,1,0))</f>
        <v/>
      </c>
      <c r="E470" s="230" t="str">
        <f ca="1">IF(A470&gt;TODAY(),"",IF(N('Daily Tracking'!H470)&gt;=Settings!$B$14,1,0))</f>
        <v/>
      </c>
      <c r="F470" s="230" t="str">
        <f ca="1">IF(A470&gt;TODAY(),"",IF(OR(N('Daily Tracking'!I470)&gt;0,'Daily Tracking'!J470="Yes"),1,0))</f>
        <v/>
      </c>
      <c r="G470" s="230" t="str">
        <f ca="1">IF(A470&gt;TODAY(),"",IF(N('Daily Tracking'!K470)&gt;=Settings!$B$15,1,0))</f>
        <v/>
      </c>
      <c r="H470" s="231" t="str">
        <f ca="1">IF(B470="","",AVERAGE(B470:G470))</f>
        <v/>
      </c>
      <c r="I470" s="136" t="str">
        <f ca="1">IF(B470="","",IF(B470=1,N(I469)+1,0))</f>
        <v/>
      </c>
    </row>
    <row r="471" spans="1:9" ht="18" customHeight="1" x14ac:dyDescent="0.3">
      <c r="A471" s="132">
        <f>'Daily Tracking'!A471</f>
        <v>46743</v>
      </c>
      <c r="B471" s="230" t="str">
        <f ca="1">IF(A471&gt;TODAY(),"",IF('Daily Tracking'!B471&lt;&gt;"",1,0))</f>
        <v/>
      </c>
      <c r="C471" s="230" t="str">
        <f ca="1">IF(A471&gt;TODAY(),"",IF('Daily Tracking'!E471&lt;&gt;"",1,0))</f>
        <v/>
      </c>
      <c r="D471" s="230" t="str">
        <f ca="1">IF(A471&gt;TODAY(),"",IF(N('Daily Tracking'!G471)&gt;=Settings!$B$13,1,0))</f>
        <v/>
      </c>
      <c r="E471" s="230" t="str">
        <f ca="1">IF(A471&gt;TODAY(),"",IF(N('Daily Tracking'!H471)&gt;=Settings!$B$14,1,0))</f>
        <v/>
      </c>
      <c r="F471" s="230" t="str">
        <f ca="1">IF(A471&gt;TODAY(),"",IF(OR(N('Daily Tracking'!I471)&gt;0,'Daily Tracking'!J471="Yes"),1,0))</f>
        <v/>
      </c>
      <c r="G471" s="230" t="str">
        <f ca="1">IF(A471&gt;TODAY(),"",IF(N('Daily Tracking'!K471)&gt;=Settings!$B$15,1,0))</f>
        <v/>
      </c>
      <c r="H471" s="231" t="str">
        <f ca="1">IF(B471="","",AVERAGE(B471:G471))</f>
        <v/>
      </c>
      <c r="I471" s="136" t="str">
        <f ca="1">IF(B471="","",IF(B471=1,N(I470)+1,0))</f>
        <v/>
      </c>
    </row>
    <row r="472" spans="1:9" ht="18" customHeight="1" x14ac:dyDescent="0.3">
      <c r="A472" s="132">
        <f>'Daily Tracking'!A472</f>
        <v>46744</v>
      </c>
      <c r="B472" s="230" t="str">
        <f ca="1">IF(A472&gt;TODAY(),"",IF('Daily Tracking'!B472&lt;&gt;"",1,0))</f>
        <v/>
      </c>
      <c r="C472" s="230" t="str">
        <f ca="1">IF(A472&gt;TODAY(),"",IF('Daily Tracking'!E472&lt;&gt;"",1,0))</f>
        <v/>
      </c>
      <c r="D472" s="230" t="str">
        <f ca="1">IF(A472&gt;TODAY(),"",IF(N('Daily Tracking'!G472)&gt;=Settings!$B$13,1,0))</f>
        <v/>
      </c>
      <c r="E472" s="230" t="str">
        <f ca="1">IF(A472&gt;TODAY(),"",IF(N('Daily Tracking'!H472)&gt;=Settings!$B$14,1,0))</f>
        <v/>
      </c>
      <c r="F472" s="230" t="str">
        <f ca="1">IF(A472&gt;TODAY(),"",IF(OR(N('Daily Tracking'!I472)&gt;0,'Daily Tracking'!J472="Yes"),1,0))</f>
        <v/>
      </c>
      <c r="G472" s="230" t="str">
        <f ca="1">IF(A472&gt;TODAY(),"",IF(N('Daily Tracking'!K472)&gt;=Settings!$B$15,1,0))</f>
        <v/>
      </c>
      <c r="H472" s="231" t="str">
        <f ca="1">IF(B472="","",AVERAGE(B472:G472))</f>
        <v/>
      </c>
      <c r="I472" s="136" t="str">
        <f ca="1">IF(B472="","",IF(B472=1,N(I471)+1,0))</f>
        <v/>
      </c>
    </row>
    <row r="473" spans="1:9" ht="18" customHeight="1" x14ac:dyDescent="0.3">
      <c r="A473" s="132">
        <f>'Daily Tracking'!A473</f>
        <v>46745</v>
      </c>
      <c r="B473" s="230" t="str">
        <f ca="1">IF(A473&gt;TODAY(),"",IF('Daily Tracking'!B473&lt;&gt;"",1,0))</f>
        <v/>
      </c>
      <c r="C473" s="230" t="str">
        <f ca="1">IF(A473&gt;TODAY(),"",IF('Daily Tracking'!E473&lt;&gt;"",1,0))</f>
        <v/>
      </c>
      <c r="D473" s="230" t="str">
        <f ca="1">IF(A473&gt;TODAY(),"",IF(N('Daily Tracking'!G473)&gt;=Settings!$B$13,1,0))</f>
        <v/>
      </c>
      <c r="E473" s="230" t="str">
        <f ca="1">IF(A473&gt;TODAY(),"",IF(N('Daily Tracking'!H473)&gt;=Settings!$B$14,1,0))</f>
        <v/>
      </c>
      <c r="F473" s="230" t="str">
        <f ca="1">IF(A473&gt;TODAY(),"",IF(OR(N('Daily Tracking'!I473)&gt;0,'Daily Tracking'!J473="Yes"),1,0))</f>
        <v/>
      </c>
      <c r="G473" s="230" t="str">
        <f ca="1">IF(A473&gt;TODAY(),"",IF(N('Daily Tracking'!K473)&gt;=Settings!$B$15,1,0))</f>
        <v/>
      </c>
      <c r="H473" s="231" t="str">
        <f ca="1">IF(B473="","",AVERAGE(B473:G473))</f>
        <v/>
      </c>
      <c r="I473" s="136" t="str">
        <f ca="1">IF(B473="","",IF(B473=1,N(I472)+1,0))</f>
        <v/>
      </c>
    </row>
    <row r="474" spans="1:9" ht="18" customHeight="1" x14ac:dyDescent="0.3">
      <c r="A474" s="132">
        <f>'Daily Tracking'!A474</f>
        <v>46746</v>
      </c>
      <c r="B474" s="230" t="str">
        <f ca="1">IF(A474&gt;TODAY(),"",IF('Daily Tracking'!B474&lt;&gt;"",1,0))</f>
        <v/>
      </c>
      <c r="C474" s="230" t="str">
        <f ca="1">IF(A474&gt;TODAY(),"",IF('Daily Tracking'!E474&lt;&gt;"",1,0))</f>
        <v/>
      </c>
      <c r="D474" s="230" t="str">
        <f ca="1">IF(A474&gt;TODAY(),"",IF(N('Daily Tracking'!G474)&gt;=Settings!$B$13,1,0))</f>
        <v/>
      </c>
      <c r="E474" s="230" t="str">
        <f ca="1">IF(A474&gt;TODAY(),"",IF(N('Daily Tracking'!H474)&gt;=Settings!$B$14,1,0))</f>
        <v/>
      </c>
      <c r="F474" s="230" t="str">
        <f ca="1">IF(A474&gt;TODAY(),"",IF(OR(N('Daily Tracking'!I474)&gt;0,'Daily Tracking'!J474="Yes"),1,0))</f>
        <v/>
      </c>
      <c r="G474" s="230" t="str">
        <f ca="1">IF(A474&gt;TODAY(),"",IF(N('Daily Tracking'!K474)&gt;=Settings!$B$15,1,0))</f>
        <v/>
      </c>
      <c r="H474" s="231" t="str">
        <f ca="1">IF(B474="","",AVERAGE(B474:G474))</f>
        <v/>
      </c>
      <c r="I474" s="136" t="str">
        <f ca="1">IF(B474="","",IF(B474=1,N(I473)+1,0))</f>
        <v/>
      </c>
    </row>
    <row r="475" spans="1:9" ht="18" customHeight="1" x14ac:dyDescent="0.3">
      <c r="A475" s="132">
        <f>'Daily Tracking'!A475</f>
        <v>46747</v>
      </c>
      <c r="B475" s="230" t="str">
        <f ca="1">IF(A475&gt;TODAY(),"",IF('Daily Tracking'!B475&lt;&gt;"",1,0))</f>
        <v/>
      </c>
      <c r="C475" s="230" t="str">
        <f ca="1">IF(A475&gt;TODAY(),"",IF('Daily Tracking'!E475&lt;&gt;"",1,0))</f>
        <v/>
      </c>
      <c r="D475" s="230" t="str">
        <f ca="1">IF(A475&gt;TODAY(),"",IF(N('Daily Tracking'!G475)&gt;=Settings!$B$13,1,0))</f>
        <v/>
      </c>
      <c r="E475" s="230" t="str">
        <f ca="1">IF(A475&gt;TODAY(),"",IF(N('Daily Tracking'!H475)&gt;=Settings!$B$14,1,0))</f>
        <v/>
      </c>
      <c r="F475" s="230" t="str">
        <f ca="1">IF(A475&gt;TODAY(),"",IF(OR(N('Daily Tracking'!I475)&gt;0,'Daily Tracking'!J475="Yes"),1,0))</f>
        <v/>
      </c>
      <c r="G475" s="230" t="str">
        <f ca="1">IF(A475&gt;TODAY(),"",IF(N('Daily Tracking'!K475)&gt;=Settings!$B$15,1,0))</f>
        <v/>
      </c>
      <c r="H475" s="231" t="str">
        <f ca="1">IF(B475="","",AVERAGE(B475:G475))</f>
        <v/>
      </c>
      <c r="I475" s="136" t="str">
        <f ca="1">IF(B475="","",IF(B475=1,N(I474)+1,0))</f>
        <v/>
      </c>
    </row>
    <row r="476" spans="1:9" ht="18" customHeight="1" x14ac:dyDescent="0.3">
      <c r="A476" s="132">
        <f>'Daily Tracking'!A476</f>
        <v>46748</v>
      </c>
      <c r="B476" s="230" t="str">
        <f ca="1">IF(A476&gt;TODAY(),"",IF('Daily Tracking'!B476&lt;&gt;"",1,0))</f>
        <v/>
      </c>
      <c r="C476" s="230" t="str">
        <f ca="1">IF(A476&gt;TODAY(),"",IF('Daily Tracking'!E476&lt;&gt;"",1,0))</f>
        <v/>
      </c>
      <c r="D476" s="230" t="str">
        <f ca="1">IF(A476&gt;TODAY(),"",IF(N('Daily Tracking'!G476)&gt;=Settings!$B$13,1,0))</f>
        <v/>
      </c>
      <c r="E476" s="230" t="str">
        <f ca="1">IF(A476&gt;TODAY(),"",IF(N('Daily Tracking'!H476)&gt;=Settings!$B$14,1,0))</f>
        <v/>
      </c>
      <c r="F476" s="230" t="str">
        <f ca="1">IF(A476&gt;TODAY(),"",IF(OR(N('Daily Tracking'!I476)&gt;0,'Daily Tracking'!J476="Yes"),1,0))</f>
        <v/>
      </c>
      <c r="G476" s="230" t="str">
        <f ca="1">IF(A476&gt;TODAY(),"",IF(N('Daily Tracking'!K476)&gt;=Settings!$B$15,1,0))</f>
        <v/>
      </c>
      <c r="H476" s="231" t="str">
        <f ca="1">IF(B476="","",AVERAGE(B476:G476))</f>
        <v/>
      </c>
      <c r="I476" s="136" t="str">
        <f ca="1">IF(B476="","",IF(B476=1,N(I475)+1,0))</f>
        <v/>
      </c>
    </row>
    <row r="477" spans="1:9" ht="18" customHeight="1" x14ac:dyDescent="0.3">
      <c r="A477" s="132">
        <f>'Daily Tracking'!A477</f>
        <v>46749</v>
      </c>
      <c r="B477" s="230" t="str">
        <f ca="1">IF(A477&gt;TODAY(),"",IF('Daily Tracking'!B477&lt;&gt;"",1,0))</f>
        <v/>
      </c>
      <c r="C477" s="230" t="str">
        <f ca="1">IF(A477&gt;TODAY(),"",IF('Daily Tracking'!E477&lt;&gt;"",1,0))</f>
        <v/>
      </c>
      <c r="D477" s="230" t="str">
        <f ca="1">IF(A477&gt;TODAY(),"",IF(N('Daily Tracking'!G477)&gt;=Settings!$B$13,1,0))</f>
        <v/>
      </c>
      <c r="E477" s="230" t="str">
        <f ca="1">IF(A477&gt;TODAY(),"",IF(N('Daily Tracking'!H477)&gt;=Settings!$B$14,1,0))</f>
        <v/>
      </c>
      <c r="F477" s="230" t="str">
        <f ca="1">IF(A477&gt;TODAY(),"",IF(OR(N('Daily Tracking'!I477)&gt;0,'Daily Tracking'!J477="Yes"),1,0))</f>
        <v/>
      </c>
      <c r="G477" s="230" t="str">
        <f ca="1">IF(A477&gt;TODAY(),"",IF(N('Daily Tracking'!K477)&gt;=Settings!$B$15,1,0))</f>
        <v/>
      </c>
      <c r="H477" s="231" t="str">
        <f ca="1">IF(B477="","",AVERAGE(B477:G477))</f>
        <v/>
      </c>
      <c r="I477" s="136" t="str">
        <f ca="1">IF(B477="","",IF(B477=1,N(I476)+1,0))</f>
        <v/>
      </c>
    </row>
    <row r="478" spans="1:9" ht="18" customHeight="1" x14ac:dyDescent="0.3">
      <c r="A478" s="132">
        <f>'Daily Tracking'!A478</f>
        <v>46750</v>
      </c>
      <c r="B478" s="230" t="str">
        <f ca="1">IF(A478&gt;TODAY(),"",IF('Daily Tracking'!B478&lt;&gt;"",1,0))</f>
        <v/>
      </c>
      <c r="C478" s="230" t="str">
        <f ca="1">IF(A478&gt;TODAY(),"",IF('Daily Tracking'!E478&lt;&gt;"",1,0))</f>
        <v/>
      </c>
      <c r="D478" s="230" t="str">
        <f ca="1">IF(A478&gt;TODAY(),"",IF(N('Daily Tracking'!G478)&gt;=Settings!$B$13,1,0))</f>
        <v/>
      </c>
      <c r="E478" s="230" t="str">
        <f ca="1">IF(A478&gt;TODAY(),"",IF(N('Daily Tracking'!H478)&gt;=Settings!$B$14,1,0))</f>
        <v/>
      </c>
      <c r="F478" s="230" t="str">
        <f ca="1">IF(A478&gt;TODAY(),"",IF(OR(N('Daily Tracking'!I478)&gt;0,'Daily Tracking'!J478="Yes"),1,0))</f>
        <v/>
      </c>
      <c r="G478" s="230" t="str">
        <f ca="1">IF(A478&gt;TODAY(),"",IF(N('Daily Tracking'!K478)&gt;=Settings!$B$15,1,0))</f>
        <v/>
      </c>
      <c r="H478" s="231" t="str">
        <f ca="1">IF(B478="","",AVERAGE(B478:G478))</f>
        <v/>
      </c>
      <c r="I478" s="136" t="str">
        <f ca="1">IF(B478="","",IF(B478=1,N(I477)+1,0))</f>
        <v/>
      </c>
    </row>
    <row r="479" spans="1:9" ht="18" customHeight="1" x14ac:dyDescent="0.3">
      <c r="A479" s="132">
        <f>'Daily Tracking'!A479</f>
        <v>46751</v>
      </c>
      <c r="B479" s="230" t="str">
        <f ca="1">IF(A479&gt;TODAY(),"",IF('Daily Tracking'!B479&lt;&gt;"",1,0))</f>
        <v/>
      </c>
      <c r="C479" s="230" t="str">
        <f ca="1">IF(A479&gt;TODAY(),"",IF('Daily Tracking'!E479&lt;&gt;"",1,0))</f>
        <v/>
      </c>
      <c r="D479" s="230" t="str">
        <f ca="1">IF(A479&gt;TODAY(),"",IF(N('Daily Tracking'!G479)&gt;=Settings!$B$13,1,0))</f>
        <v/>
      </c>
      <c r="E479" s="230" t="str">
        <f ca="1">IF(A479&gt;TODAY(),"",IF(N('Daily Tracking'!H479)&gt;=Settings!$B$14,1,0))</f>
        <v/>
      </c>
      <c r="F479" s="230" t="str">
        <f ca="1">IF(A479&gt;TODAY(),"",IF(OR(N('Daily Tracking'!I479)&gt;0,'Daily Tracking'!J479="Yes"),1,0))</f>
        <v/>
      </c>
      <c r="G479" s="230" t="str">
        <f ca="1">IF(A479&gt;TODAY(),"",IF(N('Daily Tracking'!K479)&gt;=Settings!$B$15,1,0))</f>
        <v/>
      </c>
      <c r="H479" s="231" t="str">
        <f ca="1">IF(B479="","",AVERAGE(B479:G479))</f>
        <v/>
      </c>
      <c r="I479" s="136" t="str">
        <f ca="1">IF(B479="","",IF(B479=1,N(I478)+1,0))</f>
        <v/>
      </c>
    </row>
    <row r="480" spans="1:9" ht="18" customHeight="1" x14ac:dyDescent="0.3">
      <c r="A480" s="132">
        <f>'Daily Tracking'!A480</f>
        <v>46752</v>
      </c>
      <c r="B480" s="230" t="str">
        <f ca="1">IF(A480&gt;TODAY(),"",IF('Daily Tracking'!B480&lt;&gt;"",1,0))</f>
        <v/>
      </c>
      <c r="C480" s="230" t="str">
        <f ca="1">IF(A480&gt;TODAY(),"",IF('Daily Tracking'!E480&lt;&gt;"",1,0))</f>
        <v/>
      </c>
      <c r="D480" s="230" t="str">
        <f ca="1">IF(A480&gt;TODAY(),"",IF(N('Daily Tracking'!G480)&gt;=Settings!$B$13,1,0))</f>
        <v/>
      </c>
      <c r="E480" s="230" t="str">
        <f ca="1">IF(A480&gt;TODAY(),"",IF(N('Daily Tracking'!H480)&gt;=Settings!$B$14,1,0))</f>
        <v/>
      </c>
      <c r="F480" s="230" t="str">
        <f ca="1">IF(A480&gt;TODAY(),"",IF(OR(N('Daily Tracking'!I480)&gt;0,'Daily Tracking'!J480="Yes"),1,0))</f>
        <v/>
      </c>
      <c r="G480" s="230" t="str">
        <f ca="1">IF(A480&gt;TODAY(),"",IF(N('Daily Tracking'!K480)&gt;=Settings!$B$15,1,0))</f>
        <v/>
      </c>
      <c r="H480" s="231" t="str">
        <f ca="1">IF(B480="","",AVERAGE(B480:G480))</f>
        <v/>
      </c>
      <c r="I480" s="136" t="str">
        <f ca="1">IF(B480="","",IF(B480=1,N(I479)+1,0))</f>
        <v/>
      </c>
    </row>
    <row r="481" spans="1:9" ht="18" customHeight="1" x14ac:dyDescent="0.3">
      <c r="A481" s="132">
        <f>'Daily Tracking'!A481</f>
        <v>46753</v>
      </c>
      <c r="B481" s="230" t="str">
        <f ca="1">IF(A481&gt;TODAY(),"",IF('Daily Tracking'!B481&lt;&gt;"",1,0))</f>
        <v/>
      </c>
      <c r="C481" s="230" t="str">
        <f ca="1">IF(A481&gt;TODAY(),"",IF('Daily Tracking'!E481&lt;&gt;"",1,0))</f>
        <v/>
      </c>
      <c r="D481" s="230" t="str">
        <f ca="1">IF(A481&gt;TODAY(),"",IF(N('Daily Tracking'!G481)&gt;=Settings!$B$13,1,0))</f>
        <v/>
      </c>
      <c r="E481" s="230" t="str">
        <f ca="1">IF(A481&gt;TODAY(),"",IF(N('Daily Tracking'!H481)&gt;=Settings!$B$14,1,0))</f>
        <v/>
      </c>
      <c r="F481" s="230" t="str">
        <f ca="1">IF(A481&gt;TODAY(),"",IF(OR(N('Daily Tracking'!I481)&gt;0,'Daily Tracking'!J481="Yes"),1,0))</f>
        <v/>
      </c>
      <c r="G481" s="230" t="str">
        <f ca="1">IF(A481&gt;TODAY(),"",IF(N('Daily Tracking'!K481)&gt;=Settings!$B$15,1,0))</f>
        <v/>
      </c>
      <c r="H481" s="231" t="str">
        <f ca="1">IF(B481="","",AVERAGE(B481:G481))</f>
        <v/>
      </c>
      <c r="I481" s="136" t="str">
        <f ca="1">IF(B481="","",IF(B481=1,N(I480)+1,0))</f>
        <v/>
      </c>
    </row>
    <row r="482" spans="1:9" ht="18" customHeight="1" x14ac:dyDescent="0.3">
      <c r="A482" s="132">
        <f>'Daily Tracking'!A482</f>
        <v>46754</v>
      </c>
      <c r="B482" s="230" t="str">
        <f ca="1">IF(A482&gt;TODAY(),"",IF('Daily Tracking'!B482&lt;&gt;"",1,0))</f>
        <v/>
      </c>
      <c r="C482" s="230" t="str">
        <f ca="1">IF(A482&gt;TODAY(),"",IF('Daily Tracking'!E482&lt;&gt;"",1,0))</f>
        <v/>
      </c>
      <c r="D482" s="230" t="str">
        <f ca="1">IF(A482&gt;TODAY(),"",IF(N('Daily Tracking'!G482)&gt;=Settings!$B$13,1,0))</f>
        <v/>
      </c>
      <c r="E482" s="230" t="str">
        <f ca="1">IF(A482&gt;TODAY(),"",IF(N('Daily Tracking'!H482)&gt;=Settings!$B$14,1,0))</f>
        <v/>
      </c>
      <c r="F482" s="230" t="str">
        <f ca="1">IF(A482&gt;TODAY(),"",IF(OR(N('Daily Tracking'!I482)&gt;0,'Daily Tracking'!J482="Yes"),1,0))</f>
        <v/>
      </c>
      <c r="G482" s="230" t="str">
        <f ca="1">IF(A482&gt;TODAY(),"",IF(N('Daily Tracking'!K482)&gt;=Settings!$B$15,1,0))</f>
        <v/>
      </c>
      <c r="H482" s="231" t="str">
        <f ca="1">IF(B482="","",AVERAGE(B482:G482))</f>
        <v/>
      </c>
      <c r="I482" s="136" t="str">
        <f ca="1">IF(B482="","",IF(B482=1,N(I481)+1,0))</f>
        <v/>
      </c>
    </row>
    <row r="483" spans="1:9" ht="18" customHeight="1" x14ac:dyDescent="0.3">
      <c r="A483" s="132">
        <f>'Daily Tracking'!A483</f>
        <v>46755</v>
      </c>
      <c r="B483" s="230" t="str">
        <f ca="1">IF(A483&gt;TODAY(),"",IF('Daily Tracking'!B483&lt;&gt;"",1,0))</f>
        <v/>
      </c>
      <c r="C483" s="230" t="str">
        <f ca="1">IF(A483&gt;TODAY(),"",IF('Daily Tracking'!E483&lt;&gt;"",1,0))</f>
        <v/>
      </c>
      <c r="D483" s="230" t="str">
        <f ca="1">IF(A483&gt;TODAY(),"",IF(N('Daily Tracking'!G483)&gt;=Settings!$B$13,1,0))</f>
        <v/>
      </c>
      <c r="E483" s="230" t="str">
        <f ca="1">IF(A483&gt;TODAY(),"",IF(N('Daily Tracking'!H483)&gt;=Settings!$B$14,1,0))</f>
        <v/>
      </c>
      <c r="F483" s="230" t="str">
        <f ca="1">IF(A483&gt;TODAY(),"",IF(OR(N('Daily Tracking'!I483)&gt;0,'Daily Tracking'!J483="Yes"),1,0))</f>
        <v/>
      </c>
      <c r="G483" s="230" t="str">
        <f ca="1">IF(A483&gt;TODAY(),"",IF(N('Daily Tracking'!K483)&gt;=Settings!$B$15,1,0))</f>
        <v/>
      </c>
      <c r="H483" s="231" t="str">
        <f ca="1">IF(B483="","",AVERAGE(B483:G483))</f>
        <v/>
      </c>
      <c r="I483" s="136" t="str">
        <f ca="1">IF(B483="","",IF(B483=1,N(I482)+1,0))</f>
        <v/>
      </c>
    </row>
    <row r="484" spans="1:9" ht="18" customHeight="1" x14ac:dyDescent="0.3">
      <c r="A484" s="132">
        <f>'Daily Tracking'!A484</f>
        <v>46756</v>
      </c>
      <c r="B484" s="230" t="str">
        <f ca="1">IF(A484&gt;TODAY(),"",IF('Daily Tracking'!B484&lt;&gt;"",1,0))</f>
        <v/>
      </c>
      <c r="C484" s="230" t="str">
        <f ca="1">IF(A484&gt;TODAY(),"",IF('Daily Tracking'!E484&lt;&gt;"",1,0))</f>
        <v/>
      </c>
      <c r="D484" s="230" t="str">
        <f ca="1">IF(A484&gt;TODAY(),"",IF(N('Daily Tracking'!G484)&gt;=Settings!$B$13,1,0))</f>
        <v/>
      </c>
      <c r="E484" s="230" t="str">
        <f ca="1">IF(A484&gt;TODAY(),"",IF(N('Daily Tracking'!H484)&gt;=Settings!$B$14,1,0))</f>
        <v/>
      </c>
      <c r="F484" s="230" t="str">
        <f ca="1">IF(A484&gt;TODAY(),"",IF(OR(N('Daily Tracking'!I484)&gt;0,'Daily Tracking'!J484="Yes"),1,0))</f>
        <v/>
      </c>
      <c r="G484" s="230" t="str">
        <f ca="1">IF(A484&gt;TODAY(),"",IF(N('Daily Tracking'!K484)&gt;=Settings!$B$15,1,0))</f>
        <v/>
      </c>
      <c r="H484" s="231" t="str">
        <f ca="1">IF(B484="","",AVERAGE(B484:G484))</f>
        <v/>
      </c>
      <c r="I484" s="136" t="str">
        <f ca="1">IF(B484="","",IF(B484=1,N(I483)+1,0))</f>
        <v/>
      </c>
    </row>
    <row r="485" spans="1:9" ht="18" customHeight="1" x14ac:dyDescent="0.3">
      <c r="A485" s="132">
        <f>'Daily Tracking'!A485</f>
        <v>46757</v>
      </c>
      <c r="B485" s="230" t="str">
        <f ca="1">IF(A485&gt;TODAY(),"",IF('Daily Tracking'!B485&lt;&gt;"",1,0))</f>
        <v/>
      </c>
      <c r="C485" s="230" t="str">
        <f ca="1">IF(A485&gt;TODAY(),"",IF('Daily Tracking'!E485&lt;&gt;"",1,0))</f>
        <v/>
      </c>
      <c r="D485" s="230" t="str">
        <f ca="1">IF(A485&gt;TODAY(),"",IF(N('Daily Tracking'!G485)&gt;=Settings!$B$13,1,0))</f>
        <v/>
      </c>
      <c r="E485" s="230" t="str">
        <f ca="1">IF(A485&gt;TODAY(),"",IF(N('Daily Tracking'!H485)&gt;=Settings!$B$14,1,0))</f>
        <v/>
      </c>
      <c r="F485" s="230" t="str">
        <f ca="1">IF(A485&gt;TODAY(),"",IF(OR(N('Daily Tracking'!I485)&gt;0,'Daily Tracking'!J485="Yes"),1,0))</f>
        <v/>
      </c>
      <c r="G485" s="230" t="str">
        <f ca="1">IF(A485&gt;TODAY(),"",IF(N('Daily Tracking'!K485)&gt;=Settings!$B$15,1,0))</f>
        <v/>
      </c>
      <c r="H485" s="231" t="str">
        <f ca="1">IF(B485="","",AVERAGE(B485:G485))</f>
        <v/>
      </c>
      <c r="I485" s="136" t="str">
        <f ca="1">IF(B485="","",IF(B485=1,N(I484)+1,0))</f>
        <v/>
      </c>
    </row>
    <row r="486" spans="1:9" ht="18" customHeight="1" x14ac:dyDescent="0.3">
      <c r="A486" s="132">
        <f>'Daily Tracking'!A486</f>
        <v>46758</v>
      </c>
      <c r="B486" s="230" t="str">
        <f ca="1">IF(A486&gt;TODAY(),"",IF('Daily Tracking'!B486&lt;&gt;"",1,0))</f>
        <v/>
      </c>
      <c r="C486" s="230" t="str">
        <f ca="1">IF(A486&gt;TODAY(),"",IF('Daily Tracking'!E486&lt;&gt;"",1,0))</f>
        <v/>
      </c>
      <c r="D486" s="230" t="str">
        <f ca="1">IF(A486&gt;TODAY(),"",IF(N('Daily Tracking'!G486)&gt;=Settings!$B$13,1,0))</f>
        <v/>
      </c>
      <c r="E486" s="230" t="str">
        <f ca="1">IF(A486&gt;TODAY(),"",IF(N('Daily Tracking'!H486)&gt;=Settings!$B$14,1,0))</f>
        <v/>
      </c>
      <c r="F486" s="230" t="str">
        <f ca="1">IF(A486&gt;TODAY(),"",IF(OR(N('Daily Tracking'!I486)&gt;0,'Daily Tracking'!J486="Yes"),1,0))</f>
        <v/>
      </c>
      <c r="G486" s="230" t="str">
        <f ca="1">IF(A486&gt;TODAY(),"",IF(N('Daily Tracking'!K486)&gt;=Settings!$B$15,1,0))</f>
        <v/>
      </c>
      <c r="H486" s="231" t="str">
        <f ca="1">IF(B486="","",AVERAGE(B486:G486))</f>
        <v/>
      </c>
      <c r="I486" s="136" t="str">
        <f ca="1">IF(B486="","",IF(B486=1,N(I485)+1,0))</f>
        <v/>
      </c>
    </row>
    <row r="487" spans="1:9" ht="18" customHeight="1" x14ac:dyDescent="0.3">
      <c r="A487" s="132">
        <f>'Daily Tracking'!A487</f>
        <v>46759</v>
      </c>
      <c r="B487" s="230" t="str">
        <f ca="1">IF(A487&gt;TODAY(),"",IF('Daily Tracking'!B487&lt;&gt;"",1,0))</f>
        <v/>
      </c>
      <c r="C487" s="230" t="str">
        <f ca="1">IF(A487&gt;TODAY(),"",IF('Daily Tracking'!E487&lt;&gt;"",1,0))</f>
        <v/>
      </c>
      <c r="D487" s="230" t="str">
        <f ca="1">IF(A487&gt;TODAY(),"",IF(N('Daily Tracking'!G487)&gt;=Settings!$B$13,1,0))</f>
        <v/>
      </c>
      <c r="E487" s="230" t="str">
        <f ca="1">IF(A487&gt;TODAY(),"",IF(N('Daily Tracking'!H487)&gt;=Settings!$B$14,1,0))</f>
        <v/>
      </c>
      <c r="F487" s="230" t="str">
        <f ca="1">IF(A487&gt;TODAY(),"",IF(OR(N('Daily Tracking'!I487)&gt;0,'Daily Tracking'!J487="Yes"),1,0))</f>
        <v/>
      </c>
      <c r="G487" s="230" t="str">
        <f ca="1">IF(A487&gt;TODAY(),"",IF(N('Daily Tracking'!K487)&gt;=Settings!$B$15,1,0))</f>
        <v/>
      </c>
      <c r="H487" s="231" t="str">
        <f ca="1">IF(B487="","",AVERAGE(B487:G487))</f>
        <v/>
      </c>
      <c r="I487" s="136" t="str">
        <f ca="1">IF(B487="","",IF(B487=1,N(I486)+1,0))</f>
        <v/>
      </c>
    </row>
    <row r="488" spans="1:9" ht="18" customHeight="1" x14ac:dyDescent="0.3">
      <c r="A488" s="132">
        <f>'Daily Tracking'!A488</f>
        <v>46760</v>
      </c>
      <c r="B488" s="230" t="str">
        <f ca="1">IF(A488&gt;TODAY(),"",IF('Daily Tracking'!B488&lt;&gt;"",1,0))</f>
        <v/>
      </c>
      <c r="C488" s="230" t="str">
        <f ca="1">IF(A488&gt;TODAY(),"",IF('Daily Tracking'!E488&lt;&gt;"",1,0))</f>
        <v/>
      </c>
      <c r="D488" s="230" t="str">
        <f ca="1">IF(A488&gt;TODAY(),"",IF(N('Daily Tracking'!G488)&gt;=Settings!$B$13,1,0))</f>
        <v/>
      </c>
      <c r="E488" s="230" t="str">
        <f ca="1">IF(A488&gt;TODAY(),"",IF(N('Daily Tracking'!H488)&gt;=Settings!$B$14,1,0))</f>
        <v/>
      </c>
      <c r="F488" s="230" t="str">
        <f ca="1">IF(A488&gt;TODAY(),"",IF(OR(N('Daily Tracking'!I488)&gt;0,'Daily Tracking'!J488="Yes"),1,0))</f>
        <v/>
      </c>
      <c r="G488" s="230" t="str">
        <f ca="1">IF(A488&gt;TODAY(),"",IF(N('Daily Tracking'!K488)&gt;=Settings!$B$15,1,0))</f>
        <v/>
      </c>
      <c r="H488" s="231" t="str">
        <f ca="1">IF(B488="","",AVERAGE(B488:G488))</f>
        <v/>
      </c>
      <c r="I488" s="136" t="str">
        <f ca="1">IF(B488="","",IF(B488=1,N(I487)+1,0))</f>
        <v/>
      </c>
    </row>
    <row r="489" spans="1:9" ht="18" customHeight="1" x14ac:dyDescent="0.3">
      <c r="A489" s="132">
        <f>'Daily Tracking'!A489</f>
        <v>46761</v>
      </c>
      <c r="B489" s="230" t="str">
        <f ca="1">IF(A489&gt;TODAY(),"",IF('Daily Tracking'!B489&lt;&gt;"",1,0))</f>
        <v/>
      </c>
      <c r="C489" s="230" t="str">
        <f ca="1">IF(A489&gt;TODAY(),"",IF('Daily Tracking'!E489&lt;&gt;"",1,0))</f>
        <v/>
      </c>
      <c r="D489" s="230" t="str">
        <f ca="1">IF(A489&gt;TODAY(),"",IF(N('Daily Tracking'!G489)&gt;=Settings!$B$13,1,0))</f>
        <v/>
      </c>
      <c r="E489" s="230" t="str">
        <f ca="1">IF(A489&gt;TODAY(),"",IF(N('Daily Tracking'!H489)&gt;=Settings!$B$14,1,0))</f>
        <v/>
      </c>
      <c r="F489" s="230" t="str">
        <f ca="1">IF(A489&gt;TODAY(),"",IF(OR(N('Daily Tracking'!I489)&gt;0,'Daily Tracking'!J489="Yes"),1,0))</f>
        <v/>
      </c>
      <c r="G489" s="230" t="str">
        <f ca="1">IF(A489&gt;TODAY(),"",IF(N('Daily Tracking'!K489)&gt;=Settings!$B$15,1,0))</f>
        <v/>
      </c>
      <c r="H489" s="231" t="str">
        <f ca="1">IF(B489="","",AVERAGE(B489:G489))</f>
        <v/>
      </c>
      <c r="I489" s="136" t="str">
        <f ca="1">IF(B489="","",IF(B489=1,N(I488)+1,0))</f>
        <v/>
      </c>
    </row>
    <row r="490" spans="1:9" ht="18" customHeight="1" x14ac:dyDescent="0.3">
      <c r="A490" s="132">
        <f>'Daily Tracking'!A490</f>
        <v>46762</v>
      </c>
      <c r="B490" s="230" t="str">
        <f ca="1">IF(A490&gt;TODAY(),"",IF('Daily Tracking'!B490&lt;&gt;"",1,0))</f>
        <v/>
      </c>
      <c r="C490" s="230" t="str">
        <f ca="1">IF(A490&gt;TODAY(),"",IF('Daily Tracking'!E490&lt;&gt;"",1,0))</f>
        <v/>
      </c>
      <c r="D490" s="230" t="str">
        <f ca="1">IF(A490&gt;TODAY(),"",IF(N('Daily Tracking'!G490)&gt;=Settings!$B$13,1,0))</f>
        <v/>
      </c>
      <c r="E490" s="230" t="str">
        <f ca="1">IF(A490&gt;TODAY(),"",IF(N('Daily Tracking'!H490)&gt;=Settings!$B$14,1,0))</f>
        <v/>
      </c>
      <c r="F490" s="230" t="str">
        <f ca="1">IF(A490&gt;TODAY(),"",IF(OR(N('Daily Tracking'!I490)&gt;0,'Daily Tracking'!J490="Yes"),1,0))</f>
        <v/>
      </c>
      <c r="G490" s="230" t="str">
        <f ca="1">IF(A490&gt;TODAY(),"",IF(N('Daily Tracking'!K490)&gt;=Settings!$B$15,1,0))</f>
        <v/>
      </c>
      <c r="H490" s="231" t="str">
        <f ca="1">IF(B490="","",AVERAGE(B490:G490))</f>
        <v/>
      </c>
      <c r="I490" s="136" t="str">
        <f ca="1">IF(B490="","",IF(B490=1,N(I489)+1,0))</f>
        <v/>
      </c>
    </row>
    <row r="491" spans="1:9" ht="18" customHeight="1" x14ac:dyDescent="0.3">
      <c r="A491" s="132">
        <f>'Daily Tracking'!A491</f>
        <v>46763</v>
      </c>
      <c r="B491" s="230" t="str">
        <f ca="1">IF(A491&gt;TODAY(),"",IF('Daily Tracking'!B491&lt;&gt;"",1,0))</f>
        <v/>
      </c>
      <c r="C491" s="230" t="str">
        <f ca="1">IF(A491&gt;TODAY(),"",IF('Daily Tracking'!E491&lt;&gt;"",1,0))</f>
        <v/>
      </c>
      <c r="D491" s="230" t="str">
        <f ca="1">IF(A491&gt;TODAY(),"",IF(N('Daily Tracking'!G491)&gt;=Settings!$B$13,1,0))</f>
        <v/>
      </c>
      <c r="E491" s="230" t="str">
        <f ca="1">IF(A491&gt;TODAY(),"",IF(N('Daily Tracking'!H491)&gt;=Settings!$B$14,1,0))</f>
        <v/>
      </c>
      <c r="F491" s="230" t="str">
        <f ca="1">IF(A491&gt;TODAY(),"",IF(OR(N('Daily Tracking'!I491)&gt;0,'Daily Tracking'!J491="Yes"),1,0))</f>
        <v/>
      </c>
      <c r="G491" s="230" t="str">
        <f ca="1">IF(A491&gt;TODAY(),"",IF(N('Daily Tracking'!K491)&gt;=Settings!$B$15,1,0))</f>
        <v/>
      </c>
      <c r="H491" s="231" t="str">
        <f ca="1">IF(B491="","",AVERAGE(B491:G491))</f>
        <v/>
      </c>
      <c r="I491" s="136" t="str">
        <f ca="1">IF(B491="","",IF(B491=1,N(I490)+1,0))</f>
        <v/>
      </c>
    </row>
    <row r="492" spans="1:9" ht="18" customHeight="1" x14ac:dyDescent="0.3">
      <c r="A492" s="132">
        <f>'Daily Tracking'!A492</f>
        <v>46764</v>
      </c>
      <c r="B492" s="230" t="str">
        <f ca="1">IF(A492&gt;TODAY(),"",IF('Daily Tracking'!B492&lt;&gt;"",1,0))</f>
        <v/>
      </c>
      <c r="C492" s="230" t="str">
        <f ca="1">IF(A492&gt;TODAY(),"",IF('Daily Tracking'!E492&lt;&gt;"",1,0))</f>
        <v/>
      </c>
      <c r="D492" s="230" t="str">
        <f ca="1">IF(A492&gt;TODAY(),"",IF(N('Daily Tracking'!G492)&gt;=Settings!$B$13,1,0))</f>
        <v/>
      </c>
      <c r="E492" s="230" t="str">
        <f ca="1">IF(A492&gt;TODAY(),"",IF(N('Daily Tracking'!H492)&gt;=Settings!$B$14,1,0))</f>
        <v/>
      </c>
      <c r="F492" s="230" t="str">
        <f ca="1">IF(A492&gt;TODAY(),"",IF(OR(N('Daily Tracking'!I492)&gt;0,'Daily Tracking'!J492="Yes"),1,0))</f>
        <v/>
      </c>
      <c r="G492" s="230" t="str">
        <f ca="1">IF(A492&gt;TODAY(),"",IF(N('Daily Tracking'!K492)&gt;=Settings!$B$15,1,0))</f>
        <v/>
      </c>
      <c r="H492" s="231" t="str">
        <f ca="1">IF(B492="","",AVERAGE(B492:G492))</f>
        <v/>
      </c>
      <c r="I492" s="136" t="str">
        <f ca="1">IF(B492="","",IF(B492=1,N(I491)+1,0))</f>
        <v/>
      </c>
    </row>
    <row r="493" spans="1:9" ht="18" customHeight="1" x14ac:dyDescent="0.3">
      <c r="A493" s="132">
        <f>'Daily Tracking'!A493</f>
        <v>46765</v>
      </c>
      <c r="B493" s="230" t="str">
        <f ca="1">IF(A493&gt;TODAY(),"",IF('Daily Tracking'!B493&lt;&gt;"",1,0))</f>
        <v/>
      </c>
      <c r="C493" s="230" t="str">
        <f ca="1">IF(A493&gt;TODAY(),"",IF('Daily Tracking'!E493&lt;&gt;"",1,0))</f>
        <v/>
      </c>
      <c r="D493" s="230" t="str">
        <f ca="1">IF(A493&gt;TODAY(),"",IF(N('Daily Tracking'!G493)&gt;=Settings!$B$13,1,0))</f>
        <v/>
      </c>
      <c r="E493" s="230" t="str">
        <f ca="1">IF(A493&gt;TODAY(),"",IF(N('Daily Tracking'!H493)&gt;=Settings!$B$14,1,0))</f>
        <v/>
      </c>
      <c r="F493" s="230" t="str">
        <f ca="1">IF(A493&gt;TODAY(),"",IF(OR(N('Daily Tracking'!I493)&gt;0,'Daily Tracking'!J493="Yes"),1,0))</f>
        <v/>
      </c>
      <c r="G493" s="230" t="str">
        <f ca="1">IF(A493&gt;TODAY(),"",IF(N('Daily Tracking'!K493)&gt;=Settings!$B$15,1,0))</f>
        <v/>
      </c>
      <c r="H493" s="231" t="str">
        <f ca="1">IF(B493="","",AVERAGE(B493:G493))</f>
        <v/>
      </c>
      <c r="I493" s="136" t="str">
        <f ca="1">IF(B493="","",IF(B493=1,N(I492)+1,0))</f>
        <v/>
      </c>
    </row>
    <row r="494" spans="1:9" ht="18" customHeight="1" x14ac:dyDescent="0.3">
      <c r="A494" s="132">
        <f>'Daily Tracking'!A494</f>
        <v>46766</v>
      </c>
      <c r="B494" s="230" t="str">
        <f ca="1">IF(A494&gt;TODAY(),"",IF('Daily Tracking'!B494&lt;&gt;"",1,0))</f>
        <v/>
      </c>
      <c r="C494" s="230" t="str">
        <f ca="1">IF(A494&gt;TODAY(),"",IF('Daily Tracking'!E494&lt;&gt;"",1,0))</f>
        <v/>
      </c>
      <c r="D494" s="230" t="str">
        <f ca="1">IF(A494&gt;TODAY(),"",IF(N('Daily Tracking'!G494)&gt;=Settings!$B$13,1,0))</f>
        <v/>
      </c>
      <c r="E494" s="230" t="str">
        <f ca="1">IF(A494&gt;TODAY(),"",IF(N('Daily Tracking'!H494)&gt;=Settings!$B$14,1,0))</f>
        <v/>
      </c>
      <c r="F494" s="230" t="str">
        <f ca="1">IF(A494&gt;TODAY(),"",IF(OR(N('Daily Tracking'!I494)&gt;0,'Daily Tracking'!J494="Yes"),1,0))</f>
        <v/>
      </c>
      <c r="G494" s="230" t="str">
        <f ca="1">IF(A494&gt;TODAY(),"",IF(N('Daily Tracking'!K494)&gt;=Settings!$B$15,1,0))</f>
        <v/>
      </c>
      <c r="H494" s="231" t="str">
        <f ca="1">IF(B494="","",AVERAGE(B494:G494))</f>
        <v/>
      </c>
      <c r="I494" s="136" t="str">
        <f ca="1">IF(B494="","",IF(B494=1,N(I493)+1,0))</f>
        <v/>
      </c>
    </row>
    <row r="495" spans="1:9" ht="18" customHeight="1" x14ac:dyDescent="0.3">
      <c r="A495" s="132">
        <f>'Daily Tracking'!A495</f>
        <v>46767</v>
      </c>
      <c r="B495" s="230" t="str">
        <f ca="1">IF(A495&gt;TODAY(),"",IF('Daily Tracking'!B495&lt;&gt;"",1,0))</f>
        <v/>
      </c>
      <c r="C495" s="230" t="str">
        <f ca="1">IF(A495&gt;TODAY(),"",IF('Daily Tracking'!E495&lt;&gt;"",1,0))</f>
        <v/>
      </c>
      <c r="D495" s="230" t="str">
        <f ca="1">IF(A495&gt;TODAY(),"",IF(N('Daily Tracking'!G495)&gt;=Settings!$B$13,1,0))</f>
        <v/>
      </c>
      <c r="E495" s="230" t="str">
        <f ca="1">IF(A495&gt;TODAY(),"",IF(N('Daily Tracking'!H495)&gt;=Settings!$B$14,1,0))</f>
        <v/>
      </c>
      <c r="F495" s="230" t="str">
        <f ca="1">IF(A495&gt;TODAY(),"",IF(OR(N('Daily Tracking'!I495)&gt;0,'Daily Tracking'!J495="Yes"),1,0))</f>
        <v/>
      </c>
      <c r="G495" s="230" t="str">
        <f ca="1">IF(A495&gt;TODAY(),"",IF(N('Daily Tracking'!K495)&gt;=Settings!$B$15,1,0))</f>
        <v/>
      </c>
      <c r="H495" s="231" t="str">
        <f ca="1">IF(B495="","",AVERAGE(B495:G495))</f>
        <v/>
      </c>
      <c r="I495" s="136" t="str">
        <f ca="1">IF(B495="","",IF(B495=1,N(I494)+1,0))</f>
        <v/>
      </c>
    </row>
    <row r="496" spans="1:9" ht="18" customHeight="1" x14ac:dyDescent="0.3">
      <c r="A496" s="132">
        <f>'Daily Tracking'!A496</f>
        <v>46768</v>
      </c>
      <c r="B496" s="230" t="str">
        <f ca="1">IF(A496&gt;TODAY(),"",IF('Daily Tracking'!B496&lt;&gt;"",1,0))</f>
        <v/>
      </c>
      <c r="C496" s="230" t="str">
        <f ca="1">IF(A496&gt;TODAY(),"",IF('Daily Tracking'!E496&lt;&gt;"",1,0))</f>
        <v/>
      </c>
      <c r="D496" s="230" t="str">
        <f ca="1">IF(A496&gt;TODAY(),"",IF(N('Daily Tracking'!G496)&gt;=Settings!$B$13,1,0))</f>
        <v/>
      </c>
      <c r="E496" s="230" t="str">
        <f ca="1">IF(A496&gt;TODAY(),"",IF(N('Daily Tracking'!H496)&gt;=Settings!$B$14,1,0))</f>
        <v/>
      </c>
      <c r="F496" s="230" t="str">
        <f ca="1">IF(A496&gt;TODAY(),"",IF(OR(N('Daily Tracking'!I496)&gt;0,'Daily Tracking'!J496="Yes"),1,0))</f>
        <v/>
      </c>
      <c r="G496" s="230" t="str">
        <f ca="1">IF(A496&gt;TODAY(),"",IF(N('Daily Tracking'!K496)&gt;=Settings!$B$15,1,0))</f>
        <v/>
      </c>
      <c r="H496" s="231" t="str">
        <f ca="1">IF(B496="","",AVERAGE(B496:G496))</f>
        <v/>
      </c>
      <c r="I496" s="136" t="str">
        <f ca="1">IF(B496="","",IF(B496=1,N(I495)+1,0))</f>
        <v/>
      </c>
    </row>
    <row r="497" spans="1:9" ht="18" customHeight="1" x14ac:dyDescent="0.3">
      <c r="A497" s="132">
        <f>'Daily Tracking'!A497</f>
        <v>46769</v>
      </c>
      <c r="B497" s="230" t="str">
        <f ca="1">IF(A497&gt;TODAY(),"",IF('Daily Tracking'!B497&lt;&gt;"",1,0))</f>
        <v/>
      </c>
      <c r="C497" s="230" t="str">
        <f ca="1">IF(A497&gt;TODAY(),"",IF('Daily Tracking'!E497&lt;&gt;"",1,0))</f>
        <v/>
      </c>
      <c r="D497" s="230" t="str">
        <f ca="1">IF(A497&gt;TODAY(),"",IF(N('Daily Tracking'!G497)&gt;=Settings!$B$13,1,0))</f>
        <v/>
      </c>
      <c r="E497" s="230" t="str">
        <f ca="1">IF(A497&gt;TODAY(),"",IF(N('Daily Tracking'!H497)&gt;=Settings!$B$14,1,0))</f>
        <v/>
      </c>
      <c r="F497" s="230" t="str">
        <f ca="1">IF(A497&gt;TODAY(),"",IF(OR(N('Daily Tracking'!I497)&gt;0,'Daily Tracking'!J497="Yes"),1,0))</f>
        <v/>
      </c>
      <c r="G497" s="230" t="str">
        <f ca="1">IF(A497&gt;TODAY(),"",IF(N('Daily Tracking'!K497)&gt;=Settings!$B$15,1,0))</f>
        <v/>
      </c>
      <c r="H497" s="231" t="str">
        <f ca="1">IF(B497="","",AVERAGE(B497:G497))</f>
        <v/>
      </c>
      <c r="I497" s="136" t="str">
        <f ca="1">IF(B497="","",IF(B497=1,N(I496)+1,0))</f>
        <v/>
      </c>
    </row>
    <row r="498" spans="1:9" ht="18" customHeight="1" x14ac:dyDescent="0.3">
      <c r="A498" s="132">
        <f>'Daily Tracking'!A498</f>
        <v>46770</v>
      </c>
      <c r="B498" s="230" t="str">
        <f ca="1">IF(A498&gt;TODAY(),"",IF('Daily Tracking'!B498&lt;&gt;"",1,0))</f>
        <v/>
      </c>
      <c r="C498" s="230" t="str">
        <f ca="1">IF(A498&gt;TODAY(),"",IF('Daily Tracking'!E498&lt;&gt;"",1,0))</f>
        <v/>
      </c>
      <c r="D498" s="230" t="str">
        <f ca="1">IF(A498&gt;TODAY(),"",IF(N('Daily Tracking'!G498)&gt;=Settings!$B$13,1,0))</f>
        <v/>
      </c>
      <c r="E498" s="230" t="str">
        <f ca="1">IF(A498&gt;TODAY(),"",IF(N('Daily Tracking'!H498)&gt;=Settings!$B$14,1,0))</f>
        <v/>
      </c>
      <c r="F498" s="230" t="str">
        <f ca="1">IF(A498&gt;TODAY(),"",IF(OR(N('Daily Tracking'!I498)&gt;0,'Daily Tracking'!J498="Yes"),1,0))</f>
        <v/>
      </c>
      <c r="G498" s="230" t="str">
        <f ca="1">IF(A498&gt;TODAY(),"",IF(N('Daily Tracking'!K498)&gt;=Settings!$B$15,1,0))</f>
        <v/>
      </c>
      <c r="H498" s="231" t="str">
        <f ca="1">IF(B498="","",AVERAGE(B498:G498))</f>
        <v/>
      </c>
      <c r="I498" s="136" t="str">
        <f ca="1">IF(B498="","",IF(B498=1,N(I497)+1,0))</f>
        <v/>
      </c>
    </row>
    <row r="499" spans="1:9" ht="18" customHeight="1" x14ac:dyDescent="0.3">
      <c r="A499" s="132">
        <f>'Daily Tracking'!A499</f>
        <v>46771</v>
      </c>
      <c r="B499" s="230" t="str">
        <f ca="1">IF(A499&gt;TODAY(),"",IF('Daily Tracking'!B499&lt;&gt;"",1,0))</f>
        <v/>
      </c>
      <c r="C499" s="230" t="str">
        <f ca="1">IF(A499&gt;TODAY(),"",IF('Daily Tracking'!E499&lt;&gt;"",1,0))</f>
        <v/>
      </c>
      <c r="D499" s="230" t="str">
        <f ca="1">IF(A499&gt;TODAY(),"",IF(N('Daily Tracking'!G499)&gt;=Settings!$B$13,1,0))</f>
        <v/>
      </c>
      <c r="E499" s="230" t="str">
        <f ca="1">IF(A499&gt;TODAY(),"",IF(N('Daily Tracking'!H499)&gt;=Settings!$B$14,1,0))</f>
        <v/>
      </c>
      <c r="F499" s="230" t="str">
        <f ca="1">IF(A499&gt;TODAY(),"",IF(OR(N('Daily Tracking'!I499)&gt;0,'Daily Tracking'!J499="Yes"),1,0))</f>
        <v/>
      </c>
      <c r="G499" s="230" t="str">
        <f ca="1">IF(A499&gt;TODAY(),"",IF(N('Daily Tracking'!K499)&gt;=Settings!$B$15,1,0))</f>
        <v/>
      </c>
      <c r="H499" s="231" t="str">
        <f ca="1">IF(B499="","",AVERAGE(B499:G499))</f>
        <v/>
      </c>
      <c r="I499" s="136" t="str">
        <f ca="1">IF(B499="","",IF(B499=1,N(I498)+1,0))</f>
        <v/>
      </c>
    </row>
    <row r="500" spans="1:9" ht="18" customHeight="1" x14ac:dyDescent="0.3">
      <c r="A500" s="132">
        <f>'Daily Tracking'!A500</f>
        <v>46772</v>
      </c>
      <c r="B500" s="230" t="str">
        <f ca="1">IF(A500&gt;TODAY(),"",IF('Daily Tracking'!B500&lt;&gt;"",1,0))</f>
        <v/>
      </c>
      <c r="C500" s="230" t="str">
        <f ca="1">IF(A500&gt;TODAY(),"",IF('Daily Tracking'!E500&lt;&gt;"",1,0))</f>
        <v/>
      </c>
      <c r="D500" s="230" t="str">
        <f ca="1">IF(A500&gt;TODAY(),"",IF(N('Daily Tracking'!G500)&gt;=Settings!$B$13,1,0))</f>
        <v/>
      </c>
      <c r="E500" s="230" t="str">
        <f ca="1">IF(A500&gt;TODAY(),"",IF(N('Daily Tracking'!H500)&gt;=Settings!$B$14,1,0))</f>
        <v/>
      </c>
      <c r="F500" s="230" t="str">
        <f ca="1">IF(A500&gt;TODAY(),"",IF(OR(N('Daily Tracking'!I500)&gt;0,'Daily Tracking'!J500="Yes"),1,0))</f>
        <v/>
      </c>
      <c r="G500" s="230" t="str">
        <f ca="1">IF(A500&gt;TODAY(),"",IF(N('Daily Tracking'!K500)&gt;=Settings!$B$15,1,0))</f>
        <v/>
      </c>
      <c r="H500" s="231" t="str">
        <f ca="1">IF(B500="","",AVERAGE(B500:G500))</f>
        <v/>
      </c>
      <c r="I500" s="136" t="str">
        <f ca="1">IF(B500="","",IF(B500=1,N(I499)+1,0))</f>
        <v/>
      </c>
    </row>
    <row r="501" spans="1:9" ht="18" customHeight="1" x14ac:dyDescent="0.3">
      <c r="A501" s="132">
        <f>'Daily Tracking'!A501</f>
        <v>46773</v>
      </c>
      <c r="B501" s="230" t="str">
        <f ca="1">IF(A501&gt;TODAY(),"",IF('Daily Tracking'!B501&lt;&gt;"",1,0))</f>
        <v/>
      </c>
      <c r="C501" s="230" t="str">
        <f ca="1">IF(A501&gt;TODAY(),"",IF('Daily Tracking'!E501&lt;&gt;"",1,0))</f>
        <v/>
      </c>
      <c r="D501" s="230" t="str">
        <f ca="1">IF(A501&gt;TODAY(),"",IF(N('Daily Tracking'!G501)&gt;=Settings!$B$13,1,0))</f>
        <v/>
      </c>
      <c r="E501" s="230" t="str">
        <f ca="1">IF(A501&gt;TODAY(),"",IF(N('Daily Tracking'!H501)&gt;=Settings!$B$14,1,0))</f>
        <v/>
      </c>
      <c r="F501" s="230" t="str">
        <f ca="1">IF(A501&gt;TODAY(),"",IF(OR(N('Daily Tracking'!I501)&gt;0,'Daily Tracking'!J501="Yes"),1,0))</f>
        <v/>
      </c>
      <c r="G501" s="230" t="str">
        <f ca="1">IF(A501&gt;TODAY(),"",IF(N('Daily Tracking'!K501)&gt;=Settings!$B$15,1,0))</f>
        <v/>
      </c>
      <c r="H501" s="231" t="str">
        <f ca="1">IF(B501="","",AVERAGE(B501:G501))</f>
        <v/>
      </c>
      <c r="I501" s="136" t="str">
        <f ca="1">IF(B501="","",IF(B501=1,N(I500)+1,0))</f>
        <v/>
      </c>
    </row>
    <row r="502" spans="1:9" ht="18" customHeight="1" x14ac:dyDescent="0.3">
      <c r="A502" s="132">
        <f>'Daily Tracking'!A502</f>
        <v>46774</v>
      </c>
      <c r="B502" s="230" t="str">
        <f ca="1">IF(A502&gt;TODAY(),"",IF('Daily Tracking'!B502&lt;&gt;"",1,0))</f>
        <v/>
      </c>
      <c r="C502" s="230" t="str">
        <f ca="1">IF(A502&gt;TODAY(),"",IF('Daily Tracking'!E502&lt;&gt;"",1,0))</f>
        <v/>
      </c>
      <c r="D502" s="230" t="str">
        <f ca="1">IF(A502&gt;TODAY(),"",IF(N('Daily Tracking'!G502)&gt;=Settings!$B$13,1,0))</f>
        <v/>
      </c>
      <c r="E502" s="230" t="str">
        <f ca="1">IF(A502&gt;TODAY(),"",IF(N('Daily Tracking'!H502)&gt;=Settings!$B$14,1,0))</f>
        <v/>
      </c>
      <c r="F502" s="230" t="str">
        <f ca="1">IF(A502&gt;TODAY(),"",IF(OR(N('Daily Tracking'!I502)&gt;0,'Daily Tracking'!J502="Yes"),1,0))</f>
        <v/>
      </c>
      <c r="G502" s="230" t="str">
        <f ca="1">IF(A502&gt;TODAY(),"",IF(N('Daily Tracking'!K502)&gt;=Settings!$B$15,1,0))</f>
        <v/>
      </c>
      <c r="H502" s="231" t="str">
        <f ca="1">IF(B502="","",AVERAGE(B502:G502))</f>
        <v/>
      </c>
      <c r="I502" s="136" t="str">
        <f ca="1">IF(B502="","",IF(B502=1,N(I501)+1,0))</f>
        <v/>
      </c>
    </row>
    <row r="503" spans="1:9" ht="18" customHeight="1" x14ac:dyDescent="0.3">
      <c r="A503" s="132">
        <f>'Daily Tracking'!A503</f>
        <v>46775</v>
      </c>
      <c r="B503" s="230" t="str">
        <f ca="1">IF(A503&gt;TODAY(),"",IF('Daily Tracking'!B503&lt;&gt;"",1,0))</f>
        <v/>
      </c>
      <c r="C503" s="230" t="str">
        <f ca="1">IF(A503&gt;TODAY(),"",IF('Daily Tracking'!E503&lt;&gt;"",1,0))</f>
        <v/>
      </c>
      <c r="D503" s="230" t="str">
        <f ca="1">IF(A503&gt;TODAY(),"",IF(N('Daily Tracking'!G503)&gt;=Settings!$B$13,1,0))</f>
        <v/>
      </c>
      <c r="E503" s="230" t="str">
        <f ca="1">IF(A503&gt;TODAY(),"",IF(N('Daily Tracking'!H503)&gt;=Settings!$B$14,1,0))</f>
        <v/>
      </c>
      <c r="F503" s="230" t="str">
        <f ca="1">IF(A503&gt;TODAY(),"",IF(OR(N('Daily Tracking'!I503)&gt;0,'Daily Tracking'!J503="Yes"),1,0))</f>
        <v/>
      </c>
      <c r="G503" s="230" t="str">
        <f ca="1">IF(A503&gt;TODAY(),"",IF(N('Daily Tracking'!K503)&gt;=Settings!$B$15,1,0))</f>
        <v/>
      </c>
      <c r="H503" s="231" t="str">
        <f ca="1">IF(B503="","",AVERAGE(B503:G503))</f>
        <v/>
      </c>
      <c r="I503" s="136" t="str">
        <f ca="1">IF(B503="","",IF(B503=1,N(I502)+1,0))</f>
        <v/>
      </c>
    </row>
    <row r="504" spans="1:9" ht="18" customHeight="1" x14ac:dyDescent="0.3">
      <c r="A504" s="132">
        <f>'Daily Tracking'!A504</f>
        <v>46776</v>
      </c>
      <c r="B504" s="230" t="str">
        <f ca="1">IF(A504&gt;TODAY(),"",IF('Daily Tracking'!B504&lt;&gt;"",1,0))</f>
        <v/>
      </c>
      <c r="C504" s="230" t="str">
        <f ca="1">IF(A504&gt;TODAY(),"",IF('Daily Tracking'!E504&lt;&gt;"",1,0))</f>
        <v/>
      </c>
      <c r="D504" s="230" t="str">
        <f ca="1">IF(A504&gt;TODAY(),"",IF(N('Daily Tracking'!G504)&gt;=Settings!$B$13,1,0))</f>
        <v/>
      </c>
      <c r="E504" s="230" t="str">
        <f ca="1">IF(A504&gt;TODAY(),"",IF(N('Daily Tracking'!H504)&gt;=Settings!$B$14,1,0))</f>
        <v/>
      </c>
      <c r="F504" s="230" t="str">
        <f ca="1">IF(A504&gt;TODAY(),"",IF(OR(N('Daily Tracking'!I504)&gt;0,'Daily Tracking'!J504="Yes"),1,0))</f>
        <v/>
      </c>
      <c r="G504" s="230" t="str">
        <f ca="1">IF(A504&gt;TODAY(),"",IF(N('Daily Tracking'!K504)&gt;=Settings!$B$15,1,0))</f>
        <v/>
      </c>
      <c r="H504" s="231" t="str">
        <f ca="1">IF(B504="","",AVERAGE(B504:G504))</f>
        <v/>
      </c>
      <c r="I504" s="136" t="str">
        <f ca="1">IF(B504="","",IF(B504=1,N(I503)+1,0))</f>
        <v/>
      </c>
    </row>
    <row r="505" spans="1:9" ht="18" customHeight="1" x14ac:dyDescent="0.3">
      <c r="A505" s="132">
        <f>'Daily Tracking'!A505</f>
        <v>46777</v>
      </c>
      <c r="B505" s="230" t="str">
        <f ca="1">IF(A505&gt;TODAY(),"",IF('Daily Tracking'!B505&lt;&gt;"",1,0))</f>
        <v/>
      </c>
      <c r="C505" s="230" t="str">
        <f ca="1">IF(A505&gt;TODAY(),"",IF('Daily Tracking'!E505&lt;&gt;"",1,0))</f>
        <v/>
      </c>
      <c r="D505" s="230" t="str">
        <f ca="1">IF(A505&gt;TODAY(),"",IF(N('Daily Tracking'!G505)&gt;=Settings!$B$13,1,0))</f>
        <v/>
      </c>
      <c r="E505" s="230" t="str">
        <f ca="1">IF(A505&gt;TODAY(),"",IF(N('Daily Tracking'!H505)&gt;=Settings!$B$14,1,0))</f>
        <v/>
      </c>
      <c r="F505" s="230" t="str">
        <f ca="1">IF(A505&gt;TODAY(),"",IF(OR(N('Daily Tracking'!I505)&gt;0,'Daily Tracking'!J505="Yes"),1,0))</f>
        <v/>
      </c>
      <c r="G505" s="230" t="str">
        <f ca="1">IF(A505&gt;TODAY(),"",IF(N('Daily Tracking'!K505)&gt;=Settings!$B$15,1,0))</f>
        <v/>
      </c>
      <c r="H505" s="231" t="str">
        <f ca="1">IF(B505="","",AVERAGE(B505:G505))</f>
        <v/>
      </c>
      <c r="I505" s="136" t="str">
        <f ca="1">IF(B505="","",IF(B505=1,N(I504)+1,0))</f>
        <v/>
      </c>
    </row>
    <row r="506" spans="1:9" ht="18" customHeight="1" x14ac:dyDescent="0.3">
      <c r="A506" s="132">
        <f>'Daily Tracking'!A506</f>
        <v>46778</v>
      </c>
      <c r="B506" s="230" t="str">
        <f ca="1">IF(A506&gt;TODAY(),"",IF('Daily Tracking'!B506&lt;&gt;"",1,0))</f>
        <v/>
      </c>
      <c r="C506" s="230" t="str">
        <f ca="1">IF(A506&gt;TODAY(),"",IF('Daily Tracking'!E506&lt;&gt;"",1,0))</f>
        <v/>
      </c>
      <c r="D506" s="230" t="str">
        <f ca="1">IF(A506&gt;TODAY(),"",IF(N('Daily Tracking'!G506)&gt;=Settings!$B$13,1,0))</f>
        <v/>
      </c>
      <c r="E506" s="230" t="str">
        <f ca="1">IF(A506&gt;TODAY(),"",IF(N('Daily Tracking'!H506)&gt;=Settings!$B$14,1,0))</f>
        <v/>
      </c>
      <c r="F506" s="230" t="str">
        <f ca="1">IF(A506&gt;TODAY(),"",IF(OR(N('Daily Tracking'!I506)&gt;0,'Daily Tracking'!J506="Yes"),1,0))</f>
        <v/>
      </c>
      <c r="G506" s="230" t="str">
        <f ca="1">IF(A506&gt;TODAY(),"",IF(N('Daily Tracking'!K506)&gt;=Settings!$B$15,1,0))</f>
        <v/>
      </c>
      <c r="H506" s="231" t="str">
        <f ca="1">IF(B506="","",AVERAGE(B506:G506))</f>
        <v/>
      </c>
      <c r="I506" s="136" t="str">
        <f ca="1">IF(B506="","",IF(B506=1,N(I505)+1,0))</f>
        <v/>
      </c>
    </row>
    <row r="507" spans="1:9" ht="18" customHeight="1" x14ac:dyDescent="0.3">
      <c r="A507" s="132">
        <f>'Daily Tracking'!A507</f>
        <v>46779</v>
      </c>
      <c r="B507" s="230" t="str">
        <f ca="1">IF(A507&gt;TODAY(),"",IF('Daily Tracking'!B507&lt;&gt;"",1,0))</f>
        <v/>
      </c>
      <c r="C507" s="230" t="str">
        <f ca="1">IF(A507&gt;TODAY(),"",IF('Daily Tracking'!E507&lt;&gt;"",1,0))</f>
        <v/>
      </c>
      <c r="D507" s="230" t="str">
        <f ca="1">IF(A507&gt;TODAY(),"",IF(N('Daily Tracking'!G507)&gt;=Settings!$B$13,1,0))</f>
        <v/>
      </c>
      <c r="E507" s="230" t="str">
        <f ca="1">IF(A507&gt;TODAY(),"",IF(N('Daily Tracking'!H507)&gt;=Settings!$B$14,1,0))</f>
        <v/>
      </c>
      <c r="F507" s="230" t="str">
        <f ca="1">IF(A507&gt;TODAY(),"",IF(OR(N('Daily Tracking'!I507)&gt;0,'Daily Tracking'!J507="Yes"),1,0))</f>
        <v/>
      </c>
      <c r="G507" s="230" t="str">
        <f ca="1">IF(A507&gt;TODAY(),"",IF(N('Daily Tracking'!K507)&gt;=Settings!$B$15,1,0))</f>
        <v/>
      </c>
      <c r="H507" s="231" t="str">
        <f ca="1">IF(B507="","",AVERAGE(B507:G507))</f>
        <v/>
      </c>
      <c r="I507" s="136" t="str">
        <f ca="1">IF(B507="","",IF(B507=1,N(I506)+1,0))</f>
        <v/>
      </c>
    </row>
    <row r="508" spans="1:9" ht="18" customHeight="1" x14ac:dyDescent="0.3">
      <c r="A508" s="132">
        <f>'Daily Tracking'!A508</f>
        <v>46780</v>
      </c>
      <c r="B508" s="230" t="str">
        <f ca="1">IF(A508&gt;TODAY(),"",IF('Daily Tracking'!B508&lt;&gt;"",1,0))</f>
        <v/>
      </c>
      <c r="C508" s="230" t="str">
        <f ca="1">IF(A508&gt;TODAY(),"",IF('Daily Tracking'!E508&lt;&gt;"",1,0))</f>
        <v/>
      </c>
      <c r="D508" s="230" t="str">
        <f ca="1">IF(A508&gt;TODAY(),"",IF(N('Daily Tracking'!G508)&gt;=Settings!$B$13,1,0))</f>
        <v/>
      </c>
      <c r="E508" s="230" t="str">
        <f ca="1">IF(A508&gt;TODAY(),"",IF(N('Daily Tracking'!H508)&gt;=Settings!$B$14,1,0))</f>
        <v/>
      </c>
      <c r="F508" s="230" t="str">
        <f ca="1">IF(A508&gt;TODAY(),"",IF(OR(N('Daily Tracking'!I508)&gt;0,'Daily Tracking'!J508="Yes"),1,0))</f>
        <v/>
      </c>
      <c r="G508" s="230" t="str">
        <f ca="1">IF(A508&gt;TODAY(),"",IF(N('Daily Tracking'!K508)&gt;=Settings!$B$15,1,0))</f>
        <v/>
      </c>
      <c r="H508" s="231" t="str">
        <f ca="1">IF(B508="","",AVERAGE(B508:G508))</f>
        <v/>
      </c>
      <c r="I508" s="136" t="str">
        <f ca="1">IF(B508="","",IF(B508=1,N(I507)+1,0))</f>
        <v/>
      </c>
    </row>
    <row r="509" spans="1:9" ht="18" customHeight="1" x14ac:dyDescent="0.3">
      <c r="A509" s="132">
        <f>'Daily Tracking'!A509</f>
        <v>46781</v>
      </c>
      <c r="B509" s="230" t="str">
        <f ca="1">IF(A509&gt;TODAY(),"",IF('Daily Tracking'!B509&lt;&gt;"",1,0))</f>
        <v/>
      </c>
      <c r="C509" s="230" t="str">
        <f ca="1">IF(A509&gt;TODAY(),"",IF('Daily Tracking'!E509&lt;&gt;"",1,0))</f>
        <v/>
      </c>
      <c r="D509" s="230" t="str">
        <f ca="1">IF(A509&gt;TODAY(),"",IF(N('Daily Tracking'!G509)&gt;=Settings!$B$13,1,0))</f>
        <v/>
      </c>
      <c r="E509" s="230" t="str">
        <f ca="1">IF(A509&gt;TODAY(),"",IF(N('Daily Tracking'!H509)&gt;=Settings!$B$14,1,0))</f>
        <v/>
      </c>
      <c r="F509" s="230" t="str">
        <f ca="1">IF(A509&gt;TODAY(),"",IF(OR(N('Daily Tracking'!I509)&gt;0,'Daily Tracking'!J509="Yes"),1,0))</f>
        <v/>
      </c>
      <c r="G509" s="230" t="str">
        <f ca="1">IF(A509&gt;TODAY(),"",IF(N('Daily Tracking'!K509)&gt;=Settings!$B$15,1,0))</f>
        <v/>
      </c>
      <c r="H509" s="231" t="str">
        <f ca="1">IF(B509="","",AVERAGE(B509:G509))</f>
        <v/>
      </c>
      <c r="I509" s="136" t="str">
        <f ca="1">IF(B509="","",IF(B509=1,N(I508)+1,0))</f>
        <v/>
      </c>
    </row>
    <row r="510" spans="1:9" ht="18" customHeight="1" x14ac:dyDescent="0.3">
      <c r="A510" s="132">
        <f>'Daily Tracking'!A510</f>
        <v>46782</v>
      </c>
      <c r="B510" s="230" t="str">
        <f ca="1">IF(A510&gt;TODAY(),"",IF('Daily Tracking'!B510&lt;&gt;"",1,0))</f>
        <v/>
      </c>
      <c r="C510" s="230" t="str">
        <f ca="1">IF(A510&gt;TODAY(),"",IF('Daily Tracking'!E510&lt;&gt;"",1,0))</f>
        <v/>
      </c>
      <c r="D510" s="230" t="str">
        <f ca="1">IF(A510&gt;TODAY(),"",IF(N('Daily Tracking'!G510)&gt;=Settings!$B$13,1,0))</f>
        <v/>
      </c>
      <c r="E510" s="230" t="str">
        <f ca="1">IF(A510&gt;TODAY(),"",IF(N('Daily Tracking'!H510)&gt;=Settings!$B$14,1,0))</f>
        <v/>
      </c>
      <c r="F510" s="230" t="str">
        <f ca="1">IF(A510&gt;TODAY(),"",IF(OR(N('Daily Tracking'!I510)&gt;0,'Daily Tracking'!J510="Yes"),1,0))</f>
        <v/>
      </c>
      <c r="G510" s="230" t="str">
        <f ca="1">IF(A510&gt;TODAY(),"",IF(N('Daily Tracking'!K510)&gt;=Settings!$B$15,1,0))</f>
        <v/>
      </c>
      <c r="H510" s="231" t="str">
        <f ca="1">IF(B510="","",AVERAGE(B510:G510))</f>
        <v/>
      </c>
      <c r="I510" s="136" t="str">
        <f ca="1">IF(B510="","",IF(B510=1,N(I509)+1,0))</f>
        <v/>
      </c>
    </row>
    <row r="511" spans="1:9" ht="18" customHeight="1" x14ac:dyDescent="0.3">
      <c r="A511" s="132">
        <f>'Daily Tracking'!A511</f>
        <v>46783</v>
      </c>
      <c r="B511" s="230" t="str">
        <f ca="1">IF(A511&gt;TODAY(),"",IF('Daily Tracking'!B511&lt;&gt;"",1,0))</f>
        <v/>
      </c>
      <c r="C511" s="230" t="str">
        <f ca="1">IF(A511&gt;TODAY(),"",IF('Daily Tracking'!E511&lt;&gt;"",1,0))</f>
        <v/>
      </c>
      <c r="D511" s="230" t="str">
        <f ca="1">IF(A511&gt;TODAY(),"",IF(N('Daily Tracking'!G511)&gt;=Settings!$B$13,1,0))</f>
        <v/>
      </c>
      <c r="E511" s="230" t="str">
        <f ca="1">IF(A511&gt;TODAY(),"",IF(N('Daily Tracking'!H511)&gt;=Settings!$B$14,1,0))</f>
        <v/>
      </c>
      <c r="F511" s="230" t="str">
        <f ca="1">IF(A511&gt;TODAY(),"",IF(OR(N('Daily Tracking'!I511)&gt;0,'Daily Tracking'!J511="Yes"),1,0))</f>
        <v/>
      </c>
      <c r="G511" s="230" t="str">
        <f ca="1">IF(A511&gt;TODAY(),"",IF(N('Daily Tracking'!K511)&gt;=Settings!$B$15,1,0))</f>
        <v/>
      </c>
      <c r="H511" s="231" t="str">
        <f ca="1">IF(B511="","",AVERAGE(B511:G511))</f>
        <v/>
      </c>
      <c r="I511" s="136" t="str">
        <f ca="1">IF(B511="","",IF(B511=1,N(I510)+1,0))</f>
        <v/>
      </c>
    </row>
    <row r="512" spans="1:9" ht="18" customHeight="1" x14ac:dyDescent="0.3">
      <c r="A512" s="132">
        <f>'Daily Tracking'!A512</f>
        <v>46784</v>
      </c>
      <c r="B512" s="230" t="str">
        <f ca="1">IF(A512&gt;TODAY(),"",IF('Daily Tracking'!B512&lt;&gt;"",1,0))</f>
        <v/>
      </c>
      <c r="C512" s="230" t="str">
        <f ca="1">IF(A512&gt;TODAY(),"",IF('Daily Tracking'!E512&lt;&gt;"",1,0))</f>
        <v/>
      </c>
      <c r="D512" s="230" t="str">
        <f ca="1">IF(A512&gt;TODAY(),"",IF(N('Daily Tracking'!G512)&gt;=Settings!$B$13,1,0))</f>
        <v/>
      </c>
      <c r="E512" s="230" t="str">
        <f ca="1">IF(A512&gt;TODAY(),"",IF(N('Daily Tracking'!H512)&gt;=Settings!$B$14,1,0))</f>
        <v/>
      </c>
      <c r="F512" s="230" t="str">
        <f ca="1">IF(A512&gt;TODAY(),"",IF(OR(N('Daily Tracking'!I512)&gt;0,'Daily Tracking'!J512="Yes"),1,0))</f>
        <v/>
      </c>
      <c r="G512" s="230" t="str">
        <f ca="1">IF(A512&gt;TODAY(),"",IF(N('Daily Tracking'!K512)&gt;=Settings!$B$15,1,0))</f>
        <v/>
      </c>
      <c r="H512" s="231" t="str">
        <f ca="1">IF(B512="","",AVERAGE(B512:G512))</f>
        <v/>
      </c>
      <c r="I512" s="136" t="str">
        <f ca="1">IF(B512="","",IF(B512=1,N(I511)+1,0))</f>
        <v/>
      </c>
    </row>
    <row r="513" spans="1:9" ht="18" customHeight="1" x14ac:dyDescent="0.3">
      <c r="A513" s="132">
        <f>'Daily Tracking'!A513</f>
        <v>46785</v>
      </c>
      <c r="B513" s="230" t="str">
        <f ca="1">IF(A513&gt;TODAY(),"",IF('Daily Tracking'!B513&lt;&gt;"",1,0))</f>
        <v/>
      </c>
      <c r="C513" s="230" t="str">
        <f ca="1">IF(A513&gt;TODAY(),"",IF('Daily Tracking'!E513&lt;&gt;"",1,0))</f>
        <v/>
      </c>
      <c r="D513" s="230" t="str">
        <f ca="1">IF(A513&gt;TODAY(),"",IF(N('Daily Tracking'!G513)&gt;=Settings!$B$13,1,0))</f>
        <v/>
      </c>
      <c r="E513" s="230" t="str">
        <f ca="1">IF(A513&gt;TODAY(),"",IF(N('Daily Tracking'!H513)&gt;=Settings!$B$14,1,0))</f>
        <v/>
      </c>
      <c r="F513" s="230" t="str">
        <f ca="1">IF(A513&gt;TODAY(),"",IF(OR(N('Daily Tracking'!I513)&gt;0,'Daily Tracking'!J513="Yes"),1,0))</f>
        <v/>
      </c>
      <c r="G513" s="230" t="str">
        <f ca="1">IF(A513&gt;TODAY(),"",IF(N('Daily Tracking'!K513)&gt;=Settings!$B$15,1,0))</f>
        <v/>
      </c>
      <c r="H513" s="231" t="str">
        <f ca="1">IF(B513="","",AVERAGE(B513:G513))</f>
        <v/>
      </c>
      <c r="I513" s="136" t="str">
        <f ca="1">IF(B513="","",IF(B513=1,N(I512)+1,0))</f>
        <v/>
      </c>
    </row>
    <row r="514" spans="1:9" ht="18" customHeight="1" x14ac:dyDescent="0.3">
      <c r="A514" s="132">
        <f>'Daily Tracking'!A514</f>
        <v>46786</v>
      </c>
      <c r="B514" s="230" t="str">
        <f ca="1">IF(A514&gt;TODAY(),"",IF('Daily Tracking'!B514&lt;&gt;"",1,0))</f>
        <v/>
      </c>
      <c r="C514" s="230" t="str">
        <f ca="1">IF(A514&gt;TODAY(),"",IF('Daily Tracking'!E514&lt;&gt;"",1,0))</f>
        <v/>
      </c>
      <c r="D514" s="230" t="str">
        <f ca="1">IF(A514&gt;TODAY(),"",IF(N('Daily Tracking'!G514)&gt;=Settings!$B$13,1,0))</f>
        <v/>
      </c>
      <c r="E514" s="230" t="str">
        <f ca="1">IF(A514&gt;TODAY(),"",IF(N('Daily Tracking'!H514)&gt;=Settings!$B$14,1,0))</f>
        <v/>
      </c>
      <c r="F514" s="230" t="str">
        <f ca="1">IF(A514&gt;TODAY(),"",IF(OR(N('Daily Tracking'!I514)&gt;0,'Daily Tracking'!J514="Yes"),1,0))</f>
        <v/>
      </c>
      <c r="G514" s="230" t="str">
        <f ca="1">IF(A514&gt;TODAY(),"",IF(N('Daily Tracking'!K514)&gt;=Settings!$B$15,1,0))</f>
        <v/>
      </c>
      <c r="H514" s="231" t="str">
        <f ca="1">IF(B514="","",AVERAGE(B514:G514))</f>
        <v/>
      </c>
      <c r="I514" s="136" t="str">
        <f ca="1">IF(B514="","",IF(B514=1,N(I513)+1,0))</f>
        <v/>
      </c>
    </row>
    <row r="515" spans="1:9" ht="18" customHeight="1" x14ac:dyDescent="0.3">
      <c r="A515" s="132">
        <f>'Daily Tracking'!A515</f>
        <v>46787</v>
      </c>
      <c r="B515" s="230" t="str">
        <f ca="1">IF(A515&gt;TODAY(),"",IF('Daily Tracking'!B515&lt;&gt;"",1,0))</f>
        <v/>
      </c>
      <c r="C515" s="230" t="str">
        <f ca="1">IF(A515&gt;TODAY(),"",IF('Daily Tracking'!E515&lt;&gt;"",1,0))</f>
        <v/>
      </c>
      <c r="D515" s="230" t="str">
        <f ca="1">IF(A515&gt;TODAY(),"",IF(N('Daily Tracking'!G515)&gt;=Settings!$B$13,1,0))</f>
        <v/>
      </c>
      <c r="E515" s="230" t="str">
        <f ca="1">IF(A515&gt;TODAY(),"",IF(N('Daily Tracking'!H515)&gt;=Settings!$B$14,1,0))</f>
        <v/>
      </c>
      <c r="F515" s="230" t="str">
        <f ca="1">IF(A515&gt;TODAY(),"",IF(OR(N('Daily Tracking'!I515)&gt;0,'Daily Tracking'!J515="Yes"),1,0))</f>
        <v/>
      </c>
      <c r="G515" s="230" t="str">
        <f ca="1">IF(A515&gt;TODAY(),"",IF(N('Daily Tracking'!K515)&gt;=Settings!$B$15,1,0))</f>
        <v/>
      </c>
      <c r="H515" s="231" t="str">
        <f ca="1">IF(B515="","",AVERAGE(B515:G515))</f>
        <v/>
      </c>
      <c r="I515" s="136" t="str">
        <f ca="1">IF(B515="","",IF(B515=1,N(I514)+1,0))</f>
        <v/>
      </c>
    </row>
    <row r="516" spans="1:9" ht="18" customHeight="1" x14ac:dyDescent="0.3">
      <c r="A516" s="132">
        <f>'Daily Tracking'!A516</f>
        <v>46788</v>
      </c>
      <c r="B516" s="230" t="str">
        <f ca="1">IF(A516&gt;TODAY(),"",IF('Daily Tracking'!B516&lt;&gt;"",1,0))</f>
        <v/>
      </c>
      <c r="C516" s="230" t="str">
        <f ca="1">IF(A516&gt;TODAY(),"",IF('Daily Tracking'!E516&lt;&gt;"",1,0))</f>
        <v/>
      </c>
      <c r="D516" s="230" t="str">
        <f ca="1">IF(A516&gt;TODAY(),"",IF(N('Daily Tracking'!G516)&gt;=Settings!$B$13,1,0))</f>
        <v/>
      </c>
      <c r="E516" s="230" t="str">
        <f ca="1">IF(A516&gt;TODAY(),"",IF(N('Daily Tracking'!H516)&gt;=Settings!$B$14,1,0))</f>
        <v/>
      </c>
      <c r="F516" s="230" t="str">
        <f ca="1">IF(A516&gt;TODAY(),"",IF(OR(N('Daily Tracking'!I516)&gt;0,'Daily Tracking'!J516="Yes"),1,0))</f>
        <v/>
      </c>
      <c r="G516" s="230" t="str">
        <f ca="1">IF(A516&gt;TODAY(),"",IF(N('Daily Tracking'!K516)&gt;=Settings!$B$15,1,0))</f>
        <v/>
      </c>
      <c r="H516" s="231" t="str">
        <f ca="1">IF(B516="","",AVERAGE(B516:G516))</f>
        <v/>
      </c>
      <c r="I516" s="136" t="str">
        <f ca="1">IF(B516="","",IF(B516=1,N(I515)+1,0))</f>
        <v/>
      </c>
    </row>
    <row r="517" spans="1:9" ht="18" customHeight="1" x14ac:dyDescent="0.3">
      <c r="A517" s="132">
        <f>'Daily Tracking'!A517</f>
        <v>46789</v>
      </c>
      <c r="B517" s="230" t="str">
        <f ca="1">IF(A517&gt;TODAY(),"",IF('Daily Tracking'!B517&lt;&gt;"",1,0))</f>
        <v/>
      </c>
      <c r="C517" s="230" t="str">
        <f ca="1">IF(A517&gt;TODAY(),"",IF('Daily Tracking'!E517&lt;&gt;"",1,0))</f>
        <v/>
      </c>
      <c r="D517" s="230" t="str">
        <f ca="1">IF(A517&gt;TODAY(),"",IF(N('Daily Tracking'!G517)&gt;=Settings!$B$13,1,0))</f>
        <v/>
      </c>
      <c r="E517" s="230" t="str">
        <f ca="1">IF(A517&gt;TODAY(),"",IF(N('Daily Tracking'!H517)&gt;=Settings!$B$14,1,0))</f>
        <v/>
      </c>
      <c r="F517" s="230" t="str">
        <f ca="1">IF(A517&gt;TODAY(),"",IF(OR(N('Daily Tracking'!I517)&gt;0,'Daily Tracking'!J517="Yes"),1,0))</f>
        <v/>
      </c>
      <c r="G517" s="230" t="str">
        <f ca="1">IF(A517&gt;TODAY(),"",IF(N('Daily Tracking'!K517)&gt;=Settings!$B$15,1,0))</f>
        <v/>
      </c>
      <c r="H517" s="231" t="str">
        <f ca="1">IF(B517="","",AVERAGE(B517:G517))</f>
        <v/>
      </c>
      <c r="I517" s="136" t="str">
        <f ca="1">IF(B517="","",IF(B517=1,N(I516)+1,0))</f>
        <v/>
      </c>
    </row>
    <row r="518" spans="1:9" ht="18" customHeight="1" x14ac:dyDescent="0.3">
      <c r="A518" s="132">
        <f>'Daily Tracking'!A518</f>
        <v>46790</v>
      </c>
      <c r="B518" s="230" t="str">
        <f ca="1">IF(A518&gt;TODAY(),"",IF('Daily Tracking'!B518&lt;&gt;"",1,0))</f>
        <v/>
      </c>
      <c r="C518" s="230" t="str">
        <f ca="1">IF(A518&gt;TODAY(),"",IF('Daily Tracking'!E518&lt;&gt;"",1,0))</f>
        <v/>
      </c>
      <c r="D518" s="230" t="str">
        <f ca="1">IF(A518&gt;TODAY(),"",IF(N('Daily Tracking'!G518)&gt;=Settings!$B$13,1,0))</f>
        <v/>
      </c>
      <c r="E518" s="230" t="str">
        <f ca="1">IF(A518&gt;TODAY(),"",IF(N('Daily Tracking'!H518)&gt;=Settings!$B$14,1,0))</f>
        <v/>
      </c>
      <c r="F518" s="230" t="str">
        <f ca="1">IF(A518&gt;TODAY(),"",IF(OR(N('Daily Tracking'!I518)&gt;0,'Daily Tracking'!J518="Yes"),1,0))</f>
        <v/>
      </c>
      <c r="G518" s="230" t="str">
        <f ca="1">IF(A518&gt;TODAY(),"",IF(N('Daily Tracking'!K518)&gt;=Settings!$B$15,1,0))</f>
        <v/>
      </c>
      <c r="H518" s="231" t="str">
        <f ca="1">IF(B518="","",AVERAGE(B518:G518))</f>
        <v/>
      </c>
      <c r="I518" s="136" t="str">
        <f ca="1">IF(B518="","",IF(B518=1,N(I517)+1,0))</f>
        <v/>
      </c>
    </row>
    <row r="519" spans="1:9" ht="18" customHeight="1" x14ac:dyDescent="0.3">
      <c r="A519" s="132">
        <f>'Daily Tracking'!A519</f>
        <v>46791</v>
      </c>
      <c r="B519" s="230" t="str">
        <f ca="1">IF(A519&gt;TODAY(),"",IF('Daily Tracking'!B519&lt;&gt;"",1,0))</f>
        <v/>
      </c>
      <c r="C519" s="230" t="str">
        <f ca="1">IF(A519&gt;TODAY(),"",IF('Daily Tracking'!E519&lt;&gt;"",1,0))</f>
        <v/>
      </c>
      <c r="D519" s="230" t="str">
        <f ca="1">IF(A519&gt;TODAY(),"",IF(N('Daily Tracking'!G519)&gt;=Settings!$B$13,1,0))</f>
        <v/>
      </c>
      <c r="E519" s="230" t="str">
        <f ca="1">IF(A519&gt;TODAY(),"",IF(N('Daily Tracking'!H519)&gt;=Settings!$B$14,1,0))</f>
        <v/>
      </c>
      <c r="F519" s="230" t="str">
        <f ca="1">IF(A519&gt;TODAY(),"",IF(OR(N('Daily Tracking'!I519)&gt;0,'Daily Tracking'!J519="Yes"),1,0))</f>
        <v/>
      </c>
      <c r="G519" s="230" t="str">
        <f ca="1">IF(A519&gt;TODAY(),"",IF(N('Daily Tracking'!K519)&gt;=Settings!$B$15,1,0))</f>
        <v/>
      </c>
      <c r="H519" s="231" t="str">
        <f ca="1">IF(B519="","",AVERAGE(B519:G519))</f>
        <v/>
      </c>
      <c r="I519" s="136" t="str">
        <f ca="1">IF(B519="","",IF(B519=1,N(I518)+1,0))</f>
        <v/>
      </c>
    </row>
    <row r="520" spans="1:9" ht="18" customHeight="1" x14ac:dyDescent="0.3">
      <c r="A520" s="132">
        <f>'Daily Tracking'!A520</f>
        <v>46792</v>
      </c>
      <c r="B520" s="230" t="str">
        <f ca="1">IF(A520&gt;TODAY(),"",IF('Daily Tracking'!B520&lt;&gt;"",1,0))</f>
        <v/>
      </c>
      <c r="C520" s="230" t="str">
        <f ca="1">IF(A520&gt;TODAY(),"",IF('Daily Tracking'!E520&lt;&gt;"",1,0))</f>
        <v/>
      </c>
      <c r="D520" s="230" t="str">
        <f ca="1">IF(A520&gt;TODAY(),"",IF(N('Daily Tracking'!G520)&gt;=Settings!$B$13,1,0))</f>
        <v/>
      </c>
      <c r="E520" s="230" t="str">
        <f ca="1">IF(A520&gt;TODAY(),"",IF(N('Daily Tracking'!H520)&gt;=Settings!$B$14,1,0))</f>
        <v/>
      </c>
      <c r="F520" s="230" t="str">
        <f ca="1">IF(A520&gt;TODAY(),"",IF(OR(N('Daily Tracking'!I520)&gt;0,'Daily Tracking'!J520="Yes"),1,0))</f>
        <v/>
      </c>
      <c r="G520" s="230" t="str">
        <f ca="1">IF(A520&gt;TODAY(),"",IF(N('Daily Tracking'!K520)&gt;=Settings!$B$15,1,0))</f>
        <v/>
      </c>
      <c r="H520" s="231" t="str">
        <f ca="1">IF(B520="","",AVERAGE(B520:G520))</f>
        <v/>
      </c>
      <c r="I520" s="136" t="str">
        <f ca="1">IF(B520="","",IF(B520=1,N(I519)+1,0))</f>
        <v/>
      </c>
    </row>
    <row r="521" spans="1:9" ht="18" customHeight="1" x14ac:dyDescent="0.3">
      <c r="A521" s="132">
        <f>'Daily Tracking'!A521</f>
        <v>46793</v>
      </c>
      <c r="B521" s="230" t="str">
        <f ca="1">IF(A521&gt;TODAY(),"",IF('Daily Tracking'!B521&lt;&gt;"",1,0))</f>
        <v/>
      </c>
      <c r="C521" s="230" t="str">
        <f ca="1">IF(A521&gt;TODAY(),"",IF('Daily Tracking'!E521&lt;&gt;"",1,0))</f>
        <v/>
      </c>
      <c r="D521" s="230" t="str">
        <f ca="1">IF(A521&gt;TODAY(),"",IF(N('Daily Tracking'!G521)&gt;=Settings!$B$13,1,0))</f>
        <v/>
      </c>
      <c r="E521" s="230" t="str">
        <f ca="1">IF(A521&gt;TODAY(),"",IF(N('Daily Tracking'!H521)&gt;=Settings!$B$14,1,0))</f>
        <v/>
      </c>
      <c r="F521" s="230" t="str">
        <f ca="1">IF(A521&gt;TODAY(),"",IF(OR(N('Daily Tracking'!I521)&gt;0,'Daily Tracking'!J521="Yes"),1,0))</f>
        <v/>
      </c>
      <c r="G521" s="230" t="str">
        <f ca="1">IF(A521&gt;TODAY(),"",IF(N('Daily Tracking'!K521)&gt;=Settings!$B$15,1,0))</f>
        <v/>
      </c>
      <c r="H521" s="231" t="str">
        <f ca="1">IF(B521="","",AVERAGE(B521:G521))</f>
        <v/>
      </c>
      <c r="I521" s="136" t="str">
        <f ca="1">IF(B521="","",IF(B521=1,N(I520)+1,0))</f>
        <v/>
      </c>
    </row>
    <row r="522" spans="1:9" ht="18" customHeight="1" x14ac:dyDescent="0.3">
      <c r="A522" s="132">
        <f>'Daily Tracking'!A522</f>
        <v>46794</v>
      </c>
      <c r="B522" s="230" t="str">
        <f ca="1">IF(A522&gt;TODAY(),"",IF('Daily Tracking'!B522&lt;&gt;"",1,0))</f>
        <v/>
      </c>
      <c r="C522" s="230" t="str">
        <f ca="1">IF(A522&gt;TODAY(),"",IF('Daily Tracking'!E522&lt;&gt;"",1,0))</f>
        <v/>
      </c>
      <c r="D522" s="230" t="str">
        <f ca="1">IF(A522&gt;TODAY(),"",IF(N('Daily Tracking'!G522)&gt;=Settings!$B$13,1,0))</f>
        <v/>
      </c>
      <c r="E522" s="230" t="str">
        <f ca="1">IF(A522&gt;TODAY(),"",IF(N('Daily Tracking'!H522)&gt;=Settings!$B$14,1,0))</f>
        <v/>
      </c>
      <c r="F522" s="230" t="str">
        <f ca="1">IF(A522&gt;TODAY(),"",IF(OR(N('Daily Tracking'!I522)&gt;0,'Daily Tracking'!J522="Yes"),1,0))</f>
        <v/>
      </c>
      <c r="G522" s="230" t="str">
        <f ca="1">IF(A522&gt;TODAY(),"",IF(N('Daily Tracking'!K522)&gt;=Settings!$B$15,1,0))</f>
        <v/>
      </c>
      <c r="H522" s="231" t="str">
        <f ca="1">IF(B522="","",AVERAGE(B522:G522))</f>
        <v/>
      </c>
      <c r="I522" s="136" t="str">
        <f ca="1">IF(B522="","",IF(B522=1,N(I521)+1,0))</f>
        <v/>
      </c>
    </row>
    <row r="523" spans="1:9" ht="18" customHeight="1" x14ac:dyDescent="0.3">
      <c r="A523" s="132">
        <f>'Daily Tracking'!A523</f>
        <v>46795</v>
      </c>
      <c r="B523" s="230" t="str">
        <f ca="1">IF(A523&gt;TODAY(),"",IF('Daily Tracking'!B523&lt;&gt;"",1,0))</f>
        <v/>
      </c>
      <c r="C523" s="230" t="str">
        <f ca="1">IF(A523&gt;TODAY(),"",IF('Daily Tracking'!E523&lt;&gt;"",1,0))</f>
        <v/>
      </c>
      <c r="D523" s="230" t="str">
        <f ca="1">IF(A523&gt;TODAY(),"",IF(N('Daily Tracking'!G523)&gt;=Settings!$B$13,1,0))</f>
        <v/>
      </c>
      <c r="E523" s="230" t="str">
        <f ca="1">IF(A523&gt;TODAY(),"",IF(N('Daily Tracking'!H523)&gt;=Settings!$B$14,1,0))</f>
        <v/>
      </c>
      <c r="F523" s="230" t="str">
        <f ca="1">IF(A523&gt;TODAY(),"",IF(OR(N('Daily Tracking'!I523)&gt;0,'Daily Tracking'!J523="Yes"),1,0))</f>
        <v/>
      </c>
      <c r="G523" s="230" t="str">
        <f ca="1">IF(A523&gt;TODAY(),"",IF(N('Daily Tracking'!K523)&gt;=Settings!$B$15,1,0))</f>
        <v/>
      </c>
      <c r="H523" s="231" t="str">
        <f ca="1">IF(B523="","",AVERAGE(B523:G523))</f>
        <v/>
      </c>
      <c r="I523" s="136" t="str">
        <f ca="1">IF(B523="","",IF(B523=1,N(I522)+1,0))</f>
        <v/>
      </c>
    </row>
    <row r="524" spans="1:9" ht="18" customHeight="1" x14ac:dyDescent="0.3">
      <c r="A524" s="132">
        <f>'Daily Tracking'!A524</f>
        <v>46796</v>
      </c>
      <c r="B524" s="230" t="str">
        <f ca="1">IF(A524&gt;TODAY(),"",IF('Daily Tracking'!B524&lt;&gt;"",1,0))</f>
        <v/>
      </c>
      <c r="C524" s="230" t="str">
        <f ca="1">IF(A524&gt;TODAY(),"",IF('Daily Tracking'!E524&lt;&gt;"",1,0))</f>
        <v/>
      </c>
      <c r="D524" s="230" t="str">
        <f ca="1">IF(A524&gt;TODAY(),"",IF(N('Daily Tracking'!G524)&gt;=Settings!$B$13,1,0))</f>
        <v/>
      </c>
      <c r="E524" s="230" t="str">
        <f ca="1">IF(A524&gt;TODAY(),"",IF(N('Daily Tracking'!H524)&gt;=Settings!$B$14,1,0))</f>
        <v/>
      </c>
      <c r="F524" s="230" t="str">
        <f ca="1">IF(A524&gt;TODAY(),"",IF(OR(N('Daily Tracking'!I524)&gt;0,'Daily Tracking'!J524="Yes"),1,0))</f>
        <v/>
      </c>
      <c r="G524" s="230" t="str">
        <f ca="1">IF(A524&gt;TODAY(),"",IF(N('Daily Tracking'!K524)&gt;=Settings!$B$15,1,0))</f>
        <v/>
      </c>
      <c r="H524" s="231" t="str">
        <f ca="1">IF(B524="","",AVERAGE(B524:G524))</f>
        <v/>
      </c>
      <c r="I524" s="136" t="str">
        <f ca="1">IF(B524="","",IF(B524=1,N(I523)+1,0))</f>
        <v/>
      </c>
    </row>
    <row r="525" spans="1:9" ht="18" customHeight="1" x14ac:dyDescent="0.3">
      <c r="A525" s="132">
        <f>'Daily Tracking'!A525</f>
        <v>46797</v>
      </c>
      <c r="B525" s="230" t="str">
        <f ca="1">IF(A525&gt;TODAY(),"",IF('Daily Tracking'!B525&lt;&gt;"",1,0))</f>
        <v/>
      </c>
      <c r="C525" s="230" t="str">
        <f ca="1">IF(A525&gt;TODAY(),"",IF('Daily Tracking'!E525&lt;&gt;"",1,0))</f>
        <v/>
      </c>
      <c r="D525" s="230" t="str">
        <f ca="1">IF(A525&gt;TODAY(),"",IF(N('Daily Tracking'!G525)&gt;=Settings!$B$13,1,0))</f>
        <v/>
      </c>
      <c r="E525" s="230" t="str">
        <f ca="1">IF(A525&gt;TODAY(),"",IF(N('Daily Tracking'!H525)&gt;=Settings!$B$14,1,0))</f>
        <v/>
      </c>
      <c r="F525" s="230" t="str">
        <f ca="1">IF(A525&gt;TODAY(),"",IF(OR(N('Daily Tracking'!I525)&gt;0,'Daily Tracking'!J525="Yes"),1,0))</f>
        <v/>
      </c>
      <c r="G525" s="230" t="str">
        <f ca="1">IF(A525&gt;TODAY(),"",IF(N('Daily Tracking'!K525)&gt;=Settings!$B$15,1,0))</f>
        <v/>
      </c>
      <c r="H525" s="231" t="str">
        <f ca="1">IF(B525="","",AVERAGE(B525:G525))</f>
        <v/>
      </c>
      <c r="I525" s="136" t="str">
        <f ca="1">IF(B525="","",IF(B525=1,N(I524)+1,0))</f>
        <v/>
      </c>
    </row>
    <row r="526" spans="1:9" ht="18" customHeight="1" x14ac:dyDescent="0.3">
      <c r="A526" s="132">
        <f>'Daily Tracking'!A526</f>
        <v>46798</v>
      </c>
      <c r="B526" s="230" t="str">
        <f ca="1">IF(A526&gt;TODAY(),"",IF('Daily Tracking'!B526&lt;&gt;"",1,0))</f>
        <v/>
      </c>
      <c r="C526" s="230" t="str">
        <f ca="1">IF(A526&gt;TODAY(),"",IF('Daily Tracking'!E526&lt;&gt;"",1,0))</f>
        <v/>
      </c>
      <c r="D526" s="230" t="str">
        <f ca="1">IF(A526&gt;TODAY(),"",IF(N('Daily Tracking'!G526)&gt;=Settings!$B$13,1,0))</f>
        <v/>
      </c>
      <c r="E526" s="230" t="str">
        <f ca="1">IF(A526&gt;TODAY(),"",IF(N('Daily Tracking'!H526)&gt;=Settings!$B$14,1,0))</f>
        <v/>
      </c>
      <c r="F526" s="230" t="str">
        <f ca="1">IF(A526&gt;TODAY(),"",IF(OR(N('Daily Tracking'!I526)&gt;0,'Daily Tracking'!J526="Yes"),1,0))</f>
        <v/>
      </c>
      <c r="G526" s="230" t="str">
        <f ca="1">IF(A526&gt;TODAY(),"",IF(N('Daily Tracking'!K526)&gt;=Settings!$B$15,1,0))</f>
        <v/>
      </c>
      <c r="H526" s="231" t="str">
        <f ca="1">IF(B526="","",AVERAGE(B526:G526))</f>
        <v/>
      </c>
      <c r="I526" s="136" t="str">
        <f ca="1">IF(B526="","",IF(B526=1,N(I525)+1,0))</f>
        <v/>
      </c>
    </row>
    <row r="527" spans="1:9" ht="18" customHeight="1" x14ac:dyDescent="0.3">
      <c r="A527" s="132">
        <f>'Daily Tracking'!A527</f>
        <v>46799</v>
      </c>
      <c r="B527" s="230" t="str">
        <f ca="1">IF(A527&gt;TODAY(),"",IF('Daily Tracking'!B527&lt;&gt;"",1,0))</f>
        <v/>
      </c>
      <c r="C527" s="230" t="str">
        <f ca="1">IF(A527&gt;TODAY(),"",IF('Daily Tracking'!E527&lt;&gt;"",1,0))</f>
        <v/>
      </c>
      <c r="D527" s="230" t="str">
        <f ca="1">IF(A527&gt;TODAY(),"",IF(N('Daily Tracking'!G527)&gt;=Settings!$B$13,1,0))</f>
        <v/>
      </c>
      <c r="E527" s="230" t="str">
        <f ca="1">IF(A527&gt;TODAY(),"",IF(N('Daily Tracking'!H527)&gt;=Settings!$B$14,1,0))</f>
        <v/>
      </c>
      <c r="F527" s="230" t="str">
        <f ca="1">IF(A527&gt;TODAY(),"",IF(OR(N('Daily Tracking'!I527)&gt;0,'Daily Tracking'!J527="Yes"),1,0))</f>
        <v/>
      </c>
      <c r="G527" s="230" t="str">
        <f ca="1">IF(A527&gt;TODAY(),"",IF(N('Daily Tracking'!K527)&gt;=Settings!$B$15,1,0))</f>
        <v/>
      </c>
      <c r="H527" s="231" t="str">
        <f ca="1">IF(B527="","",AVERAGE(B527:G527))</f>
        <v/>
      </c>
      <c r="I527" s="136" t="str">
        <f ca="1">IF(B527="","",IF(B527=1,N(I526)+1,0))</f>
        <v/>
      </c>
    </row>
    <row r="528" spans="1:9" ht="18" customHeight="1" x14ac:dyDescent="0.3">
      <c r="A528" s="132">
        <f>'Daily Tracking'!A528</f>
        <v>46800</v>
      </c>
      <c r="B528" s="230" t="str">
        <f ca="1">IF(A528&gt;TODAY(),"",IF('Daily Tracking'!B528&lt;&gt;"",1,0))</f>
        <v/>
      </c>
      <c r="C528" s="230" t="str">
        <f ca="1">IF(A528&gt;TODAY(),"",IF('Daily Tracking'!E528&lt;&gt;"",1,0))</f>
        <v/>
      </c>
      <c r="D528" s="230" t="str">
        <f ca="1">IF(A528&gt;TODAY(),"",IF(N('Daily Tracking'!G528)&gt;=Settings!$B$13,1,0))</f>
        <v/>
      </c>
      <c r="E528" s="230" t="str">
        <f ca="1">IF(A528&gt;TODAY(),"",IF(N('Daily Tracking'!H528)&gt;=Settings!$B$14,1,0))</f>
        <v/>
      </c>
      <c r="F528" s="230" t="str">
        <f ca="1">IF(A528&gt;TODAY(),"",IF(OR(N('Daily Tracking'!I528)&gt;0,'Daily Tracking'!J528="Yes"),1,0))</f>
        <v/>
      </c>
      <c r="G528" s="230" t="str">
        <f ca="1">IF(A528&gt;TODAY(),"",IF(N('Daily Tracking'!K528)&gt;=Settings!$B$15,1,0))</f>
        <v/>
      </c>
      <c r="H528" s="231" t="str">
        <f ca="1">IF(B528="","",AVERAGE(B528:G528))</f>
        <v/>
      </c>
      <c r="I528" s="136" t="str">
        <f ca="1">IF(B528="","",IF(B528=1,N(I527)+1,0))</f>
        <v/>
      </c>
    </row>
    <row r="529" spans="1:9" ht="18" customHeight="1" x14ac:dyDescent="0.3">
      <c r="A529" s="132">
        <f>'Daily Tracking'!A529</f>
        <v>46801</v>
      </c>
      <c r="B529" s="230" t="str">
        <f ca="1">IF(A529&gt;TODAY(),"",IF('Daily Tracking'!B529&lt;&gt;"",1,0))</f>
        <v/>
      </c>
      <c r="C529" s="230" t="str">
        <f ca="1">IF(A529&gt;TODAY(),"",IF('Daily Tracking'!E529&lt;&gt;"",1,0))</f>
        <v/>
      </c>
      <c r="D529" s="230" t="str">
        <f ca="1">IF(A529&gt;TODAY(),"",IF(N('Daily Tracking'!G529)&gt;=Settings!$B$13,1,0))</f>
        <v/>
      </c>
      <c r="E529" s="230" t="str">
        <f ca="1">IF(A529&gt;TODAY(),"",IF(N('Daily Tracking'!H529)&gt;=Settings!$B$14,1,0))</f>
        <v/>
      </c>
      <c r="F529" s="230" t="str">
        <f ca="1">IF(A529&gt;TODAY(),"",IF(OR(N('Daily Tracking'!I529)&gt;0,'Daily Tracking'!J529="Yes"),1,0))</f>
        <v/>
      </c>
      <c r="G529" s="230" t="str">
        <f ca="1">IF(A529&gt;TODAY(),"",IF(N('Daily Tracking'!K529)&gt;=Settings!$B$15,1,0))</f>
        <v/>
      </c>
      <c r="H529" s="231" t="str">
        <f ca="1">IF(B529="","",AVERAGE(B529:G529))</f>
        <v/>
      </c>
      <c r="I529" s="136" t="str">
        <f ca="1">IF(B529="","",IF(B529=1,N(I528)+1,0))</f>
        <v/>
      </c>
    </row>
    <row r="530" spans="1:9" ht="18" customHeight="1" x14ac:dyDescent="0.3">
      <c r="A530" s="132">
        <f>'Daily Tracking'!A530</f>
        <v>46802</v>
      </c>
      <c r="B530" s="230" t="str">
        <f ca="1">IF(A530&gt;TODAY(),"",IF('Daily Tracking'!B530&lt;&gt;"",1,0))</f>
        <v/>
      </c>
      <c r="C530" s="230" t="str">
        <f ca="1">IF(A530&gt;TODAY(),"",IF('Daily Tracking'!E530&lt;&gt;"",1,0))</f>
        <v/>
      </c>
      <c r="D530" s="230" t="str">
        <f ca="1">IF(A530&gt;TODAY(),"",IF(N('Daily Tracking'!G530)&gt;=Settings!$B$13,1,0))</f>
        <v/>
      </c>
      <c r="E530" s="230" t="str">
        <f ca="1">IF(A530&gt;TODAY(),"",IF(N('Daily Tracking'!H530)&gt;=Settings!$B$14,1,0))</f>
        <v/>
      </c>
      <c r="F530" s="230" t="str">
        <f ca="1">IF(A530&gt;TODAY(),"",IF(OR(N('Daily Tracking'!I530)&gt;0,'Daily Tracking'!J530="Yes"),1,0))</f>
        <v/>
      </c>
      <c r="G530" s="230" t="str">
        <f ca="1">IF(A530&gt;TODAY(),"",IF(N('Daily Tracking'!K530)&gt;=Settings!$B$15,1,0))</f>
        <v/>
      </c>
      <c r="H530" s="231" t="str">
        <f ca="1">IF(B530="","",AVERAGE(B530:G530))</f>
        <v/>
      </c>
      <c r="I530" s="136" t="str">
        <f ca="1">IF(B530="","",IF(B530=1,N(I529)+1,0))</f>
        <v/>
      </c>
    </row>
    <row r="531" spans="1:9" ht="18" customHeight="1" x14ac:dyDescent="0.3">
      <c r="A531" s="132">
        <f>'Daily Tracking'!A531</f>
        <v>46803</v>
      </c>
      <c r="B531" s="230" t="str">
        <f ca="1">IF(A531&gt;TODAY(),"",IF('Daily Tracking'!B531&lt;&gt;"",1,0))</f>
        <v/>
      </c>
      <c r="C531" s="230" t="str">
        <f ca="1">IF(A531&gt;TODAY(),"",IF('Daily Tracking'!E531&lt;&gt;"",1,0))</f>
        <v/>
      </c>
      <c r="D531" s="230" t="str">
        <f ca="1">IF(A531&gt;TODAY(),"",IF(N('Daily Tracking'!G531)&gt;=Settings!$B$13,1,0))</f>
        <v/>
      </c>
      <c r="E531" s="230" t="str">
        <f ca="1">IF(A531&gt;TODAY(),"",IF(N('Daily Tracking'!H531)&gt;=Settings!$B$14,1,0))</f>
        <v/>
      </c>
      <c r="F531" s="230" t="str">
        <f ca="1">IF(A531&gt;TODAY(),"",IF(OR(N('Daily Tracking'!I531)&gt;0,'Daily Tracking'!J531="Yes"),1,0))</f>
        <v/>
      </c>
      <c r="G531" s="230" t="str">
        <f ca="1">IF(A531&gt;TODAY(),"",IF(N('Daily Tracking'!K531)&gt;=Settings!$B$15,1,0))</f>
        <v/>
      </c>
      <c r="H531" s="231" t="str">
        <f ca="1">IF(B531="","",AVERAGE(B531:G531))</f>
        <v/>
      </c>
      <c r="I531" s="136" t="str">
        <f ca="1">IF(B531="","",IF(B531=1,N(I530)+1,0))</f>
        <v/>
      </c>
    </row>
    <row r="532" spans="1:9" ht="18" customHeight="1" x14ac:dyDescent="0.3">
      <c r="A532" s="132">
        <f>'Daily Tracking'!A532</f>
        <v>46804</v>
      </c>
      <c r="B532" s="230" t="str">
        <f ca="1">IF(A532&gt;TODAY(),"",IF('Daily Tracking'!B532&lt;&gt;"",1,0))</f>
        <v/>
      </c>
      <c r="C532" s="230" t="str">
        <f ca="1">IF(A532&gt;TODAY(),"",IF('Daily Tracking'!E532&lt;&gt;"",1,0))</f>
        <v/>
      </c>
      <c r="D532" s="230" t="str">
        <f ca="1">IF(A532&gt;TODAY(),"",IF(N('Daily Tracking'!G532)&gt;=Settings!$B$13,1,0))</f>
        <v/>
      </c>
      <c r="E532" s="230" t="str">
        <f ca="1">IF(A532&gt;TODAY(),"",IF(N('Daily Tracking'!H532)&gt;=Settings!$B$14,1,0))</f>
        <v/>
      </c>
      <c r="F532" s="230" t="str">
        <f ca="1">IF(A532&gt;TODAY(),"",IF(OR(N('Daily Tracking'!I532)&gt;0,'Daily Tracking'!J532="Yes"),1,0))</f>
        <v/>
      </c>
      <c r="G532" s="230" t="str">
        <f ca="1">IF(A532&gt;TODAY(),"",IF(N('Daily Tracking'!K532)&gt;=Settings!$B$15,1,0))</f>
        <v/>
      </c>
      <c r="H532" s="231" t="str">
        <f ca="1">IF(B532="","",AVERAGE(B532:G532))</f>
        <v/>
      </c>
      <c r="I532" s="136" t="str">
        <f ca="1">IF(B532="","",IF(B532=1,N(I531)+1,0))</f>
        <v/>
      </c>
    </row>
    <row r="533" spans="1:9" ht="18" customHeight="1" x14ac:dyDescent="0.3">
      <c r="A533" s="132">
        <f>'Daily Tracking'!A533</f>
        <v>46805</v>
      </c>
      <c r="B533" s="230" t="str">
        <f ca="1">IF(A533&gt;TODAY(),"",IF('Daily Tracking'!B533&lt;&gt;"",1,0))</f>
        <v/>
      </c>
      <c r="C533" s="230" t="str">
        <f ca="1">IF(A533&gt;TODAY(),"",IF('Daily Tracking'!E533&lt;&gt;"",1,0))</f>
        <v/>
      </c>
      <c r="D533" s="230" t="str">
        <f ca="1">IF(A533&gt;TODAY(),"",IF(N('Daily Tracking'!G533)&gt;=Settings!$B$13,1,0))</f>
        <v/>
      </c>
      <c r="E533" s="230" t="str">
        <f ca="1">IF(A533&gt;TODAY(),"",IF(N('Daily Tracking'!H533)&gt;=Settings!$B$14,1,0))</f>
        <v/>
      </c>
      <c r="F533" s="230" t="str">
        <f ca="1">IF(A533&gt;TODAY(),"",IF(OR(N('Daily Tracking'!I533)&gt;0,'Daily Tracking'!J533="Yes"),1,0))</f>
        <v/>
      </c>
      <c r="G533" s="230" t="str">
        <f ca="1">IF(A533&gt;TODAY(),"",IF(N('Daily Tracking'!K533)&gt;=Settings!$B$15,1,0))</f>
        <v/>
      </c>
      <c r="H533" s="231" t="str">
        <f ca="1">IF(B533="","",AVERAGE(B533:G533))</f>
        <v/>
      </c>
      <c r="I533" s="136" t="str">
        <f ca="1">IF(B533="","",IF(B533=1,N(I532)+1,0))</f>
        <v/>
      </c>
    </row>
    <row r="534" spans="1:9" ht="18" customHeight="1" x14ac:dyDescent="0.3">
      <c r="A534" s="132">
        <f>'Daily Tracking'!A534</f>
        <v>46806</v>
      </c>
      <c r="B534" s="230" t="str">
        <f ca="1">IF(A534&gt;TODAY(),"",IF('Daily Tracking'!B534&lt;&gt;"",1,0))</f>
        <v/>
      </c>
      <c r="C534" s="230" t="str">
        <f ca="1">IF(A534&gt;TODAY(),"",IF('Daily Tracking'!E534&lt;&gt;"",1,0))</f>
        <v/>
      </c>
      <c r="D534" s="230" t="str">
        <f ca="1">IF(A534&gt;TODAY(),"",IF(N('Daily Tracking'!G534)&gt;=Settings!$B$13,1,0))</f>
        <v/>
      </c>
      <c r="E534" s="230" t="str">
        <f ca="1">IF(A534&gt;TODAY(),"",IF(N('Daily Tracking'!H534)&gt;=Settings!$B$14,1,0))</f>
        <v/>
      </c>
      <c r="F534" s="230" t="str">
        <f ca="1">IF(A534&gt;TODAY(),"",IF(OR(N('Daily Tracking'!I534)&gt;0,'Daily Tracking'!J534="Yes"),1,0))</f>
        <v/>
      </c>
      <c r="G534" s="230" t="str">
        <f ca="1">IF(A534&gt;TODAY(),"",IF(N('Daily Tracking'!K534)&gt;=Settings!$B$15,1,0))</f>
        <v/>
      </c>
      <c r="H534" s="231" t="str">
        <f ca="1">IF(B534="","",AVERAGE(B534:G534))</f>
        <v/>
      </c>
      <c r="I534" s="136" t="str">
        <f ca="1">IF(B534="","",IF(B534=1,N(I533)+1,0))</f>
        <v/>
      </c>
    </row>
    <row r="535" spans="1:9" ht="18" customHeight="1" x14ac:dyDescent="0.3">
      <c r="A535" s="132">
        <f>'Daily Tracking'!A535</f>
        <v>46807</v>
      </c>
      <c r="B535" s="230" t="str">
        <f ca="1">IF(A535&gt;TODAY(),"",IF('Daily Tracking'!B535&lt;&gt;"",1,0))</f>
        <v/>
      </c>
      <c r="C535" s="230" t="str">
        <f ca="1">IF(A535&gt;TODAY(),"",IF('Daily Tracking'!E535&lt;&gt;"",1,0))</f>
        <v/>
      </c>
      <c r="D535" s="230" t="str">
        <f ca="1">IF(A535&gt;TODAY(),"",IF(N('Daily Tracking'!G535)&gt;=Settings!$B$13,1,0))</f>
        <v/>
      </c>
      <c r="E535" s="230" t="str">
        <f ca="1">IF(A535&gt;TODAY(),"",IF(N('Daily Tracking'!H535)&gt;=Settings!$B$14,1,0))</f>
        <v/>
      </c>
      <c r="F535" s="230" t="str">
        <f ca="1">IF(A535&gt;TODAY(),"",IF(OR(N('Daily Tracking'!I535)&gt;0,'Daily Tracking'!J535="Yes"),1,0))</f>
        <v/>
      </c>
      <c r="G535" s="230" t="str">
        <f ca="1">IF(A535&gt;TODAY(),"",IF(N('Daily Tracking'!K535)&gt;=Settings!$B$15,1,0))</f>
        <v/>
      </c>
      <c r="H535" s="231" t="str">
        <f ca="1">IF(B535="","",AVERAGE(B535:G535))</f>
        <v/>
      </c>
      <c r="I535" s="136" t="str">
        <f ca="1">IF(B535="","",IF(B535=1,N(I534)+1,0))</f>
        <v/>
      </c>
    </row>
    <row r="536" spans="1:9" ht="18" customHeight="1" x14ac:dyDescent="0.3">
      <c r="A536" s="132">
        <f>'Daily Tracking'!A536</f>
        <v>46808</v>
      </c>
      <c r="B536" s="230" t="str">
        <f ca="1">IF(A536&gt;TODAY(),"",IF('Daily Tracking'!B536&lt;&gt;"",1,0))</f>
        <v/>
      </c>
      <c r="C536" s="230" t="str">
        <f ca="1">IF(A536&gt;TODAY(),"",IF('Daily Tracking'!E536&lt;&gt;"",1,0))</f>
        <v/>
      </c>
      <c r="D536" s="230" t="str">
        <f ca="1">IF(A536&gt;TODAY(),"",IF(N('Daily Tracking'!G536)&gt;=Settings!$B$13,1,0))</f>
        <v/>
      </c>
      <c r="E536" s="230" t="str">
        <f ca="1">IF(A536&gt;TODAY(),"",IF(N('Daily Tracking'!H536)&gt;=Settings!$B$14,1,0))</f>
        <v/>
      </c>
      <c r="F536" s="230" t="str">
        <f ca="1">IF(A536&gt;TODAY(),"",IF(OR(N('Daily Tracking'!I536)&gt;0,'Daily Tracking'!J536="Yes"),1,0))</f>
        <v/>
      </c>
      <c r="G536" s="230" t="str">
        <f ca="1">IF(A536&gt;TODAY(),"",IF(N('Daily Tracking'!K536)&gt;=Settings!$B$15,1,0))</f>
        <v/>
      </c>
      <c r="H536" s="231" t="str">
        <f ca="1">IF(B536="","",AVERAGE(B536:G536))</f>
        <v/>
      </c>
      <c r="I536" s="136" t="str">
        <f ca="1">IF(B536="","",IF(B536=1,N(I535)+1,0))</f>
        <v/>
      </c>
    </row>
    <row r="537" spans="1:9" ht="18" customHeight="1" x14ac:dyDescent="0.3">
      <c r="A537" s="132">
        <f>'Daily Tracking'!A537</f>
        <v>46809</v>
      </c>
      <c r="B537" s="230" t="str">
        <f ca="1">IF(A537&gt;TODAY(),"",IF('Daily Tracking'!B537&lt;&gt;"",1,0))</f>
        <v/>
      </c>
      <c r="C537" s="230" t="str">
        <f ca="1">IF(A537&gt;TODAY(),"",IF('Daily Tracking'!E537&lt;&gt;"",1,0))</f>
        <v/>
      </c>
      <c r="D537" s="230" t="str">
        <f ca="1">IF(A537&gt;TODAY(),"",IF(N('Daily Tracking'!G537)&gt;=Settings!$B$13,1,0))</f>
        <v/>
      </c>
      <c r="E537" s="230" t="str">
        <f ca="1">IF(A537&gt;TODAY(),"",IF(N('Daily Tracking'!H537)&gt;=Settings!$B$14,1,0))</f>
        <v/>
      </c>
      <c r="F537" s="230" t="str">
        <f ca="1">IF(A537&gt;TODAY(),"",IF(OR(N('Daily Tracking'!I537)&gt;0,'Daily Tracking'!J537="Yes"),1,0))</f>
        <v/>
      </c>
      <c r="G537" s="230" t="str">
        <f ca="1">IF(A537&gt;TODAY(),"",IF(N('Daily Tracking'!K537)&gt;=Settings!$B$15,1,0))</f>
        <v/>
      </c>
      <c r="H537" s="231" t="str">
        <f ca="1">IF(B537="","",AVERAGE(B537:G537))</f>
        <v/>
      </c>
      <c r="I537" s="136" t="str">
        <f ca="1">IF(B537="","",IF(B537=1,N(I536)+1,0))</f>
        <v/>
      </c>
    </row>
    <row r="538" spans="1:9" ht="18" customHeight="1" x14ac:dyDescent="0.3">
      <c r="A538" s="132">
        <f>'Daily Tracking'!A538</f>
        <v>46810</v>
      </c>
      <c r="B538" s="230" t="str">
        <f ca="1">IF(A538&gt;TODAY(),"",IF('Daily Tracking'!B538&lt;&gt;"",1,0))</f>
        <v/>
      </c>
      <c r="C538" s="230" t="str">
        <f ca="1">IF(A538&gt;TODAY(),"",IF('Daily Tracking'!E538&lt;&gt;"",1,0))</f>
        <v/>
      </c>
      <c r="D538" s="230" t="str">
        <f ca="1">IF(A538&gt;TODAY(),"",IF(N('Daily Tracking'!G538)&gt;=Settings!$B$13,1,0))</f>
        <v/>
      </c>
      <c r="E538" s="230" t="str">
        <f ca="1">IF(A538&gt;TODAY(),"",IF(N('Daily Tracking'!H538)&gt;=Settings!$B$14,1,0))</f>
        <v/>
      </c>
      <c r="F538" s="230" t="str">
        <f ca="1">IF(A538&gt;TODAY(),"",IF(OR(N('Daily Tracking'!I538)&gt;0,'Daily Tracking'!J538="Yes"),1,0))</f>
        <v/>
      </c>
      <c r="G538" s="230" t="str">
        <f ca="1">IF(A538&gt;TODAY(),"",IF(N('Daily Tracking'!K538)&gt;=Settings!$B$15,1,0))</f>
        <v/>
      </c>
      <c r="H538" s="231" t="str">
        <f ca="1">IF(B538="","",AVERAGE(B538:G538))</f>
        <v/>
      </c>
      <c r="I538" s="136" t="str">
        <f ca="1">IF(B538="","",IF(B538=1,N(I537)+1,0))</f>
        <v/>
      </c>
    </row>
    <row r="539" spans="1:9" ht="18" customHeight="1" x14ac:dyDescent="0.3">
      <c r="A539" s="132">
        <f>'Daily Tracking'!A539</f>
        <v>46811</v>
      </c>
      <c r="B539" s="230" t="str">
        <f ca="1">IF(A539&gt;TODAY(),"",IF('Daily Tracking'!B539&lt;&gt;"",1,0))</f>
        <v/>
      </c>
      <c r="C539" s="230" t="str">
        <f ca="1">IF(A539&gt;TODAY(),"",IF('Daily Tracking'!E539&lt;&gt;"",1,0))</f>
        <v/>
      </c>
      <c r="D539" s="230" t="str">
        <f ca="1">IF(A539&gt;TODAY(),"",IF(N('Daily Tracking'!G539)&gt;=Settings!$B$13,1,0))</f>
        <v/>
      </c>
      <c r="E539" s="230" t="str">
        <f ca="1">IF(A539&gt;TODAY(),"",IF(N('Daily Tracking'!H539)&gt;=Settings!$B$14,1,0))</f>
        <v/>
      </c>
      <c r="F539" s="230" t="str">
        <f ca="1">IF(A539&gt;TODAY(),"",IF(OR(N('Daily Tracking'!I539)&gt;0,'Daily Tracking'!J539="Yes"),1,0))</f>
        <v/>
      </c>
      <c r="G539" s="230" t="str">
        <f ca="1">IF(A539&gt;TODAY(),"",IF(N('Daily Tracking'!K539)&gt;=Settings!$B$15,1,0))</f>
        <v/>
      </c>
      <c r="H539" s="231" t="str">
        <f ca="1">IF(B539="","",AVERAGE(B539:G539))</f>
        <v/>
      </c>
      <c r="I539" s="136" t="str">
        <f ca="1">IF(B539="","",IF(B539=1,N(I538)+1,0))</f>
        <v/>
      </c>
    </row>
    <row r="540" spans="1:9" ht="18" customHeight="1" x14ac:dyDescent="0.3">
      <c r="A540" s="132">
        <f>'Daily Tracking'!A540</f>
        <v>46812</v>
      </c>
      <c r="B540" s="230" t="str">
        <f ca="1">IF(A540&gt;TODAY(),"",IF('Daily Tracking'!B540&lt;&gt;"",1,0))</f>
        <v/>
      </c>
      <c r="C540" s="230" t="str">
        <f ca="1">IF(A540&gt;TODAY(),"",IF('Daily Tracking'!E540&lt;&gt;"",1,0))</f>
        <v/>
      </c>
      <c r="D540" s="230" t="str">
        <f ca="1">IF(A540&gt;TODAY(),"",IF(N('Daily Tracking'!G540)&gt;=Settings!$B$13,1,0))</f>
        <v/>
      </c>
      <c r="E540" s="230" t="str">
        <f ca="1">IF(A540&gt;TODAY(),"",IF(N('Daily Tracking'!H540)&gt;=Settings!$B$14,1,0))</f>
        <v/>
      </c>
      <c r="F540" s="230" t="str">
        <f ca="1">IF(A540&gt;TODAY(),"",IF(OR(N('Daily Tracking'!I540)&gt;0,'Daily Tracking'!J540="Yes"),1,0))</f>
        <v/>
      </c>
      <c r="G540" s="230" t="str">
        <f ca="1">IF(A540&gt;TODAY(),"",IF(N('Daily Tracking'!K540)&gt;=Settings!$B$15,1,0))</f>
        <v/>
      </c>
      <c r="H540" s="231" t="str">
        <f ca="1">IF(B540="","",AVERAGE(B540:G540))</f>
        <v/>
      </c>
      <c r="I540" s="136" t="str">
        <f ca="1">IF(B540="","",IF(B540=1,N(I539)+1,0))</f>
        <v/>
      </c>
    </row>
    <row r="541" spans="1:9" ht="18" customHeight="1" x14ac:dyDescent="0.3">
      <c r="A541" s="132">
        <f>'Daily Tracking'!A541</f>
        <v>46813</v>
      </c>
      <c r="B541" s="230" t="str">
        <f ca="1">IF(A541&gt;TODAY(),"",IF('Daily Tracking'!B541&lt;&gt;"",1,0))</f>
        <v/>
      </c>
      <c r="C541" s="230" t="str">
        <f ca="1">IF(A541&gt;TODAY(),"",IF('Daily Tracking'!E541&lt;&gt;"",1,0))</f>
        <v/>
      </c>
      <c r="D541" s="230" t="str">
        <f ca="1">IF(A541&gt;TODAY(),"",IF(N('Daily Tracking'!G541)&gt;=Settings!$B$13,1,0))</f>
        <v/>
      </c>
      <c r="E541" s="230" t="str">
        <f ca="1">IF(A541&gt;TODAY(),"",IF(N('Daily Tracking'!H541)&gt;=Settings!$B$14,1,0))</f>
        <v/>
      </c>
      <c r="F541" s="230" t="str">
        <f ca="1">IF(A541&gt;TODAY(),"",IF(OR(N('Daily Tracking'!I541)&gt;0,'Daily Tracking'!J541="Yes"),1,0))</f>
        <v/>
      </c>
      <c r="G541" s="230" t="str">
        <f ca="1">IF(A541&gt;TODAY(),"",IF(N('Daily Tracking'!K541)&gt;=Settings!$B$15,1,0))</f>
        <v/>
      </c>
      <c r="H541" s="231" t="str">
        <f ca="1">IF(B541="","",AVERAGE(B541:G541))</f>
        <v/>
      </c>
      <c r="I541" s="136" t="str">
        <f ca="1">IF(B541="","",IF(B541=1,N(I540)+1,0))</f>
        <v/>
      </c>
    </row>
    <row r="542" spans="1:9" ht="18" customHeight="1" x14ac:dyDescent="0.3">
      <c r="A542" s="132">
        <f>'Daily Tracking'!A542</f>
        <v>46814</v>
      </c>
      <c r="B542" s="230" t="str">
        <f ca="1">IF(A542&gt;TODAY(),"",IF('Daily Tracking'!B542&lt;&gt;"",1,0))</f>
        <v/>
      </c>
      <c r="C542" s="230" t="str">
        <f ca="1">IF(A542&gt;TODAY(),"",IF('Daily Tracking'!E542&lt;&gt;"",1,0))</f>
        <v/>
      </c>
      <c r="D542" s="230" t="str">
        <f ca="1">IF(A542&gt;TODAY(),"",IF(N('Daily Tracking'!G542)&gt;=Settings!$B$13,1,0))</f>
        <v/>
      </c>
      <c r="E542" s="230" t="str">
        <f ca="1">IF(A542&gt;TODAY(),"",IF(N('Daily Tracking'!H542)&gt;=Settings!$B$14,1,0))</f>
        <v/>
      </c>
      <c r="F542" s="230" t="str">
        <f ca="1">IF(A542&gt;TODAY(),"",IF(OR(N('Daily Tracking'!I542)&gt;0,'Daily Tracking'!J542="Yes"),1,0))</f>
        <v/>
      </c>
      <c r="G542" s="230" t="str">
        <f ca="1">IF(A542&gt;TODAY(),"",IF(N('Daily Tracking'!K542)&gt;=Settings!$B$15,1,0))</f>
        <v/>
      </c>
      <c r="H542" s="231" t="str">
        <f ca="1">IF(B542="","",AVERAGE(B542:G542))</f>
        <v/>
      </c>
      <c r="I542" s="136" t="str">
        <f ca="1">IF(B542="","",IF(B542=1,N(I541)+1,0))</f>
        <v/>
      </c>
    </row>
    <row r="543" spans="1:9" ht="18" customHeight="1" x14ac:dyDescent="0.3">
      <c r="A543" s="132">
        <f>'Daily Tracking'!A543</f>
        <v>46815</v>
      </c>
      <c r="B543" s="230" t="str">
        <f ca="1">IF(A543&gt;TODAY(),"",IF('Daily Tracking'!B543&lt;&gt;"",1,0))</f>
        <v/>
      </c>
      <c r="C543" s="230" t="str">
        <f ca="1">IF(A543&gt;TODAY(),"",IF('Daily Tracking'!E543&lt;&gt;"",1,0))</f>
        <v/>
      </c>
      <c r="D543" s="230" t="str">
        <f ca="1">IF(A543&gt;TODAY(),"",IF(N('Daily Tracking'!G543)&gt;=Settings!$B$13,1,0))</f>
        <v/>
      </c>
      <c r="E543" s="230" t="str">
        <f ca="1">IF(A543&gt;TODAY(),"",IF(N('Daily Tracking'!H543)&gt;=Settings!$B$14,1,0))</f>
        <v/>
      </c>
      <c r="F543" s="230" t="str">
        <f ca="1">IF(A543&gt;TODAY(),"",IF(OR(N('Daily Tracking'!I543)&gt;0,'Daily Tracking'!J543="Yes"),1,0))</f>
        <v/>
      </c>
      <c r="G543" s="230" t="str">
        <f ca="1">IF(A543&gt;TODAY(),"",IF(N('Daily Tracking'!K543)&gt;=Settings!$B$15,1,0))</f>
        <v/>
      </c>
      <c r="H543" s="231" t="str">
        <f ca="1">IF(B543="","",AVERAGE(B543:G543))</f>
        <v/>
      </c>
      <c r="I543" s="136" t="str">
        <f ca="1">IF(B543="","",IF(B543=1,N(I542)+1,0))</f>
        <v/>
      </c>
    </row>
    <row r="544" spans="1:9" ht="18" customHeight="1" x14ac:dyDescent="0.3">
      <c r="A544" s="132">
        <f>'Daily Tracking'!A544</f>
        <v>46816</v>
      </c>
      <c r="B544" s="230" t="str">
        <f ca="1">IF(A544&gt;TODAY(),"",IF('Daily Tracking'!B544&lt;&gt;"",1,0))</f>
        <v/>
      </c>
      <c r="C544" s="230" t="str">
        <f ca="1">IF(A544&gt;TODAY(),"",IF('Daily Tracking'!E544&lt;&gt;"",1,0))</f>
        <v/>
      </c>
      <c r="D544" s="230" t="str">
        <f ca="1">IF(A544&gt;TODAY(),"",IF(N('Daily Tracking'!G544)&gt;=Settings!$B$13,1,0))</f>
        <v/>
      </c>
      <c r="E544" s="230" t="str">
        <f ca="1">IF(A544&gt;TODAY(),"",IF(N('Daily Tracking'!H544)&gt;=Settings!$B$14,1,0))</f>
        <v/>
      </c>
      <c r="F544" s="230" t="str">
        <f ca="1">IF(A544&gt;TODAY(),"",IF(OR(N('Daily Tracking'!I544)&gt;0,'Daily Tracking'!J544="Yes"),1,0))</f>
        <v/>
      </c>
      <c r="G544" s="230" t="str">
        <f ca="1">IF(A544&gt;TODAY(),"",IF(N('Daily Tracking'!K544)&gt;=Settings!$B$15,1,0))</f>
        <v/>
      </c>
      <c r="H544" s="231" t="str">
        <f ca="1">IF(B544="","",AVERAGE(B544:G544))</f>
        <v/>
      </c>
      <c r="I544" s="136" t="str">
        <f ca="1">IF(B544="","",IF(B544=1,N(I543)+1,0))</f>
        <v/>
      </c>
    </row>
    <row r="545" spans="1:9" ht="18" customHeight="1" x14ac:dyDescent="0.3">
      <c r="A545" s="132">
        <f>'Daily Tracking'!A545</f>
        <v>46817</v>
      </c>
      <c r="B545" s="230" t="str">
        <f ca="1">IF(A545&gt;TODAY(),"",IF('Daily Tracking'!B545&lt;&gt;"",1,0))</f>
        <v/>
      </c>
      <c r="C545" s="230" t="str">
        <f ca="1">IF(A545&gt;TODAY(),"",IF('Daily Tracking'!E545&lt;&gt;"",1,0))</f>
        <v/>
      </c>
      <c r="D545" s="230" t="str">
        <f ca="1">IF(A545&gt;TODAY(),"",IF(N('Daily Tracking'!G545)&gt;=Settings!$B$13,1,0))</f>
        <v/>
      </c>
      <c r="E545" s="230" t="str">
        <f ca="1">IF(A545&gt;TODAY(),"",IF(N('Daily Tracking'!H545)&gt;=Settings!$B$14,1,0))</f>
        <v/>
      </c>
      <c r="F545" s="230" t="str">
        <f ca="1">IF(A545&gt;TODAY(),"",IF(OR(N('Daily Tracking'!I545)&gt;0,'Daily Tracking'!J545="Yes"),1,0))</f>
        <v/>
      </c>
      <c r="G545" s="230" t="str">
        <f ca="1">IF(A545&gt;TODAY(),"",IF(N('Daily Tracking'!K545)&gt;=Settings!$B$15,1,0))</f>
        <v/>
      </c>
      <c r="H545" s="231" t="str">
        <f ca="1">IF(B545="","",AVERAGE(B545:G545))</f>
        <v/>
      </c>
      <c r="I545" s="136" t="str">
        <f ca="1">IF(B545="","",IF(B545=1,N(I544)+1,0))</f>
        <v/>
      </c>
    </row>
    <row r="546" spans="1:9" ht="18" customHeight="1" x14ac:dyDescent="0.3">
      <c r="A546" s="132">
        <f>'Daily Tracking'!A546</f>
        <v>46818</v>
      </c>
      <c r="B546" s="230" t="str">
        <f ca="1">IF(A546&gt;TODAY(),"",IF('Daily Tracking'!B546&lt;&gt;"",1,0))</f>
        <v/>
      </c>
      <c r="C546" s="230" t="str">
        <f ca="1">IF(A546&gt;TODAY(),"",IF('Daily Tracking'!E546&lt;&gt;"",1,0))</f>
        <v/>
      </c>
      <c r="D546" s="230" t="str">
        <f ca="1">IF(A546&gt;TODAY(),"",IF(N('Daily Tracking'!G546)&gt;=Settings!$B$13,1,0))</f>
        <v/>
      </c>
      <c r="E546" s="230" t="str">
        <f ca="1">IF(A546&gt;TODAY(),"",IF(N('Daily Tracking'!H546)&gt;=Settings!$B$14,1,0))</f>
        <v/>
      </c>
      <c r="F546" s="230" t="str">
        <f ca="1">IF(A546&gt;TODAY(),"",IF(OR(N('Daily Tracking'!I546)&gt;0,'Daily Tracking'!J546="Yes"),1,0))</f>
        <v/>
      </c>
      <c r="G546" s="230" t="str">
        <f ca="1">IF(A546&gt;TODAY(),"",IF(N('Daily Tracking'!K546)&gt;=Settings!$B$15,1,0))</f>
        <v/>
      </c>
      <c r="H546" s="231" t="str">
        <f ca="1">IF(B546="","",AVERAGE(B546:G546))</f>
        <v/>
      </c>
      <c r="I546" s="136" t="str">
        <f ca="1">IF(B546="","",IF(B546=1,N(I545)+1,0))</f>
        <v/>
      </c>
    </row>
    <row r="547" spans="1:9" ht="18" customHeight="1" x14ac:dyDescent="0.3">
      <c r="A547" s="132">
        <f>'Daily Tracking'!A547</f>
        <v>46819</v>
      </c>
      <c r="B547" s="230" t="str">
        <f ca="1">IF(A547&gt;TODAY(),"",IF('Daily Tracking'!B547&lt;&gt;"",1,0))</f>
        <v/>
      </c>
      <c r="C547" s="230" t="str">
        <f ca="1">IF(A547&gt;TODAY(),"",IF('Daily Tracking'!E547&lt;&gt;"",1,0))</f>
        <v/>
      </c>
      <c r="D547" s="230" t="str">
        <f ca="1">IF(A547&gt;TODAY(),"",IF(N('Daily Tracking'!G547)&gt;=Settings!$B$13,1,0))</f>
        <v/>
      </c>
      <c r="E547" s="230" t="str">
        <f ca="1">IF(A547&gt;TODAY(),"",IF(N('Daily Tracking'!H547)&gt;=Settings!$B$14,1,0))</f>
        <v/>
      </c>
      <c r="F547" s="230" t="str">
        <f ca="1">IF(A547&gt;TODAY(),"",IF(OR(N('Daily Tracking'!I547)&gt;0,'Daily Tracking'!J547="Yes"),1,0))</f>
        <v/>
      </c>
      <c r="G547" s="230" t="str">
        <f ca="1">IF(A547&gt;TODAY(),"",IF(N('Daily Tracking'!K547)&gt;=Settings!$B$15,1,0))</f>
        <v/>
      </c>
      <c r="H547" s="231" t="str">
        <f ca="1">IF(B547="","",AVERAGE(B547:G547))</f>
        <v/>
      </c>
      <c r="I547" s="136" t="str">
        <f ca="1">IF(B547="","",IF(B547=1,N(I546)+1,0))</f>
        <v/>
      </c>
    </row>
    <row r="548" spans="1:9" ht="18" customHeight="1" x14ac:dyDescent="0.3">
      <c r="A548" s="132">
        <f>'Daily Tracking'!A548</f>
        <v>46820</v>
      </c>
      <c r="B548" s="230" t="str">
        <f ca="1">IF(A548&gt;TODAY(),"",IF('Daily Tracking'!B548&lt;&gt;"",1,0))</f>
        <v/>
      </c>
      <c r="C548" s="230" t="str">
        <f ca="1">IF(A548&gt;TODAY(),"",IF('Daily Tracking'!E548&lt;&gt;"",1,0))</f>
        <v/>
      </c>
      <c r="D548" s="230" t="str">
        <f ca="1">IF(A548&gt;TODAY(),"",IF(N('Daily Tracking'!G548)&gt;=Settings!$B$13,1,0))</f>
        <v/>
      </c>
      <c r="E548" s="230" t="str">
        <f ca="1">IF(A548&gt;TODAY(),"",IF(N('Daily Tracking'!H548)&gt;=Settings!$B$14,1,0))</f>
        <v/>
      </c>
      <c r="F548" s="230" t="str">
        <f ca="1">IF(A548&gt;TODAY(),"",IF(OR(N('Daily Tracking'!I548)&gt;0,'Daily Tracking'!J548="Yes"),1,0))</f>
        <v/>
      </c>
      <c r="G548" s="230" t="str">
        <f ca="1">IF(A548&gt;TODAY(),"",IF(N('Daily Tracking'!K548)&gt;=Settings!$B$15,1,0))</f>
        <v/>
      </c>
      <c r="H548" s="231" t="str">
        <f ca="1">IF(B548="","",AVERAGE(B548:G548))</f>
        <v/>
      </c>
      <c r="I548" s="136" t="str">
        <f ca="1">IF(B548="","",IF(B548=1,N(I547)+1,0))</f>
        <v/>
      </c>
    </row>
    <row r="549" spans="1:9" ht="18" customHeight="1" x14ac:dyDescent="0.3">
      <c r="A549" s="132">
        <f>'Daily Tracking'!A549</f>
        <v>46821</v>
      </c>
      <c r="B549" s="230" t="str">
        <f ca="1">IF(A549&gt;TODAY(),"",IF('Daily Tracking'!B549&lt;&gt;"",1,0))</f>
        <v/>
      </c>
      <c r="C549" s="230" t="str">
        <f ca="1">IF(A549&gt;TODAY(),"",IF('Daily Tracking'!E549&lt;&gt;"",1,0))</f>
        <v/>
      </c>
      <c r="D549" s="230" t="str">
        <f ca="1">IF(A549&gt;TODAY(),"",IF(N('Daily Tracking'!G549)&gt;=Settings!$B$13,1,0))</f>
        <v/>
      </c>
      <c r="E549" s="230" t="str">
        <f ca="1">IF(A549&gt;TODAY(),"",IF(N('Daily Tracking'!H549)&gt;=Settings!$B$14,1,0))</f>
        <v/>
      </c>
      <c r="F549" s="230" t="str">
        <f ca="1">IF(A549&gt;TODAY(),"",IF(OR(N('Daily Tracking'!I549)&gt;0,'Daily Tracking'!J549="Yes"),1,0))</f>
        <v/>
      </c>
      <c r="G549" s="230" t="str">
        <f ca="1">IF(A549&gt;TODAY(),"",IF(N('Daily Tracking'!K549)&gt;=Settings!$B$15,1,0))</f>
        <v/>
      </c>
      <c r="H549" s="231" t="str">
        <f ca="1">IF(B549="","",AVERAGE(B549:G549))</f>
        <v/>
      </c>
      <c r="I549" s="136" t="str">
        <f ca="1">IF(B549="","",IF(B549=1,N(I548)+1,0))</f>
        <v/>
      </c>
    </row>
    <row r="550" spans="1:9" ht="18" customHeight="1" x14ac:dyDescent="0.3">
      <c r="A550" s="132">
        <f>'Daily Tracking'!A550</f>
        <v>46822</v>
      </c>
      <c r="B550" s="230" t="str">
        <f ca="1">IF(A550&gt;TODAY(),"",IF('Daily Tracking'!B550&lt;&gt;"",1,0))</f>
        <v/>
      </c>
      <c r="C550" s="230" t="str">
        <f ca="1">IF(A550&gt;TODAY(),"",IF('Daily Tracking'!E550&lt;&gt;"",1,0))</f>
        <v/>
      </c>
      <c r="D550" s="230" t="str">
        <f ca="1">IF(A550&gt;TODAY(),"",IF(N('Daily Tracking'!G550)&gt;=Settings!$B$13,1,0))</f>
        <v/>
      </c>
      <c r="E550" s="230" t="str">
        <f ca="1">IF(A550&gt;TODAY(),"",IF(N('Daily Tracking'!H550)&gt;=Settings!$B$14,1,0))</f>
        <v/>
      </c>
      <c r="F550" s="230" t="str">
        <f ca="1">IF(A550&gt;TODAY(),"",IF(OR(N('Daily Tracking'!I550)&gt;0,'Daily Tracking'!J550="Yes"),1,0))</f>
        <v/>
      </c>
      <c r="G550" s="230" t="str">
        <f ca="1">IF(A550&gt;TODAY(),"",IF(N('Daily Tracking'!K550)&gt;=Settings!$B$15,1,0))</f>
        <v/>
      </c>
      <c r="H550" s="231" t="str">
        <f ca="1">IF(B550="","",AVERAGE(B550:G550))</f>
        <v/>
      </c>
      <c r="I550" s="136" t="str">
        <f ca="1">IF(B550="","",IF(B550=1,N(I549)+1,0))</f>
        <v/>
      </c>
    </row>
    <row r="551" spans="1:9" ht="18" customHeight="1" x14ac:dyDescent="0.3">
      <c r="A551" s="132">
        <f>'Daily Tracking'!A551</f>
        <v>46823</v>
      </c>
      <c r="B551" s="230" t="str">
        <f ca="1">IF(A551&gt;TODAY(),"",IF('Daily Tracking'!B551&lt;&gt;"",1,0))</f>
        <v/>
      </c>
      <c r="C551" s="230" t="str">
        <f ca="1">IF(A551&gt;TODAY(),"",IF('Daily Tracking'!E551&lt;&gt;"",1,0))</f>
        <v/>
      </c>
      <c r="D551" s="230" t="str">
        <f ca="1">IF(A551&gt;TODAY(),"",IF(N('Daily Tracking'!G551)&gt;=Settings!$B$13,1,0))</f>
        <v/>
      </c>
      <c r="E551" s="230" t="str">
        <f ca="1">IF(A551&gt;TODAY(),"",IF(N('Daily Tracking'!H551)&gt;=Settings!$B$14,1,0))</f>
        <v/>
      </c>
      <c r="F551" s="230" t="str">
        <f ca="1">IF(A551&gt;TODAY(),"",IF(OR(N('Daily Tracking'!I551)&gt;0,'Daily Tracking'!J551="Yes"),1,0))</f>
        <v/>
      </c>
      <c r="G551" s="230" t="str">
        <f ca="1">IF(A551&gt;TODAY(),"",IF(N('Daily Tracking'!K551)&gt;=Settings!$B$15,1,0))</f>
        <v/>
      </c>
      <c r="H551" s="231" t="str">
        <f ca="1">IF(B551="","",AVERAGE(B551:G551))</f>
        <v/>
      </c>
      <c r="I551" s="136" t="str">
        <f ca="1">IF(B551="","",IF(B551=1,N(I550)+1,0))</f>
        <v/>
      </c>
    </row>
    <row r="552" spans="1:9" ht="18" customHeight="1" x14ac:dyDescent="0.3">
      <c r="A552" s="132">
        <f>'Daily Tracking'!A552</f>
        <v>46824</v>
      </c>
      <c r="B552" s="230" t="str">
        <f ca="1">IF(A552&gt;TODAY(),"",IF('Daily Tracking'!B552&lt;&gt;"",1,0))</f>
        <v/>
      </c>
      <c r="C552" s="230" t="str">
        <f ca="1">IF(A552&gt;TODAY(),"",IF('Daily Tracking'!E552&lt;&gt;"",1,0))</f>
        <v/>
      </c>
      <c r="D552" s="230" t="str">
        <f ca="1">IF(A552&gt;TODAY(),"",IF(N('Daily Tracking'!G552)&gt;=Settings!$B$13,1,0))</f>
        <v/>
      </c>
      <c r="E552" s="230" t="str">
        <f ca="1">IF(A552&gt;TODAY(),"",IF(N('Daily Tracking'!H552)&gt;=Settings!$B$14,1,0))</f>
        <v/>
      </c>
      <c r="F552" s="230" t="str">
        <f ca="1">IF(A552&gt;TODAY(),"",IF(OR(N('Daily Tracking'!I552)&gt;0,'Daily Tracking'!J552="Yes"),1,0))</f>
        <v/>
      </c>
      <c r="G552" s="230" t="str">
        <f ca="1">IF(A552&gt;TODAY(),"",IF(N('Daily Tracking'!K552)&gt;=Settings!$B$15,1,0))</f>
        <v/>
      </c>
      <c r="H552" s="231" t="str">
        <f ca="1">IF(B552="","",AVERAGE(B552:G552))</f>
        <v/>
      </c>
      <c r="I552" s="136" t="str">
        <f ca="1">IF(B552="","",IF(B552=1,N(I551)+1,0))</f>
        <v/>
      </c>
    </row>
    <row r="553" spans="1:9" ht="18" customHeight="1" x14ac:dyDescent="0.3">
      <c r="A553" s="132">
        <f>'Daily Tracking'!A553</f>
        <v>46825</v>
      </c>
      <c r="B553" s="230" t="str">
        <f ca="1">IF(A553&gt;TODAY(),"",IF('Daily Tracking'!B553&lt;&gt;"",1,0))</f>
        <v/>
      </c>
      <c r="C553" s="230" t="str">
        <f ca="1">IF(A553&gt;TODAY(),"",IF('Daily Tracking'!E553&lt;&gt;"",1,0))</f>
        <v/>
      </c>
      <c r="D553" s="230" t="str">
        <f ca="1">IF(A553&gt;TODAY(),"",IF(N('Daily Tracking'!G553)&gt;=Settings!$B$13,1,0))</f>
        <v/>
      </c>
      <c r="E553" s="230" t="str">
        <f ca="1">IF(A553&gt;TODAY(),"",IF(N('Daily Tracking'!H553)&gt;=Settings!$B$14,1,0))</f>
        <v/>
      </c>
      <c r="F553" s="230" t="str">
        <f ca="1">IF(A553&gt;TODAY(),"",IF(OR(N('Daily Tracking'!I553)&gt;0,'Daily Tracking'!J553="Yes"),1,0))</f>
        <v/>
      </c>
      <c r="G553" s="230" t="str">
        <f ca="1">IF(A553&gt;TODAY(),"",IF(N('Daily Tracking'!K553)&gt;=Settings!$B$15,1,0))</f>
        <v/>
      </c>
      <c r="H553" s="231" t="str">
        <f ca="1">IF(B553="","",AVERAGE(B553:G553))</f>
        <v/>
      </c>
      <c r="I553" s="136" t="str">
        <f ca="1">IF(B553="","",IF(B553=1,N(I552)+1,0))</f>
        <v/>
      </c>
    </row>
    <row r="554" spans="1:9" ht="18" customHeight="1" x14ac:dyDescent="0.3">
      <c r="A554" s="132">
        <f>'Daily Tracking'!A554</f>
        <v>46826</v>
      </c>
      <c r="B554" s="230" t="str">
        <f ca="1">IF(A554&gt;TODAY(),"",IF('Daily Tracking'!B554&lt;&gt;"",1,0))</f>
        <v/>
      </c>
      <c r="C554" s="230" t="str">
        <f ca="1">IF(A554&gt;TODAY(),"",IF('Daily Tracking'!E554&lt;&gt;"",1,0))</f>
        <v/>
      </c>
      <c r="D554" s="230" t="str">
        <f ca="1">IF(A554&gt;TODAY(),"",IF(N('Daily Tracking'!G554)&gt;=Settings!$B$13,1,0))</f>
        <v/>
      </c>
      <c r="E554" s="230" t="str">
        <f ca="1">IF(A554&gt;TODAY(),"",IF(N('Daily Tracking'!H554)&gt;=Settings!$B$14,1,0))</f>
        <v/>
      </c>
      <c r="F554" s="230" t="str">
        <f ca="1">IF(A554&gt;TODAY(),"",IF(OR(N('Daily Tracking'!I554)&gt;0,'Daily Tracking'!J554="Yes"),1,0))</f>
        <v/>
      </c>
      <c r="G554" s="230" t="str">
        <f ca="1">IF(A554&gt;TODAY(),"",IF(N('Daily Tracking'!K554)&gt;=Settings!$B$15,1,0))</f>
        <v/>
      </c>
      <c r="H554" s="231" t="str">
        <f ca="1">IF(B554="","",AVERAGE(B554:G554))</f>
        <v/>
      </c>
      <c r="I554" s="136" t="str">
        <f ca="1">IF(B554="","",IF(B554=1,N(I553)+1,0))</f>
        <v/>
      </c>
    </row>
    <row r="555" spans="1:9" ht="18" customHeight="1" x14ac:dyDescent="0.3">
      <c r="A555" s="132">
        <f>'Daily Tracking'!A555</f>
        <v>46827</v>
      </c>
      <c r="B555" s="230" t="str">
        <f ca="1">IF(A555&gt;TODAY(),"",IF('Daily Tracking'!B555&lt;&gt;"",1,0))</f>
        <v/>
      </c>
      <c r="C555" s="230" t="str">
        <f ca="1">IF(A555&gt;TODAY(),"",IF('Daily Tracking'!E555&lt;&gt;"",1,0))</f>
        <v/>
      </c>
      <c r="D555" s="230" t="str">
        <f ca="1">IF(A555&gt;TODAY(),"",IF(N('Daily Tracking'!G555)&gt;=Settings!$B$13,1,0))</f>
        <v/>
      </c>
      <c r="E555" s="230" t="str">
        <f ca="1">IF(A555&gt;TODAY(),"",IF(N('Daily Tracking'!H555)&gt;=Settings!$B$14,1,0))</f>
        <v/>
      </c>
      <c r="F555" s="230" t="str">
        <f ca="1">IF(A555&gt;TODAY(),"",IF(OR(N('Daily Tracking'!I555)&gt;0,'Daily Tracking'!J555="Yes"),1,0))</f>
        <v/>
      </c>
      <c r="G555" s="230" t="str">
        <f ca="1">IF(A555&gt;TODAY(),"",IF(N('Daily Tracking'!K555)&gt;=Settings!$B$15,1,0))</f>
        <v/>
      </c>
      <c r="H555" s="231" t="str">
        <f ca="1">IF(B555="","",AVERAGE(B555:G555))</f>
        <v/>
      </c>
      <c r="I555" s="136" t="str">
        <f ca="1">IF(B555="","",IF(B555=1,N(I554)+1,0))</f>
        <v/>
      </c>
    </row>
    <row r="556" spans="1:9" ht="18" customHeight="1" x14ac:dyDescent="0.3">
      <c r="A556" s="132">
        <f>'Daily Tracking'!A556</f>
        <v>46828</v>
      </c>
      <c r="B556" s="230" t="str">
        <f ca="1">IF(A556&gt;TODAY(),"",IF('Daily Tracking'!B556&lt;&gt;"",1,0))</f>
        <v/>
      </c>
      <c r="C556" s="230" t="str">
        <f ca="1">IF(A556&gt;TODAY(),"",IF('Daily Tracking'!E556&lt;&gt;"",1,0))</f>
        <v/>
      </c>
      <c r="D556" s="230" t="str">
        <f ca="1">IF(A556&gt;TODAY(),"",IF(N('Daily Tracking'!G556)&gt;=Settings!$B$13,1,0))</f>
        <v/>
      </c>
      <c r="E556" s="230" t="str">
        <f ca="1">IF(A556&gt;TODAY(),"",IF(N('Daily Tracking'!H556)&gt;=Settings!$B$14,1,0))</f>
        <v/>
      </c>
      <c r="F556" s="230" t="str">
        <f ca="1">IF(A556&gt;TODAY(),"",IF(OR(N('Daily Tracking'!I556)&gt;0,'Daily Tracking'!J556="Yes"),1,0))</f>
        <v/>
      </c>
      <c r="G556" s="230" t="str">
        <f ca="1">IF(A556&gt;TODAY(),"",IF(N('Daily Tracking'!K556)&gt;=Settings!$B$15,1,0))</f>
        <v/>
      </c>
      <c r="H556" s="231" t="str">
        <f ca="1">IF(B556="","",AVERAGE(B556:G556))</f>
        <v/>
      </c>
      <c r="I556" s="136" t="str">
        <f ca="1">IF(B556="","",IF(B556=1,N(I555)+1,0))</f>
        <v/>
      </c>
    </row>
    <row r="557" spans="1:9" ht="18" customHeight="1" x14ac:dyDescent="0.3">
      <c r="A557" s="132">
        <f>'Daily Tracking'!A557</f>
        <v>46829</v>
      </c>
      <c r="B557" s="230" t="str">
        <f ca="1">IF(A557&gt;TODAY(),"",IF('Daily Tracking'!B557&lt;&gt;"",1,0))</f>
        <v/>
      </c>
      <c r="C557" s="230" t="str">
        <f ca="1">IF(A557&gt;TODAY(),"",IF('Daily Tracking'!E557&lt;&gt;"",1,0))</f>
        <v/>
      </c>
      <c r="D557" s="230" t="str">
        <f ca="1">IF(A557&gt;TODAY(),"",IF(N('Daily Tracking'!G557)&gt;=Settings!$B$13,1,0))</f>
        <v/>
      </c>
      <c r="E557" s="230" t="str">
        <f ca="1">IF(A557&gt;TODAY(),"",IF(N('Daily Tracking'!H557)&gt;=Settings!$B$14,1,0))</f>
        <v/>
      </c>
      <c r="F557" s="230" t="str">
        <f ca="1">IF(A557&gt;TODAY(),"",IF(OR(N('Daily Tracking'!I557)&gt;0,'Daily Tracking'!J557="Yes"),1,0))</f>
        <v/>
      </c>
      <c r="G557" s="230" t="str">
        <f ca="1">IF(A557&gt;TODAY(),"",IF(N('Daily Tracking'!K557)&gt;=Settings!$B$15,1,0))</f>
        <v/>
      </c>
      <c r="H557" s="231" t="str">
        <f ca="1">IF(B557="","",AVERAGE(B557:G557))</f>
        <v/>
      </c>
      <c r="I557" s="136" t="str">
        <f ca="1">IF(B557="","",IF(B557=1,N(I556)+1,0))</f>
        <v/>
      </c>
    </row>
    <row r="558" spans="1:9" ht="18" customHeight="1" x14ac:dyDescent="0.3">
      <c r="A558" s="132">
        <f>'Daily Tracking'!A558</f>
        <v>46830</v>
      </c>
      <c r="B558" s="230" t="str">
        <f ca="1">IF(A558&gt;TODAY(),"",IF('Daily Tracking'!B558&lt;&gt;"",1,0))</f>
        <v/>
      </c>
      <c r="C558" s="230" t="str">
        <f ca="1">IF(A558&gt;TODAY(),"",IF('Daily Tracking'!E558&lt;&gt;"",1,0))</f>
        <v/>
      </c>
      <c r="D558" s="230" t="str">
        <f ca="1">IF(A558&gt;TODAY(),"",IF(N('Daily Tracking'!G558)&gt;=Settings!$B$13,1,0))</f>
        <v/>
      </c>
      <c r="E558" s="230" t="str">
        <f ca="1">IF(A558&gt;TODAY(),"",IF(N('Daily Tracking'!H558)&gt;=Settings!$B$14,1,0))</f>
        <v/>
      </c>
      <c r="F558" s="230" t="str">
        <f ca="1">IF(A558&gt;TODAY(),"",IF(OR(N('Daily Tracking'!I558)&gt;0,'Daily Tracking'!J558="Yes"),1,0))</f>
        <v/>
      </c>
      <c r="G558" s="230" t="str">
        <f ca="1">IF(A558&gt;TODAY(),"",IF(N('Daily Tracking'!K558)&gt;=Settings!$B$15,1,0))</f>
        <v/>
      </c>
      <c r="H558" s="231" t="str">
        <f ca="1">IF(B558="","",AVERAGE(B558:G558))</f>
        <v/>
      </c>
      <c r="I558" s="136" t="str">
        <f ca="1">IF(B558="","",IF(B558=1,N(I557)+1,0))</f>
        <v/>
      </c>
    </row>
    <row r="559" spans="1:9" ht="18" customHeight="1" x14ac:dyDescent="0.3">
      <c r="A559" s="132">
        <f>'Daily Tracking'!A559</f>
        <v>46831</v>
      </c>
      <c r="B559" s="230" t="str">
        <f ca="1">IF(A559&gt;TODAY(),"",IF('Daily Tracking'!B559&lt;&gt;"",1,0))</f>
        <v/>
      </c>
      <c r="C559" s="230" t="str">
        <f ca="1">IF(A559&gt;TODAY(),"",IF('Daily Tracking'!E559&lt;&gt;"",1,0))</f>
        <v/>
      </c>
      <c r="D559" s="230" t="str">
        <f ca="1">IF(A559&gt;TODAY(),"",IF(N('Daily Tracking'!G559)&gt;=Settings!$B$13,1,0))</f>
        <v/>
      </c>
      <c r="E559" s="230" t="str">
        <f ca="1">IF(A559&gt;TODAY(),"",IF(N('Daily Tracking'!H559)&gt;=Settings!$B$14,1,0))</f>
        <v/>
      </c>
      <c r="F559" s="230" t="str">
        <f ca="1">IF(A559&gt;TODAY(),"",IF(OR(N('Daily Tracking'!I559)&gt;0,'Daily Tracking'!J559="Yes"),1,0))</f>
        <v/>
      </c>
      <c r="G559" s="230" t="str">
        <f ca="1">IF(A559&gt;TODAY(),"",IF(N('Daily Tracking'!K559)&gt;=Settings!$B$15,1,0))</f>
        <v/>
      </c>
      <c r="H559" s="231" t="str">
        <f ca="1">IF(B559="","",AVERAGE(B559:G559))</f>
        <v/>
      </c>
      <c r="I559" s="136" t="str">
        <f ca="1">IF(B559="","",IF(B559=1,N(I558)+1,0))</f>
        <v/>
      </c>
    </row>
    <row r="560" spans="1:9" ht="18" customHeight="1" x14ac:dyDescent="0.3">
      <c r="A560" s="132">
        <f>'Daily Tracking'!A560</f>
        <v>46832</v>
      </c>
      <c r="B560" s="230" t="str">
        <f ca="1">IF(A560&gt;TODAY(),"",IF('Daily Tracking'!B560&lt;&gt;"",1,0))</f>
        <v/>
      </c>
      <c r="C560" s="230" t="str">
        <f ca="1">IF(A560&gt;TODAY(),"",IF('Daily Tracking'!E560&lt;&gt;"",1,0))</f>
        <v/>
      </c>
      <c r="D560" s="230" t="str">
        <f ca="1">IF(A560&gt;TODAY(),"",IF(N('Daily Tracking'!G560)&gt;=Settings!$B$13,1,0))</f>
        <v/>
      </c>
      <c r="E560" s="230" t="str">
        <f ca="1">IF(A560&gt;TODAY(),"",IF(N('Daily Tracking'!H560)&gt;=Settings!$B$14,1,0))</f>
        <v/>
      </c>
      <c r="F560" s="230" t="str">
        <f ca="1">IF(A560&gt;TODAY(),"",IF(OR(N('Daily Tracking'!I560)&gt;0,'Daily Tracking'!J560="Yes"),1,0))</f>
        <v/>
      </c>
      <c r="G560" s="230" t="str">
        <f ca="1">IF(A560&gt;TODAY(),"",IF(N('Daily Tracking'!K560)&gt;=Settings!$B$15,1,0))</f>
        <v/>
      </c>
      <c r="H560" s="231" t="str">
        <f ca="1">IF(B560="","",AVERAGE(B560:G560))</f>
        <v/>
      </c>
      <c r="I560" s="136" t="str">
        <f ca="1">IF(B560="","",IF(B560=1,N(I559)+1,0))</f>
        <v/>
      </c>
    </row>
    <row r="561" spans="1:9" ht="18" customHeight="1" x14ac:dyDescent="0.3">
      <c r="A561" s="132">
        <f>'Daily Tracking'!A561</f>
        <v>46833</v>
      </c>
      <c r="B561" s="230" t="str">
        <f ca="1">IF(A561&gt;TODAY(),"",IF('Daily Tracking'!B561&lt;&gt;"",1,0))</f>
        <v/>
      </c>
      <c r="C561" s="230" t="str">
        <f ca="1">IF(A561&gt;TODAY(),"",IF('Daily Tracking'!E561&lt;&gt;"",1,0))</f>
        <v/>
      </c>
      <c r="D561" s="230" t="str">
        <f ca="1">IF(A561&gt;TODAY(),"",IF(N('Daily Tracking'!G561)&gt;=Settings!$B$13,1,0))</f>
        <v/>
      </c>
      <c r="E561" s="230" t="str">
        <f ca="1">IF(A561&gt;TODAY(),"",IF(N('Daily Tracking'!H561)&gt;=Settings!$B$14,1,0))</f>
        <v/>
      </c>
      <c r="F561" s="230" t="str">
        <f ca="1">IF(A561&gt;TODAY(),"",IF(OR(N('Daily Tracking'!I561)&gt;0,'Daily Tracking'!J561="Yes"),1,0))</f>
        <v/>
      </c>
      <c r="G561" s="230" t="str">
        <f ca="1">IF(A561&gt;TODAY(),"",IF(N('Daily Tracking'!K561)&gt;=Settings!$B$15,1,0))</f>
        <v/>
      </c>
      <c r="H561" s="231" t="str">
        <f ca="1">IF(B561="","",AVERAGE(B561:G561))</f>
        <v/>
      </c>
      <c r="I561" s="136" t="str">
        <f ca="1">IF(B561="","",IF(B561=1,N(I560)+1,0))</f>
        <v/>
      </c>
    </row>
    <row r="562" spans="1:9" ht="18" customHeight="1" x14ac:dyDescent="0.3">
      <c r="A562" s="132">
        <f>'Daily Tracking'!A562</f>
        <v>46834</v>
      </c>
      <c r="B562" s="230" t="str">
        <f ca="1">IF(A562&gt;TODAY(),"",IF('Daily Tracking'!B562&lt;&gt;"",1,0))</f>
        <v/>
      </c>
      <c r="C562" s="230" t="str">
        <f ca="1">IF(A562&gt;TODAY(),"",IF('Daily Tracking'!E562&lt;&gt;"",1,0))</f>
        <v/>
      </c>
      <c r="D562" s="230" t="str">
        <f ca="1">IF(A562&gt;TODAY(),"",IF(N('Daily Tracking'!G562)&gt;=Settings!$B$13,1,0))</f>
        <v/>
      </c>
      <c r="E562" s="230" t="str">
        <f ca="1">IF(A562&gt;TODAY(),"",IF(N('Daily Tracking'!H562)&gt;=Settings!$B$14,1,0))</f>
        <v/>
      </c>
      <c r="F562" s="230" t="str">
        <f ca="1">IF(A562&gt;TODAY(),"",IF(OR(N('Daily Tracking'!I562)&gt;0,'Daily Tracking'!J562="Yes"),1,0))</f>
        <v/>
      </c>
      <c r="G562" s="230" t="str">
        <f ca="1">IF(A562&gt;TODAY(),"",IF(N('Daily Tracking'!K562)&gt;=Settings!$B$15,1,0))</f>
        <v/>
      </c>
      <c r="H562" s="231" t="str">
        <f ca="1">IF(B562="","",AVERAGE(B562:G562))</f>
        <v/>
      </c>
      <c r="I562" s="136" t="str">
        <f ca="1">IF(B562="","",IF(B562=1,N(I561)+1,0))</f>
        <v/>
      </c>
    </row>
    <row r="563" spans="1:9" ht="18" customHeight="1" x14ac:dyDescent="0.3">
      <c r="A563" s="132">
        <f>'Daily Tracking'!A563</f>
        <v>46835</v>
      </c>
      <c r="B563" s="230" t="str">
        <f ca="1">IF(A563&gt;TODAY(),"",IF('Daily Tracking'!B563&lt;&gt;"",1,0))</f>
        <v/>
      </c>
      <c r="C563" s="230" t="str">
        <f ca="1">IF(A563&gt;TODAY(),"",IF('Daily Tracking'!E563&lt;&gt;"",1,0))</f>
        <v/>
      </c>
      <c r="D563" s="230" t="str">
        <f ca="1">IF(A563&gt;TODAY(),"",IF(N('Daily Tracking'!G563)&gt;=Settings!$B$13,1,0))</f>
        <v/>
      </c>
      <c r="E563" s="230" t="str">
        <f ca="1">IF(A563&gt;TODAY(),"",IF(N('Daily Tracking'!H563)&gt;=Settings!$B$14,1,0))</f>
        <v/>
      </c>
      <c r="F563" s="230" t="str">
        <f ca="1">IF(A563&gt;TODAY(),"",IF(OR(N('Daily Tracking'!I563)&gt;0,'Daily Tracking'!J563="Yes"),1,0))</f>
        <v/>
      </c>
      <c r="G563" s="230" t="str">
        <f ca="1">IF(A563&gt;TODAY(),"",IF(N('Daily Tracking'!K563)&gt;=Settings!$B$15,1,0))</f>
        <v/>
      </c>
      <c r="H563" s="231" t="str">
        <f ca="1">IF(B563="","",AVERAGE(B563:G563))</f>
        <v/>
      </c>
      <c r="I563" s="136" t="str">
        <f ca="1">IF(B563="","",IF(B563=1,N(I562)+1,0))</f>
        <v/>
      </c>
    </row>
    <row r="564" spans="1:9" ht="18" customHeight="1" x14ac:dyDescent="0.3">
      <c r="A564" s="132">
        <f>'Daily Tracking'!A564</f>
        <v>46836</v>
      </c>
      <c r="B564" s="230" t="str">
        <f ca="1">IF(A564&gt;TODAY(),"",IF('Daily Tracking'!B564&lt;&gt;"",1,0))</f>
        <v/>
      </c>
      <c r="C564" s="230" t="str">
        <f ca="1">IF(A564&gt;TODAY(),"",IF('Daily Tracking'!E564&lt;&gt;"",1,0))</f>
        <v/>
      </c>
      <c r="D564" s="230" t="str">
        <f ca="1">IF(A564&gt;TODAY(),"",IF(N('Daily Tracking'!G564)&gt;=Settings!$B$13,1,0))</f>
        <v/>
      </c>
      <c r="E564" s="230" t="str">
        <f ca="1">IF(A564&gt;TODAY(),"",IF(N('Daily Tracking'!H564)&gt;=Settings!$B$14,1,0))</f>
        <v/>
      </c>
      <c r="F564" s="230" t="str">
        <f ca="1">IF(A564&gt;TODAY(),"",IF(OR(N('Daily Tracking'!I564)&gt;0,'Daily Tracking'!J564="Yes"),1,0))</f>
        <v/>
      </c>
      <c r="G564" s="230" t="str">
        <f ca="1">IF(A564&gt;TODAY(),"",IF(N('Daily Tracking'!K564)&gt;=Settings!$B$15,1,0))</f>
        <v/>
      </c>
      <c r="H564" s="231" t="str">
        <f ca="1">IF(B564="","",AVERAGE(B564:G564))</f>
        <v/>
      </c>
      <c r="I564" s="136" t="str">
        <f ca="1">IF(B564="","",IF(B564=1,N(I563)+1,0))</f>
        <v/>
      </c>
    </row>
    <row r="565" spans="1:9" ht="18" customHeight="1" x14ac:dyDescent="0.3">
      <c r="A565" s="132">
        <f>'Daily Tracking'!A565</f>
        <v>46837</v>
      </c>
      <c r="B565" s="230" t="str">
        <f ca="1">IF(A565&gt;TODAY(),"",IF('Daily Tracking'!B565&lt;&gt;"",1,0))</f>
        <v/>
      </c>
      <c r="C565" s="230" t="str">
        <f ca="1">IF(A565&gt;TODAY(),"",IF('Daily Tracking'!E565&lt;&gt;"",1,0))</f>
        <v/>
      </c>
      <c r="D565" s="230" t="str">
        <f ca="1">IF(A565&gt;TODAY(),"",IF(N('Daily Tracking'!G565)&gt;=Settings!$B$13,1,0))</f>
        <v/>
      </c>
      <c r="E565" s="230" t="str">
        <f ca="1">IF(A565&gt;TODAY(),"",IF(N('Daily Tracking'!H565)&gt;=Settings!$B$14,1,0))</f>
        <v/>
      </c>
      <c r="F565" s="230" t="str">
        <f ca="1">IF(A565&gt;TODAY(),"",IF(OR(N('Daily Tracking'!I565)&gt;0,'Daily Tracking'!J565="Yes"),1,0))</f>
        <v/>
      </c>
      <c r="G565" s="230" t="str">
        <f ca="1">IF(A565&gt;TODAY(),"",IF(N('Daily Tracking'!K565)&gt;=Settings!$B$15,1,0))</f>
        <v/>
      </c>
      <c r="H565" s="231" t="str">
        <f ca="1">IF(B565="","",AVERAGE(B565:G565))</f>
        <v/>
      </c>
      <c r="I565" s="136" t="str">
        <f ca="1">IF(B565="","",IF(B565=1,N(I564)+1,0))</f>
        <v/>
      </c>
    </row>
    <row r="566" spans="1:9" ht="18" customHeight="1" x14ac:dyDescent="0.3">
      <c r="A566" s="132">
        <f>'Daily Tracking'!A566</f>
        <v>46838</v>
      </c>
      <c r="B566" s="230" t="str">
        <f ca="1">IF(A566&gt;TODAY(),"",IF('Daily Tracking'!B566&lt;&gt;"",1,0))</f>
        <v/>
      </c>
      <c r="C566" s="230" t="str">
        <f ca="1">IF(A566&gt;TODAY(),"",IF('Daily Tracking'!E566&lt;&gt;"",1,0))</f>
        <v/>
      </c>
      <c r="D566" s="230" t="str">
        <f ca="1">IF(A566&gt;TODAY(),"",IF(N('Daily Tracking'!G566)&gt;=Settings!$B$13,1,0))</f>
        <v/>
      </c>
      <c r="E566" s="230" t="str">
        <f ca="1">IF(A566&gt;TODAY(),"",IF(N('Daily Tracking'!H566)&gt;=Settings!$B$14,1,0))</f>
        <v/>
      </c>
      <c r="F566" s="230" t="str">
        <f ca="1">IF(A566&gt;TODAY(),"",IF(OR(N('Daily Tracking'!I566)&gt;0,'Daily Tracking'!J566="Yes"),1,0))</f>
        <v/>
      </c>
      <c r="G566" s="230" t="str">
        <f ca="1">IF(A566&gt;TODAY(),"",IF(N('Daily Tracking'!K566)&gt;=Settings!$B$15,1,0))</f>
        <v/>
      </c>
      <c r="H566" s="231" t="str">
        <f ca="1">IF(B566="","",AVERAGE(B566:G566))</f>
        <v/>
      </c>
      <c r="I566" s="136" t="str">
        <f ca="1">IF(B566="","",IF(B566=1,N(I565)+1,0))</f>
        <v/>
      </c>
    </row>
    <row r="567" spans="1:9" ht="18" customHeight="1" x14ac:dyDescent="0.3">
      <c r="A567" s="132">
        <f>'Daily Tracking'!A567</f>
        <v>46839</v>
      </c>
      <c r="B567" s="230" t="str">
        <f ca="1">IF(A567&gt;TODAY(),"",IF('Daily Tracking'!B567&lt;&gt;"",1,0))</f>
        <v/>
      </c>
      <c r="C567" s="230" t="str">
        <f ca="1">IF(A567&gt;TODAY(),"",IF('Daily Tracking'!E567&lt;&gt;"",1,0))</f>
        <v/>
      </c>
      <c r="D567" s="230" t="str">
        <f ca="1">IF(A567&gt;TODAY(),"",IF(N('Daily Tracking'!G567)&gt;=Settings!$B$13,1,0))</f>
        <v/>
      </c>
      <c r="E567" s="230" t="str">
        <f ca="1">IF(A567&gt;TODAY(),"",IF(N('Daily Tracking'!H567)&gt;=Settings!$B$14,1,0))</f>
        <v/>
      </c>
      <c r="F567" s="230" t="str">
        <f ca="1">IF(A567&gt;TODAY(),"",IF(OR(N('Daily Tracking'!I567)&gt;0,'Daily Tracking'!J567="Yes"),1,0))</f>
        <v/>
      </c>
      <c r="G567" s="230" t="str">
        <f ca="1">IF(A567&gt;TODAY(),"",IF(N('Daily Tracking'!K567)&gt;=Settings!$B$15,1,0))</f>
        <v/>
      </c>
      <c r="H567" s="231" t="str">
        <f ca="1">IF(B567="","",AVERAGE(B567:G567))</f>
        <v/>
      </c>
      <c r="I567" s="136" t="str">
        <f ca="1">IF(B567="","",IF(B567=1,N(I566)+1,0))</f>
        <v/>
      </c>
    </row>
    <row r="568" spans="1:9" ht="18" customHeight="1" x14ac:dyDescent="0.3">
      <c r="A568" s="132">
        <f>'Daily Tracking'!A568</f>
        <v>46840</v>
      </c>
      <c r="B568" s="230" t="str">
        <f ca="1">IF(A568&gt;TODAY(),"",IF('Daily Tracking'!B568&lt;&gt;"",1,0))</f>
        <v/>
      </c>
      <c r="C568" s="230" t="str">
        <f ca="1">IF(A568&gt;TODAY(),"",IF('Daily Tracking'!E568&lt;&gt;"",1,0))</f>
        <v/>
      </c>
      <c r="D568" s="230" t="str">
        <f ca="1">IF(A568&gt;TODAY(),"",IF(N('Daily Tracking'!G568)&gt;=Settings!$B$13,1,0))</f>
        <v/>
      </c>
      <c r="E568" s="230" t="str">
        <f ca="1">IF(A568&gt;TODAY(),"",IF(N('Daily Tracking'!H568)&gt;=Settings!$B$14,1,0))</f>
        <v/>
      </c>
      <c r="F568" s="230" t="str">
        <f ca="1">IF(A568&gt;TODAY(),"",IF(OR(N('Daily Tracking'!I568)&gt;0,'Daily Tracking'!J568="Yes"),1,0))</f>
        <v/>
      </c>
      <c r="G568" s="230" t="str">
        <f ca="1">IF(A568&gt;TODAY(),"",IF(N('Daily Tracking'!K568)&gt;=Settings!$B$15,1,0))</f>
        <v/>
      </c>
      <c r="H568" s="231" t="str">
        <f ca="1">IF(B568="","",AVERAGE(B568:G568))</f>
        <v/>
      </c>
      <c r="I568" s="136" t="str">
        <f ca="1">IF(B568="","",IF(B568=1,N(I567)+1,0))</f>
        <v/>
      </c>
    </row>
    <row r="569" spans="1:9" ht="18" customHeight="1" x14ac:dyDescent="0.3">
      <c r="A569" s="132">
        <f>'Daily Tracking'!A569</f>
        <v>46841</v>
      </c>
      <c r="B569" s="230" t="str">
        <f ca="1">IF(A569&gt;TODAY(),"",IF('Daily Tracking'!B569&lt;&gt;"",1,0))</f>
        <v/>
      </c>
      <c r="C569" s="230" t="str">
        <f ca="1">IF(A569&gt;TODAY(),"",IF('Daily Tracking'!E569&lt;&gt;"",1,0))</f>
        <v/>
      </c>
      <c r="D569" s="230" t="str">
        <f ca="1">IF(A569&gt;TODAY(),"",IF(N('Daily Tracking'!G569)&gt;=Settings!$B$13,1,0))</f>
        <v/>
      </c>
      <c r="E569" s="230" t="str">
        <f ca="1">IF(A569&gt;TODAY(),"",IF(N('Daily Tracking'!H569)&gt;=Settings!$B$14,1,0))</f>
        <v/>
      </c>
      <c r="F569" s="230" t="str">
        <f ca="1">IF(A569&gt;TODAY(),"",IF(OR(N('Daily Tracking'!I569)&gt;0,'Daily Tracking'!J569="Yes"),1,0))</f>
        <v/>
      </c>
      <c r="G569" s="230" t="str">
        <f ca="1">IF(A569&gt;TODAY(),"",IF(N('Daily Tracking'!K569)&gt;=Settings!$B$15,1,0))</f>
        <v/>
      </c>
      <c r="H569" s="231" t="str">
        <f ca="1">IF(B569="","",AVERAGE(B569:G569))</f>
        <v/>
      </c>
      <c r="I569" s="136" t="str">
        <f ca="1">IF(B569="","",IF(B569=1,N(I568)+1,0))</f>
        <v/>
      </c>
    </row>
    <row r="570" spans="1:9" ht="18" customHeight="1" x14ac:dyDescent="0.3">
      <c r="A570" s="132">
        <f>'Daily Tracking'!A570</f>
        <v>46842</v>
      </c>
      <c r="B570" s="230" t="str">
        <f ca="1">IF(A570&gt;TODAY(),"",IF('Daily Tracking'!B570&lt;&gt;"",1,0))</f>
        <v/>
      </c>
      <c r="C570" s="230" t="str">
        <f ca="1">IF(A570&gt;TODAY(),"",IF('Daily Tracking'!E570&lt;&gt;"",1,0))</f>
        <v/>
      </c>
      <c r="D570" s="230" t="str">
        <f ca="1">IF(A570&gt;TODAY(),"",IF(N('Daily Tracking'!G570)&gt;=Settings!$B$13,1,0))</f>
        <v/>
      </c>
      <c r="E570" s="230" t="str">
        <f ca="1">IF(A570&gt;TODAY(),"",IF(N('Daily Tracking'!H570)&gt;=Settings!$B$14,1,0))</f>
        <v/>
      </c>
      <c r="F570" s="230" t="str">
        <f ca="1">IF(A570&gt;TODAY(),"",IF(OR(N('Daily Tracking'!I570)&gt;0,'Daily Tracking'!J570="Yes"),1,0))</f>
        <v/>
      </c>
      <c r="G570" s="230" t="str">
        <f ca="1">IF(A570&gt;TODAY(),"",IF(N('Daily Tracking'!K570)&gt;=Settings!$B$15,1,0))</f>
        <v/>
      </c>
      <c r="H570" s="231" t="str">
        <f ca="1">IF(B570="","",AVERAGE(B570:G570))</f>
        <v/>
      </c>
      <c r="I570" s="136" t="str">
        <f ca="1">IF(B570="","",IF(B570=1,N(I569)+1,0))</f>
        <v/>
      </c>
    </row>
    <row r="571" spans="1:9" ht="18" customHeight="1" x14ac:dyDescent="0.3">
      <c r="A571" s="132">
        <f>'Daily Tracking'!A571</f>
        <v>46843</v>
      </c>
      <c r="B571" s="230" t="str">
        <f ca="1">IF(A571&gt;TODAY(),"",IF('Daily Tracking'!B571&lt;&gt;"",1,0))</f>
        <v/>
      </c>
      <c r="C571" s="230" t="str">
        <f ca="1">IF(A571&gt;TODAY(),"",IF('Daily Tracking'!E571&lt;&gt;"",1,0))</f>
        <v/>
      </c>
      <c r="D571" s="230" t="str">
        <f ca="1">IF(A571&gt;TODAY(),"",IF(N('Daily Tracking'!G571)&gt;=Settings!$B$13,1,0))</f>
        <v/>
      </c>
      <c r="E571" s="230" t="str">
        <f ca="1">IF(A571&gt;TODAY(),"",IF(N('Daily Tracking'!H571)&gt;=Settings!$B$14,1,0))</f>
        <v/>
      </c>
      <c r="F571" s="230" t="str">
        <f ca="1">IF(A571&gt;TODAY(),"",IF(OR(N('Daily Tracking'!I571)&gt;0,'Daily Tracking'!J571="Yes"),1,0))</f>
        <v/>
      </c>
      <c r="G571" s="230" t="str">
        <f ca="1">IF(A571&gt;TODAY(),"",IF(N('Daily Tracking'!K571)&gt;=Settings!$B$15,1,0))</f>
        <v/>
      </c>
      <c r="H571" s="231" t="str">
        <f ca="1">IF(B571="","",AVERAGE(B571:G571))</f>
        <v/>
      </c>
      <c r="I571" s="136" t="str">
        <f ca="1">IF(B571="","",IF(B571=1,N(I570)+1,0))</f>
        <v/>
      </c>
    </row>
    <row r="572" spans="1:9" ht="18" customHeight="1" x14ac:dyDescent="0.3">
      <c r="A572" s="132">
        <f>'Daily Tracking'!A572</f>
        <v>46844</v>
      </c>
      <c r="B572" s="230" t="str">
        <f ca="1">IF(A572&gt;TODAY(),"",IF('Daily Tracking'!B572&lt;&gt;"",1,0))</f>
        <v/>
      </c>
      <c r="C572" s="230" t="str">
        <f ca="1">IF(A572&gt;TODAY(),"",IF('Daily Tracking'!E572&lt;&gt;"",1,0))</f>
        <v/>
      </c>
      <c r="D572" s="230" t="str">
        <f ca="1">IF(A572&gt;TODAY(),"",IF(N('Daily Tracking'!G572)&gt;=Settings!$B$13,1,0))</f>
        <v/>
      </c>
      <c r="E572" s="230" t="str">
        <f ca="1">IF(A572&gt;TODAY(),"",IF(N('Daily Tracking'!H572)&gt;=Settings!$B$14,1,0))</f>
        <v/>
      </c>
      <c r="F572" s="230" t="str">
        <f ca="1">IF(A572&gt;TODAY(),"",IF(OR(N('Daily Tracking'!I572)&gt;0,'Daily Tracking'!J572="Yes"),1,0))</f>
        <v/>
      </c>
      <c r="G572" s="230" t="str">
        <f ca="1">IF(A572&gt;TODAY(),"",IF(N('Daily Tracking'!K572)&gt;=Settings!$B$15,1,0))</f>
        <v/>
      </c>
      <c r="H572" s="231" t="str">
        <f ca="1">IF(B572="","",AVERAGE(B572:G572))</f>
        <v/>
      </c>
      <c r="I572" s="136" t="str">
        <f ca="1">IF(B572="","",IF(B572=1,N(I571)+1,0))</f>
        <v/>
      </c>
    </row>
    <row r="573" spans="1:9" ht="18" customHeight="1" x14ac:dyDescent="0.3">
      <c r="A573" s="132">
        <f>'Daily Tracking'!A573</f>
        <v>46845</v>
      </c>
      <c r="B573" s="230" t="str">
        <f ca="1">IF(A573&gt;TODAY(),"",IF('Daily Tracking'!B573&lt;&gt;"",1,0))</f>
        <v/>
      </c>
      <c r="C573" s="230" t="str">
        <f ca="1">IF(A573&gt;TODAY(),"",IF('Daily Tracking'!E573&lt;&gt;"",1,0))</f>
        <v/>
      </c>
      <c r="D573" s="230" t="str">
        <f ca="1">IF(A573&gt;TODAY(),"",IF(N('Daily Tracking'!G573)&gt;=Settings!$B$13,1,0))</f>
        <v/>
      </c>
      <c r="E573" s="230" t="str">
        <f ca="1">IF(A573&gt;TODAY(),"",IF(N('Daily Tracking'!H573)&gt;=Settings!$B$14,1,0))</f>
        <v/>
      </c>
      <c r="F573" s="230" t="str">
        <f ca="1">IF(A573&gt;TODAY(),"",IF(OR(N('Daily Tracking'!I573)&gt;0,'Daily Tracking'!J573="Yes"),1,0))</f>
        <v/>
      </c>
      <c r="G573" s="230" t="str">
        <f ca="1">IF(A573&gt;TODAY(),"",IF(N('Daily Tracking'!K573)&gt;=Settings!$B$15,1,0))</f>
        <v/>
      </c>
      <c r="H573" s="231" t="str">
        <f ca="1">IF(B573="","",AVERAGE(B573:G573))</f>
        <v/>
      </c>
      <c r="I573" s="136" t="str">
        <f ca="1">IF(B573="","",IF(B573=1,N(I572)+1,0))</f>
        <v/>
      </c>
    </row>
    <row r="574" spans="1:9" ht="18" customHeight="1" x14ac:dyDescent="0.3">
      <c r="A574" s="132">
        <f>'Daily Tracking'!A574</f>
        <v>46846</v>
      </c>
      <c r="B574" s="230" t="str">
        <f ca="1">IF(A574&gt;TODAY(),"",IF('Daily Tracking'!B574&lt;&gt;"",1,0))</f>
        <v/>
      </c>
      <c r="C574" s="230" t="str">
        <f ca="1">IF(A574&gt;TODAY(),"",IF('Daily Tracking'!E574&lt;&gt;"",1,0))</f>
        <v/>
      </c>
      <c r="D574" s="230" t="str">
        <f ca="1">IF(A574&gt;TODAY(),"",IF(N('Daily Tracking'!G574)&gt;=Settings!$B$13,1,0))</f>
        <v/>
      </c>
      <c r="E574" s="230" t="str">
        <f ca="1">IF(A574&gt;TODAY(),"",IF(N('Daily Tracking'!H574)&gt;=Settings!$B$14,1,0))</f>
        <v/>
      </c>
      <c r="F574" s="230" t="str">
        <f ca="1">IF(A574&gt;TODAY(),"",IF(OR(N('Daily Tracking'!I574)&gt;0,'Daily Tracking'!J574="Yes"),1,0))</f>
        <v/>
      </c>
      <c r="G574" s="230" t="str">
        <f ca="1">IF(A574&gt;TODAY(),"",IF(N('Daily Tracking'!K574)&gt;=Settings!$B$15,1,0))</f>
        <v/>
      </c>
      <c r="H574" s="231" t="str">
        <f ca="1">IF(B574="","",AVERAGE(B574:G574))</f>
        <v/>
      </c>
      <c r="I574" s="136" t="str">
        <f ca="1">IF(B574="","",IF(B574=1,N(I573)+1,0))</f>
        <v/>
      </c>
    </row>
    <row r="575" spans="1:9" ht="18" customHeight="1" x14ac:dyDescent="0.3">
      <c r="A575" s="132">
        <f>'Daily Tracking'!A575</f>
        <v>46847</v>
      </c>
      <c r="B575" s="230" t="str">
        <f ca="1">IF(A575&gt;TODAY(),"",IF('Daily Tracking'!B575&lt;&gt;"",1,0))</f>
        <v/>
      </c>
      <c r="C575" s="230" t="str">
        <f ca="1">IF(A575&gt;TODAY(),"",IF('Daily Tracking'!E575&lt;&gt;"",1,0))</f>
        <v/>
      </c>
      <c r="D575" s="230" t="str">
        <f ca="1">IF(A575&gt;TODAY(),"",IF(N('Daily Tracking'!G575)&gt;=Settings!$B$13,1,0))</f>
        <v/>
      </c>
      <c r="E575" s="230" t="str">
        <f ca="1">IF(A575&gt;TODAY(),"",IF(N('Daily Tracking'!H575)&gt;=Settings!$B$14,1,0))</f>
        <v/>
      </c>
      <c r="F575" s="230" t="str">
        <f ca="1">IF(A575&gt;TODAY(),"",IF(OR(N('Daily Tracking'!I575)&gt;0,'Daily Tracking'!J575="Yes"),1,0))</f>
        <v/>
      </c>
      <c r="G575" s="230" t="str">
        <f ca="1">IF(A575&gt;TODAY(),"",IF(N('Daily Tracking'!K575)&gt;=Settings!$B$15,1,0))</f>
        <v/>
      </c>
      <c r="H575" s="231" t="str">
        <f ca="1">IF(B575="","",AVERAGE(B575:G575))</f>
        <v/>
      </c>
      <c r="I575" s="136" t="str">
        <f ca="1">IF(B575="","",IF(B575=1,N(I574)+1,0))</f>
        <v/>
      </c>
    </row>
    <row r="576" spans="1:9" ht="18" customHeight="1" x14ac:dyDescent="0.3">
      <c r="A576" s="132">
        <f>'Daily Tracking'!A576</f>
        <v>46848</v>
      </c>
      <c r="B576" s="230" t="str">
        <f ca="1">IF(A576&gt;TODAY(),"",IF('Daily Tracking'!B576&lt;&gt;"",1,0))</f>
        <v/>
      </c>
      <c r="C576" s="230" t="str">
        <f ca="1">IF(A576&gt;TODAY(),"",IF('Daily Tracking'!E576&lt;&gt;"",1,0))</f>
        <v/>
      </c>
      <c r="D576" s="230" t="str">
        <f ca="1">IF(A576&gt;TODAY(),"",IF(N('Daily Tracking'!G576)&gt;=Settings!$B$13,1,0))</f>
        <v/>
      </c>
      <c r="E576" s="230" t="str">
        <f ca="1">IF(A576&gt;TODAY(),"",IF(N('Daily Tracking'!H576)&gt;=Settings!$B$14,1,0))</f>
        <v/>
      </c>
      <c r="F576" s="230" t="str">
        <f ca="1">IF(A576&gt;TODAY(),"",IF(OR(N('Daily Tracking'!I576)&gt;0,'Daily Tracking'!J576="Yes"),1,0))</f>
        <v/>
      </c>
      <c r="G576" s="230" t="str">
        <f ca="1">IF(A576&gt;TODAY(),"",IF(N('Daily Tracking'!K576)&gt;=Settings!$B$15,1,0))</f>
        <v/>
      </c>
      <c r="H576" s="231" t="str">
        <f ca="1">IF(B576="","",AVERAGE(B576:G576))</f>
        <v/>
      </c>
      <c r="I576" s="136" t="str">
        <f ca="1">IF(B576="","",IF(B576=1,N(I575)+1,0))</f>
        <v/>
      </c>
    </row>
    <row r="577" spans="1:9" ht="18" customHeight="1" x14ac:dyDescent="0.3">
      <c r="A577" s="132">
        <f>'Daily Tracking'!A577</f>
        <v>46849</v>
      </c>
      <c r="B577" s="230" t="str">
        <f ca="1">IF(A577&gt;TODAY(),"",IF('Daily Tracking'!B577&lt;&gt;"",1,0))</f>
        <v/>
      </c>
      <c r="C577" s="230" t="str">
        <f ca="1">IF(A577&gt;TODAY(),"",IF('Daily Tracking'!E577&lt;&gt;"",1,0))</f>
        <v/>
      </c>
      <c r="D577" s="230" t="str">
        <f ca="1">IF(A577&gt;TODAY(),"",IF(N('Daily Tracking'!G577)&gt;=Settings!$B$13,1,0))</f>
        <v/>
      </c>
      <c r="E577" s="230" t="str">
        <f ca="1">IF(A577&gt;TODAY(),"",IF(N('Daily Tracking'!H577)&gt;=Settings!$B$14,1,0))</f>
        <v/>
      </c>
      <c r="F577" s="230" t="str">
        <f ca="1">IF(A577&gt;TODAY(),"",IF(OR(N('Daily Tracking'!I577)&gt;0,'Daily Tracking'!J577="Yes"),1,0))</f>
        <v/>
      </c>
      <c r="G577" s="230" t="str">
        <f ca="1">IF(A577&gt;TODAY(),"",IF(N('Daily Tracking'!K577)&gt;=Settings!$B$15,1,0))</f>
        <v/>
      </c>
      <c r="H577" s="231" t="str">
        <f ca="1">IF(B577="","",AVERAGE(B577:G577))</f>
        <v/>
      </c>
      <c r="I577" s="136" t="str">
        <f ca="1">IF(B577="","",IF(B577=1,N(I576)+1,0))</f>
        <v/>
      </c>
    </row>
    <row r="578" spans="1:9" ht="18" customHeight="1" x14ac:dyDescent="0.3">
      <c r="A578" s="132">
        <f>'Daily Tracking'!A578</f>
        <v>46850</v>
      </c>
      <c r="B578" s="230" t="str">
        <f ca="1">IF(A578&gt;TODAY(),"",IF('Daily Tracking'!B578&lt;&gt;"",1,0))</f>
        <v/>
      </c>
      <c r="C578" s="230" t="str">
        <f ca="1">IF(A578&gt;TODAY(),"",IF('Daily Tracking'!E578&lt;&gt;"",1,0))</f>
        <v/>
      </c>
      <c r="D578" s="230" t="str">
        <f ca="1">IF(A578&gt;TODAY(),"",IF(N('Daily Tracking'!G578)&gt;=Settings!$B$13,1,0))</f>
        <v/>
      </c>
      <c r="E578" s="230" t="str">
        <f ca="1">IF(A578&gt;TODAY(),"",IF(N('Daily Tracking'!H578)&gt;=Settings!$B$14,1,0))</f>
        <v/>
      </c>
      <c r="F578" s="230" t="str">
        <f ca="1">IF(A578&gt;TODAY(),"",IF(OR(N('Daily Tracking'!I578)&gt;0,'Daily Tracking'!J578="Yes"),1,0))</f>
        <v/>
      </c>
      <c r="G578" s="230" t="str">
        <f ca="1">IF(A578&gt;TODAY(),"",IF(N('Daily Tracking'!K578)&gt;=Settings!$B$15,1,0))</f>
        <v/>
      </c>
      <c r="H578" s="231" t="str">
        <f ca="1">IF(B578="","",AVERAGE(B578:G578))</f>
        <v/>
      </c>
      <c r="I578" s="136" t="str">
        <f ca="1">IF(B578="","",IF(B578=1,N(I577)+1,0))</f>
        <v/>
      </c>
    </row>
    <row r="579" spans="1:9" ht="18" customHeight="1" x14ac:dyDescent="0.3">
      <c r="A579" s="132">
        <f>'Daily Tracking'!A579</f>
        <v>46851</v>
      </c>
      <c r="B579" s="230" t="str">
        <f ca="1">IF(A579&gt;TODAY(),"",IF('Daily Tracking'!B579&lt;&gt;"",1,0))</f>
        <v/>
      </c>
      <c r="C579" s="230" t="str">
        <f ca="1">IF(A579&gt;TODAY(),"",IF('Daily Tracking'!E579&lt;&gt;"",1,0))</f>
        <v/>
      </c>
      <c r="D579" s="230" t="str">
        <f ca="1">IF(A579&gt;TODAY(),"",IF(N('Daily Tracking'!G579)&gt;=Settings!$B$13,1,0))</f>
        <v/>
      </c>
      <c r="E579" s="230" t="str">
        <f ca="1">IF(A579&gt;TODAY(),"",IF(N('Daily Tracking'!H579)&gt;=Settings!$B$14,1,0))</f>
        <v/>
      </c>
      <c r="F579" s="230" t="str">
        <f ca="1">IF(A579&gt;TODAY(),"",IF(OR(N('Daily Tracking'!I579)&gt;0,'Daily Tracking'!J579="Yes"),1,0))</f>
        <v/>
      </c>
      <c r="G579" s="230" t="str">
        <f ca="1">IF(A579&gt;TODAY(),"",IF(N('Daily Tracking'!K579)&gt;=Settings!$B$15,1,0))</f>
        <v/>
      </c>
      <c r="H579" s="231" t="str">
        <f ca="1">IF(B579="","",AVERAGE(B579:G579))</f>
        <v/>
      </c>
      <c r="I579" s="136" t="str">
        <f ca="1">IF(B579="","",IF(B579=1,N(I578)+1,0))</f>
        <v/>
      </c>
    </row>
    <row r="580" spans="1:9" ht="18" customHeight="1" x14ac:dyDescent="0.3">
      <c r="A580" s="132">
        <f>'Daily Tracking'!A580</f>
        <v>46852</v>
      </c>
      <c r="B580" s="230" t="str">
        <f ca="1">IF(A580&gt;TODAY(),"",IF('Daily Tracking'!B580&lt;&gt;"",1,0))</f>
        <v/>
      </c>
      <c r="C580" s="230" t="str">
        <f ca="1">IF(A580&gt;TODAY(),"",IF('Daily Tracking'!E580&lt;&gt;"",1,0))</f>
        <v/>
      </c>
      <c r="D580" s="230" t="str">
        <f ca="1">IF(A580&gt;TODAY(),"",IF(N('Daily Tracking'!G580)&gt;=Settings!$B$13,1,0))</f>
        <v/>
      </c>
      <c r="E580" s="230" t="str">
        <f ca="1">IF(A580&gt;TODAY(),"",IF(N('Daily Tracking'!H580)&gt;=Settings!$B$14,1,0))</f>
        <v/>
      </c>
      <c r="F580" s="230" t="str">
        <f ca="1">IF(A580&gt;TODAY(),"",IF(OR(N('Daily Tracking'!I580)&gt;0,'Daily Tracking'!J580="Yes"),1,0))</f>
        <v/>
      </c>
      <c r="G580" s="230" t="str">
        <f ca="1">IF(A580&gt;TODAY(),"",IF(N('Daily Tracking'!K580)&gt;=Settings!$B$15,1,0))</f>
        <v/>
      </c>
      <c r="H580" s="231" t="str">
        <f ca="1">IF(B580="","",AVERAGE(B580:G580))</f>
        <v/>
      </c>
      <c r="I580" s="136" t="str">
        <f ca="1">IF(B580="","",IF(B580=1,N(I579)+1,0))</f>
        <v/>
      </c>
    </row>
    <row r="581" spans="1:9" ht="18" customHeight="1" x14ac:dyDescent="0.3">
      <c r="A581" s="132">
        <f>'Daily Tracking'!A581</f>
        <v>46853</v>
      </c>
      <c r="B581" s="230" t="str">
        <f ca="1">IF(A581&gt;TODAY(),"",IF('Daily Tracking'!B581&lt;&gt;"",1,0))</f>
        <v/>
      </c>
      <c r="C581" s="230" t="str">
        <f ca="1">IF(A581&gt;TODAY(),"",IF('Daily Tracking'!E581&lt;&gt;"",1,0))</f>
        <v/>
      </c>
      <c r="D581" s="230" t="str">
        <f ca="1">IF(A581&gt;TODAY(),"",IF(N('Daily Tracking'!G581)&gt;=Settings!$B$13,1,0))</f>
        <v/>
      </c>
      <c r="E581" s="230" t="str">
        <f ca="1">IF(A581&gt;TODAY(),"",IF(N('Daily Tracking'!H581)&gt;=Settings!$B$14,1,0))</f>
        <v/>
      </c>
      <c r="F581" s="230" t="str">
        <f ca="1">IF(A581&gt;TODAY(),"",IF(OR(N('Daily Tracking'!I581)&gt;0,'Daily Tracking'!J581="Yes"),1,0))</f>
        <v/>
      </c>
      <c r="G581" s="230" t="str">
        <f ca="1">IF(A581&gt;TODAY(),"",IF(N('Daily Tracking'!K581)&gt;=Settings!$B$15,1,0))</f>
        <v/>
      </c>
      <c r="H581" s="231" t="str">
        <f ca="1">IF(B581="","",AVERAGE(B581:G581))</f>
        <v/>
      </c>
      <c r="I581" s="136" t="str">
        <f ca="1">IF(B581="","",IF(B581=1,N(I580)+1,0))</f>
        <v/>
      </c>
    </row>
    <row r="582" spans="1:9" ht="18" customHeight="1" x14ac:dyDescent="0.3">
      <c r="A582" s="132">
        <f>'Daily Tracking'!A582</f>
        <v>46854</v>
      </c>
      <c r="B582" s="230" t="str">
        <f ca="1">IF(A582&gt;TODAY(),"",IF('Daily Tracking'!B582&lt;&gt;"",1,0))</f>
        <v/>
      </c>
      <c r="C582" s="230" t="str">
        <f ca="1">IF(A582&gt;TODAY(),"",IF('Daily Tracking'!E582&lt;&gt;"",1,0))</f>
        <v/>
      </c>
      <c r="D582" s="230" t="str">
        <f ca="1">IF(A582&gt;TODAY(),"",IF(N('Daily Tracking'!G582)&gt;=Settings!$B$13,1,0))</f>
        <v/>
      </c>
      <c r="E582" s="230" t="str">
        <f ca="1">IF(A582&gt;TODAY(),"",IF(N('Daily Tracking'!H582)&gt;=Settings!$B$14,1,0))</f>
        <v/>
      </c>
      <c r="F582" s="230" t="str">
        <f ca="1">IF(A582&gt;TODAY(),"",IF(OR(N('Daily Tracking'!I582)&gt;0,'Daily Tracking'!J582="Yes"),1,0))</f>
        <v/>
      </c>
      <c r="G582" s="230" t="str">
        <f ca="1">IF(A582&gt;TODAY(),"",IF(N('Daily Tracking'!K582)&gt;=Settings!$B$15,1,0))</f>
        <v/>
      </c>
      <c r="H582" s="231" t="str">
        <f ca="1">IF(B582="","",AVERAGE(B582:G582))</f>
        <v/>
      </c>
      <c r="I582" s="136" t="str">
        <f ca="1">IF(B582="","",IF(B582=1,N(I581)+1,0))</f>
        <v/>
      </c>
    </row>
    <row r="583" spans="1:9" ht="18" customHeight="1" x14ac:dyDescent="0.3">
      <c r="A583" s="132">
        <f>'Daily Tracking'!A583</f>
        <v>46855</v>
      </c>
      <c r="B583" s="230" t="str">
        <f ca="1">IF(A583&gt;TODAY(),"",IF('Daily Tracking'!B583&lt;&gt;"",1,0))</f>
        <v/>
      </c>
      <c r="C583" s="230" t="str">
        <f ca="1">IF(A583&gt;TODAY(),"",IF('Daily Tracking'!E583&lt;&gt;"",1,0))</f>
        <v/>
      </c>
      <c r="D583" s="230" t="str">
        <f ca="1">IF(A583&gt;TODAY(),"",IF(N('Daily Tracking'!G583)&gt;=Settings!$B$13,1,0))</f>
        <v/>
      </c>
      <c r="E583" s="230" t="str">
        <f ca="1">IF(A583&gt;TODAY(),"",IF(N('Daily Tracking'!H583)&gt;=Settings!$B$14,1,0))</f>
        <v/>
      </c>
      <c r="F583" s="230" t="str">
        <f ca="1">IF(A583&gt;TODAY(),"",IF(OR(N('Daily Tracking'!I583)&gt;0,'Daily Tracking'!J583="Yes"),1,0))</f>
        <v/>
      </c>
      <c r="G583" s="230" t="str">
        <f ca="1">IF(A583&gt;TODAY(),"",IF(N('Daily Tracking'!K583)&gt;=Settings!$B$15,1,0))</f>
        <v/>
      </c>
      <c r="H583" s="231" t="str">
        <f ca="1">IF(B583="","",AVERAGE(B583:G583))</f>
        <v/>
      </c>
      <c r="I583" s="136" t="str">
        <f ca="1">IF(B583="","",IF(B583=1,N(I582)+1,0))</f>
        <v/>
      </c>
    </row>
    <row r="584" spans="1:9" ht="18" customHeight="1" x14ac:dyDescent="0.3">
      <c r="A584" s="132">
        <f>'Daily Tracking'!A584</f>
        <v>46856</v>
      </c>
      <c r="B584" s="230" t="str">
        <f ca="1">IF(A584&gt;TODAY(),"",IF('Daily Tracking'!B584&lt;&gt;"",1,0))</f>
        <v/>
      </c>
      <c r="C584" s="230" t="str">
        <f ca="1">IF(A584&gt;TODAY(),"",IF('Daily Tracking'!E584&lt;&gt;"",1,0))</f>
        <v/>
      </c>
      <c r="D584" s="230" t="str">
        <f ca="1">IF(A584&gt;TODAY(),"",IF(N('Daily Tracking'!G584)&gt;=Settings!$B$13,1,0))</f>
        <v/>
      </c>
      <c r="E584" s="230" t="str">
        <f ca="1">IF(A584&gt;TODAY(),"",IF(N('Daily Tracking'!H584)&gt;=Settings!$B$14,1,0))</f>
        <v/>
      </c>
      <c r="F584" s="230" t="str">
        <f ca="1">IF(A584&gt;TODAY(),"",IF(OR(N('Daily Tracking'!I584)&gt;0,'Daily Tracking'!J584="Yes"),1,0))</f>
        <v/>
      </c>
      <c r="G584" s="230" t="str">
        <f ca="1">IF(A584&gt;TODAY(),"",IF(N('Daily Tracking'!K584)&gt;=Settings!$B$15,1,0))</f>
        <v/>
      </c>
      <c r="H584" s="231" t="str">
        <f ca="1">IF(B584="","",AVERAGE(B584:G584))</f>
        <v/>
      </c>
      <c r="I584" s="136" t="str">
        <f ca="1">IF(B584="","",IF(B584=1,N(I583)+1,0))</f>
        <v/>
      </c>
    </row>
    <row r="585" spans="1:9" ht="18" customHeight="1" x14ac:dyDescent="0.3">
      <c r="A585" s="132">
        <f>'Daily Tracking'!A585</f>
        <v>46857</v>
      </c>
      <c r="B585" s="230" t="str">
        <f ca="1">IF(A585&gt;TODAY(),"",IF('Daily Tracking'!B585&lt;&gt;"",1,0))</f>
        <v/>
      </c>
      <c r="C585" s="230" t="str">
        <f ca="1">IF(A585&gt;TODAY(),"",IF('Daily Tracking'!E585&lt;&gt;"",1,0))</f>
        <v/>
      </c>
      <c r="D585" s="230" t="str">
        <f ca="1">IF(A585&gt;TODAY(),"",IF(N('Daily Tracking'!G585)&gt;=Settings!$B$13,1,0))</f>
        <v/>
      </c>
      <c r="E585" s="230" t="str">
        <f ca="1">IF(A585&gt;TODAY(),"",IF(N('Daily Tracking'!H585)&gt;=Settings!$B$14,1,0))</f>
        <v/>
      </c>
      <c r="F585" s="230" t="str">
        <f ca="1">IF(A585&gt;TODAY(),"",IF(OR(N('Daily Tracking'!I585)&gt;0,'Daily Tracking'!J585="Yes"),1,0))</f>
        <v/>
      </c>
      <c r="G585" s="230" t="str">
        <f ca="1">IF(A585&gt;TODAY(),"",IF(N('Daily Tracking'!K585)&gt;=Settings!$B$15,1,0))</f>
        <v/>
      </c>
      <c r="H585" s="231" t="str">
        <f ca="1">IF(B585="","",AVERAGE(B585:G585))</f>
        <v/>
      </c>
      <c r="I585" s="136" t="str">
        <f ca="1">IF(B585="","",IF(B585=1,N(I584)+1,0))</f>
        <v/>
      </c>
    </row>
    <row r="586" spans="1:9" ht="18" customHeight="1" x14ac:dyDescent="0.3">
      <c r="A586" s="132">
        <f>'Daily Tracking'!A586</f>
        <v>46858</v>
      </c>
      <c r="B586" s="230" t="str">
        <f ca="1">IF(A586&gt;TODAY(),"",IF('Daily Tracking'!B586&lt;&gt;"",1,0))</f>
        <v/>
      </c>
      <c r="C586" s="230" t="str">
        <f ca="1">IF(A586&gt;TODAY(),"",IF('Daily Tracking'!E586&lt;&gt;"",1,0))</f>
        <v/>
      </c>
      <c r="D586" s="230" t="str">
        <f ca="1">IF(A586&gt;TODAY(),"",IF(N('Daily Tracking'!G586)&gt;=Settings!$B$13,1,0))</f>
        <v/>
      </c>
      <c r="E586" s="230" t="str">
        <f ca="1">IF(A586&gt;TODAY(),"",IF(N('Daily Tracking'!H586)&gt;=Settings!$B$14,1,0))</f>
        <v/>
      </c>
      <c r="F586" s="230" t="str">
        <f ca="1">IF(A586&gt;TODAY(),"",IF(OR(N('Daily Tracking'!I586)&gt;0,'Daily Tracking'!J586="Yes"),1,0))</f>
        <v/>
      </c>
      <c r="G586" s="230" t="str">
        <f ca="1">IF(A586&gt;TODAY(),"",IF(N('Daily Tracking'!K586)&gt;=Settings!$B$15,1,0))</f>
        <v/>
      </c>
      <c r="H586" s="231" t="str">
        <f ca="1">IF(B586="","",AVERAGE(B586:G586))</f>
        <v/>
      </c>
      <c r="I586" s="136" t="str">
        <f ca="1">IF(B586="","",IF(B586=1,N(I585)+1,0))</f>
        <v/>
      </c>
    </row>
    <row r="587" spans="1:9" ht="18" customHeight="1" x14ac:dyDescent="0.3">
      <c r="A587" s="132">
        <f>'Daily Tracking'!A587</f>
        <v>46859</v>
      </c>
      <c r="B587" s="230" t="str">
        <f ca="1">IF(A587&gt;TODAY(),"",IF('Daily Tracking'!B587&lt;&gt;"",1,0))</f>
        <v/>
      </c>
      <c r="C587" s="230" t="str">
        <f ca="1">IF(A587&gt;TODAY(),"",IF('Daily Tracking'!E587&lt;&gt;"",1,0))</f>
        <v/>
      </c>
      <c r="D587" s="230" t="str">
        <f ca="1">IF(A587&gt;TODAY(),"",IF(N('Daily Tracking'!G587)&gt;=Settings!$B$13,1,0))</f>
        <v/>
      </c>
      <c r="E587" s="230" t="str">
        <f ca="1">IF(A587&gt;TODAY(),"",IF(N('Daily Tracking'!H587)&gt;=Settings!$B$14,1,0))</f>
        <v/>
      </c>
      <c r="F587" s="230" t="str">
        <f ca="1">IF(A587&gt;TODAY(),"",IF(OR(N('Daily Tracking'!I587)&gt;0,'Daily Tracking'!J587="Yes"),1,0))</f>
        <v/>
      </c>
      <c r="G587" s="230" t="str">
        <f ca="1">IF(A587&gt;TODAY(),"",IF(N('Daily Tracking'!K587)&gt;=Settings!$B$15,1,0))</f>
        <v/>
      </c>
      <c r="H587" s="231" t="str">
        <f ca="1">IF(B587="","",AVERAGE(B587:G587))</f>
        <v/>
      </c>
      <c r="I587" s="136" t="str">
        <f ca="1">IF(B587="","",IF(B587=1,N(I586)+1,0))</f>
        <v/>
      </c>
    </row>
    <row r="588" spans="1:9" ht="18" customHeight="1" x14ac:dyDescent="0.3">
      <c r="A588" s="132">
        <f>'Daily Tracking'!A588</f>
        <v>46860</v>
      </c>
      <c r="B588" s="230" t="str">
        <f ca="1">IF(A588&gt;TODAY(),"",IF('Daily Tracking'!B588&lt;&gt;"",1,0))</f>
        <v/>
      </c>
      <c r="C588" s="230" t="str">
        <f ca="1">IF(A588&gt;TODAY(),"",IF('Daily Tracking'!E588&lt;&gt;"",1,0))</f>
        <v/>
      </c>
      <c r="D588" s="230" t="str">
        <f ca="1">IF(A588&gt;TODAY(),"",IF(N('Daily Tracking'!G588)&gt;=Settings!$B$13,1,0))</f>
        <v/>
      </c>
      <c r="E588" s="230" t="str">
        <f ca="1">IF(A588&gt;TODAY(),"",IF(N('Daily Tracking'!H588)&gt;=Settings!$B$14,1,0))</f>
        <v/>
      </c>
      <c r="F588" s="230" t="str">
        <f ca="1">IF(A588&gt;TODAY(),"",IF(OR(N('Daily Tracking'!I588)&gt;0,'Daily Tracking'!J588="Yes"),1,0))</f>
        <v/>
      </c>
      <c r="G588" s="230" t="str">
        <f ca="1">IF(A588&gt;TODAY(),"",IF(N('Daily Tracking'!K588)&gt;=Settings!$B$15,1,0))</f>
        <v/>
      </c>
      <c r="H588" s="231" t="str">
        <f ca="1">IF(B588="","",AVERAGE(B588:G588))</f>
        <v/>
      </c>
      <c r="I588" s="136" t="str">
        <f ca="1">IF(B588="","",IF(B588=1,N(I587)+1,0))</f>
        <v/>
      </c>
    </row>
    <row r="589" spans="1:9" ht="18" customHeight="1" x14ac:dyDescent="0.3">
      <c r="A589" s="132">
        <f>'Daily Tracking'!A589</f>
        <v>46861</v>
      </c>
      <c r="B589" s="230" t="str">
        <f ca="1">IF(A589&gt;TODAY(),"",IF('Daily Tracking'!B589&lt;&gt;"",1,0))</f>
        <v/>
      </c>
      <c r="C589" s="230" t="str">
        <f ca="1">IF(A589&gt;TODAY(),"",IF('Daily Tracking'!E589&lt;&gt;"",1,0))</f>
        <v/>
      </c>
      <c r="D589" s="230" t="str">
        <f ca="1">IF(A589&gt;TODAY(),"",IF(N('Daily Tracking'!G589)&gt;=Settings!$B$13,1,0))</f>
        <v/>
      </c>
      <c r="E589" s="230" t="str">
        <f ca="1">IF(A589&gt;TODAY(),"",IF(N('Daily Tracking'!H589)&gt;=Settings!$B$14,1,0))</f>
        <v/>
      </c>
      <c r="F589" s="230" t="str">
        <f ca="1">IF(A589&gt;TODAY(),"",IF(OR(N('Daily Tracking'!I589)&gt;0,'Daily Tracking'!J589="Yes"),1,0))</f>
        <v/>
      </c>
      <c r="G589" s="230" t="str">
        <f ca="1">IF(A589&gt;TODAY(),"",IF(N('Daily Tracking'!K589)&gt;=Settings!$B$15,1,0))</f>
        <v/>
      </c>
      <c r="H589" s="231" t="str">
        <f ca="1">IF(B589="","",AVERAGE(B589:G589))</f>
        <v/>
      </c>
      <c r="I589" s="136" t="str">
        <f ca="1">IF(B589="","",IF(B589=1,N(I588)+1,0))</f>
        <v/>
      </c>
    </row>
    <row r="590" spans="1:9" ht="18" customHeight="1" x14ac:dyDescent="0.3">
      <c r="A590" s="132">
        <f>'Daily Tracking'!A590</f>
        <v>46862</v>
      </c>
      <c r="B590" s="230" t="str">
        <f ca="1">IF(A590&gt;TODAY(),"",IF('Daily Tracking'!B590&lt;&gt;"",1,0))</f>
        <v/>
      </c>
      <c r="C590" s="230" t="str">
        <f ca="1">IF(A590&gt;TODAY(),"",IF('Daily Tracking'!E590&lt;&gt;"",1,0))</f>
        <v/>
      </c>
      <c r="D590" s="230" t="str">
        <f ca="1">IF(A590&gt;TODAY(),"",IF(N('Daily Tracking'!G590)&gt;=Settings!$B$13,1,0))</f>
        <v/>
      </c>
      <c r="E590" s="230" t="str">
        <f ca="1">IF(A590&gt;TODAY(),"",IF(N('Daily Tracking'!H590)&gt;=Settings!$B$14,1,0))</f>
        <v/>
      </c>
      <c r="F590" s="230" t="str">
        <f ca="1">IF(A590&gt;TODAY(),"",IF(OR(N('Daily Tracking'!I590)&gt;0,'Daily Tracking'!J590="Yes"),1,0))</f>
        <v/>
      </c>
      <c r="G590" s="230" t="str">
        <f ca="1">IF(A590&gt;TODAY(),"",IF(N('Daily Tracking'!K590)&gt;=Settings!$B$15,1,0))</f>
        <v/>
      </c>
      <c r="H590" s="231" t="str">
        <f ca="1">IF(B590="","",AVERAGE(B590:G590))</f>
        <v/>
      </c>
      <c r="I590" s="136" t="str">
        <f ca="1">IF(B590="","",IF(B590=1,N(I589)+1,0))</f>
        <v/>
      </c>
    </row>
    <row r="591" spans="1:9" ht="18" customHeight="1" x14ac:dyDescent="0.3">
      <c r="A591" s="132">
        <f>'Daily Tracking'!A591</f>
        <v>46863</v>
      </c>
      <c r="B591" s="230" t="str">
        <f ca="1">IF(A591&gt;TODAY(),"",IF('Daily Tracking'!B591&lt;&gt;"",1,0))</f>
        <v/>
      </c>
      <c r="C591" s="230" t="str">
        <f ca="1">IF(A591&gt;TODAY(),"",IF('Daily Tracking'!E591&lt;&gt;"",1,0))</f>
        <v/>
      </c>
      <c r="D591" s="230" t="str">
        <f ca="1">IF(A591&gt;TODAY(),"",IF(N('Daily Tracking'!G591)&gt;=Settings!$B$13,1,0))</f>
        <v/>
      </c>
      <c r="E591" s="230" t="str">
        <f ca="1">IF(A591&gt;TODAY(),"",IF(N('Daily Tracking'!H591)&gt;=Settings!$B$14,1,0))</f>
        <v/>
      </c>
      <c r="F591" s="230" t="str">
        <f ca="1">IF(A591&gt;TODAY(),"",IF(OR(N('Daily Tracking'!I591)&gt;0,'Daily Tracking'!J591="Yes"),1,0))</f>
        <v/>
      </c>
      <c r="G591" s="230" t="str">
        <f ca="1">IF(A591&gt;TODAY(),"",IF(N('Daily Tracking'!K591)&gt;=Settings!$B$15,1,0))</f>
        <v/>
      </c>
      <c r="H591" s="231" t="str">
        <f ca="1">IF(B591="","",AVERAGE(B591:G591))</f>
        <v/>
      </c>
      <c r="I591" s="136" t="str">
        <f ca="1">IF(B591="","",IF(B591=1,N(I590)+1,0))</f>
        <v/>
      </c>
    </row>
    <row r="592" spans="1:9" ht="18" customHeight="1" x14ac:dyDescent="0.3">
      <c r="A592" s="132">
        <f>'Daily Tracking'!A592</f>
        <v>46864</v>
      </c>
      <c r="B592" s="230" t="str">
        <f ca="1">IF(A592&gt;TODAY(),"",IF('Daily Tracking'!B592&lt;&gt;"",1,0))</f>
        <v/>
      </c>
      <c r="C592" s="230" t="str">
        <f ca="1">IF(A592&gt;TODAY(),"",IF('Daily Tracking'!E592&lt;&gt;"",1,0))</f>
        <v/>
      </c>
      <c r="D592" s="230" t="str">
        <f ca="1">IF(A592&gt;TODAY(),"",IF(N('Daily Tracking'!G592)&gt;=Settings!$B$13,1,0))</f>
        <v/>
      </c>
      <c r="E592" s="230" t="str">
        <f ca="1">IF(A592&gt;TODAY(),"",IF(N('Daily Tracking'!H592)&gt;=Settings!$B$14,1,0))</f>
        <v/>
      </c>
      <c r="F592" s="230" t="str">
        <f ca="1">IF(A592&gt;TODAY(),"",IF(OR(N('Daily Tracking'!I592)&gt;0,'Daily Tracking'!J592="Yes"),1,0))</f>
        <v/>
      </c>
      <c r="G592" s="230" t="str">
        <f ca="1">IF(A592&gt;TODAY(),"",IF(N('Daily Tracking'!K592)&gt;=Settings!$B$15,1,0))</f>
        <v/>
      </c>
      <c r="H592" s="231" t="str">
        <f ca="1">IF(B592="","",AVERAGE(B592:G592))</f>
        <v/>
      </c>
      <c r="I592" s="136" t="str">
        <f ca="1">IF(B592="","",IF(B592=1,N(I591)+1,0))</f>
        <v/>
      </c>
    </row>
    <row r="593" spans="1:9" ht="18" customHeight="1" x14ac:dyDescent="0.3">
      <c r="A593" s="132">
        <f>'Daily Tracking'!A593</f>
        <v>46865</v>
      </c>
      <c r="B593" s="230" t="str">
        <f ca="1">IF(A593&gt;TODAY(),"",IF('Daily Tracking'!B593&lt;&gt;"",1,0))</f>
        <v/>
      </c>
      <c r="C593" s="230" t="str">
        <f ca="1">IF(A593&gt;TODAY(),"",IF('Daily Tracking'!E593&lt;&gt;"",1,0))</f>
        <v/>
      </c>
      <c r="D593" s="230" t="str">
        <f ca="1">IF(A593&gt;TODAY(),"",IF(N('Daily Tracking'!G593)&gt;=Settings!$B$13,1,0))</f>
        <v/>
      </c>
      <c r="E593" s="230" t="str">
        <f ca="1">IF(A593&gt;TODAY(),"",IF(N('Daily Tracking'!H593)&gt;=Settings!$B$14,1,0))</f>
        <v/>
      </c>
      <c r="F593" s="230" t="str">
        <f ca="1">IF(A593&gt;TODAY(),"",IF(OR(N('Daily Tracking'!I593)&gt;0,'Daily Tracking'!J593="Yes"),1,0))</f>
        <v/>
      </c>
      <c r="G593" s="230" t="str">
        <f ca="1">IF(A593&gt;TODAY(),"",IF(N('Daily Tracking'!K593)&gt;=Settings!$B$15,1,0))</f>
        <v/>
      </c>
      <c r="H593" s="231" t="str">
        <f ca="1">IF(B593="","",AVERAGE(B593:G593))</f>
        <v/>
      </c>
      <c r="I593" s="136" t="str">
        <f ca="1">IF(B593="","",IF(B593=1,N(I592)+1,0))</f>
        <v/>
      </c>
    </row>
    <row r="594" spans="1:9" ht="18" customHeight="1" x14ac:dyDescent="0.3">
      <c r="A594" s="132">
        <f>'Daily Tracking'!A594</f>
        <v>46866</v>
      </c>
      <c r="B594" s="230" t="str">
        <f ca="1">IF(A594&gt;TODAY(),"",IF('Daily Tracking'!B594&lt;&gt;"",1,0))</f>
        <v/>
      </c>
      <c r="C594" s="230" t="str">
        <f ca="1">IF(A594&gt;TODAY(),"",IF('Daily Tracking'!E594&lt;&gt;"",1,0))</f>
        <v/>
      </c>
      <c r="D594" s="230" t="str">
        <f ca="1">IF(A594&gt;TODAY(),"",IF(N('Daily Tracking'!G594)&gt;=Settings!$B$13,1,0))</f>
        <v/>
      </c>
      <c r="E594" s="230" t="str">
        <f ca="1">IF(A594&gt;TODAY(),"",IF(N('Daily Tracking'!H594)&gt;=Settings!$B$14,1,0))</f>
        <v/>
      </c>
      <c r="F594" s="230" t="str">
        <f ca="1">IF(A594&gt;TODAY(),"",IF(OR(N('Daily Tracking'!I594)&gt;0,'Daily Tracking'!J594="Yes"),1,0))</f>
        <v/>
      </c>
      <c r="G594" s="230" t="str">
        <f ca="1">IF(A594&gt;TODAY(),"",IF(N('Daily Tracking'!K594)&gt;=Settings!$B$15,1,0))</f>
        <v/>
      </c>
      <c r="H594" s="231" t="str">
        <f ca="1">IF(B594="","",AVERAGE(B594:G594))</f>
        <v/>
      </c>
      <c r="I594" s="136" t="str">
        <f ca="1">IF(B594="","",IF(B594=1,N(I593)+1,0))</f>
        <v/>
      </c>
    </row>
    <row r="595" spans="1:9" ht="18" customHeight="1" x14ac:dyDescent="0.3">
      <c r="A595" s="132">
        <f>'Daily Tracking'!A595</f>
        <v>46867</v>
      </c>
      <c r="B595" s="230" t="str">
        <f ca="1">IF(A595&gt;TODAY(),"",IF('Daily Tracking'!B595&lt;&gt;"",1,0))</f>
        <v/>
      </c>
      <c r="C595" s="230" t="str">
        <f ca="1">IF(A595&gt;TODAY(),"",IF('Daily Tracking'!E595&lt;&gt;"",1,0))</f>
        <v/>
      </c>
      <c r="D595" s="230" t="str">
        <f ca="1">IF(A595&gt;TODAY(),"",IF(N('Daily Tracking'!G595)&gt;=Settings!$B$13,1,0))</f>
        <v/>
      </c>
      <c r="E595" s="230" t="str">
        <f ca="1">IF(A595&gt;TODAY(),"",IF(N('Daily Tracking'!H595)&gt;=Settings!$B$14,1,0))</f>
        <v/>
      </c>
      <c r="F595" s="230" t="str">
        <f ca="1">IF(A595&gt;TODAY(),"",IF(OR(N('Daily Tracking'!I595)&gt;0,'Daily Tracking'!J595="Yes"),1,0))</f>
        <v/>
      </c>
      <c r="G595" s="230" t="str">
        <f ca="1">IF(A595&gt;TODAY(),"",IF(N('Daily Tracking'!K595)&gt;=Settings!$B$15,1,0))</f>
        <v/>
      </c>
      <c r="H595" s="231" t="str">
        <f ca="1">IF(B595="","",AVERAGE(B595:G595))</f>
        <v/>
      </c>
      <c r="I595" s="136" t="str">
        <f ca="1">IF(B595="","",IF(B595=1,N(I594)+1,0))</f>
        <v/>
      </c>
    </row>
    <row r="596" spans="1:9" ht="18" customHeight="1" x14ac:dyDescent="0.3">
      <c r="A596" s="132">
        <f>'Daily Tracking'!A596</f>
        <v>46868</v>
      </c>
      <c r="B596" s="230" t="str">
        <f ca="1">IF(A596&gt;TODAY(),"",IF('Daily Tracking'!B596&lt;&gt;"",1,0))</f>
        <v/>
      </c>
      <c r="C596" s="230" t="str">
        <f ca="1">IF(A596&gt;TODAY(),"",IF('Daily Tracking'!E596&lt;&gt;"",1,0))</f>
        <v/>
      </c>
      <c r="D596" s="230" t="str">
        <f ca="1">IF(A596&gt;TODAY(),"",IF(N('Daily Tracking'!G596)&gt;=Settings!$B$13,1,0))</f>
        <v/>
      </c>
      <c r="E596" s="230" t="str">
        <f ca="1">IF(A596&gt;TODAY(),"",IF(N('Daily Tracking'!H596)&gt;=Settings!$B$14,1,0))</f>
        <v/>
      </c>
      <c r="F596" s="230" t="str">
        <f ca="1">IF(A596&gt;TODAY(),"",IF(OR(N('Daily Tracking'!I596)&gt;0,'Daily Tracking'!J596="Yes"),1,0))</f>
        <v/>
      </c>
      <c r="G596" s="230" t="str">
        <f ca="1">IF(A596&gt;TODAY(),"",IF(N('Daily Tracking'!K596)&gt;=Settings!$B$15,1,0))</f>
        <v/>
      </c>
      <c r="H596" s="231" t="str">
        <f ca="1">IF(B596="","",AVERAGE(B596:G596))</f>
        <v/>
      </c>
      <c r="I596" s="136" t="str">
        <f ca="1">IF(B596="","",IF(B596=1,N(I595)+1,0))</f>
        <v/>
      </c>
    </row>
    <row r="597" spans="1:9" ht="18" customHeight="1" x14ac:dyDescent="0.3">
      <c r="A597" s="132">
        <f>'Daily Tracking'!A597</f>
        <v>46869</v>
      </c>
      <c r="B597" s="230" t="str">
        <f ca="1">IF(A597&gt;TODAY(),"",IF('Daily Tracking'!B597&lt;&gt;"",1,0))</f>
        <v/>
      </c>
      <c r="C597" s="230" t="str">
        <f ca="1">IF(A597&gt;TODAY(),"",IF('Daily Tracking'!E597&lt;&gt;"",1,0))</f>
        <v/>
      </c>
      <c r="D597" s="230" t="str">
        <f ca="1">IF(A597&gt;TODAY(),"",IF(N('Daily Tracking'!G597)&gt;=Settings!$B$13,1,0))</f>
        <v/>
      </c>
      <c r="E597" s="230" t="str">
        <f ca="1">IF(A597&gt;TODAY(),"",IF(N('Daily Tracking'!H597)&gt;=Settings!$B$14,1,0))</f>
        <v/>
      </c>
      <c r="F597" s="230" t="str">
        <f ca="1">IF(A597&gt;TODAY(),"",IF(OR(N('Daily Tracking'!I597)&gt;0,'Daily Tracking'!J597="Yes"),1,0))</f>
        <v/>
      </c>
      <c r="G597" s="230" t="str">
        <f ca="1">IF(A597&gt;TODAY(),"",IF(N('Daily Tracking'!K597)&gt;=Settings!$B$15,1,0))</f>
        <v/>
      </c>
      <c r="H597" s="231" t="str">
        <f ca="1">IF(B597="","",AVERAGE(B597:G597))</f>
        <v/>
      </c>
      <c r="I597" s="136" t="str">
        <f ca="1">IF(B597="","",IF(B597=1,N(I596)+1,0))</f>
        <v/>
      </c>
    </row>
    <row r="598" spans="1:9" ht="18" customHeight="1" x14ac:dyDescent="0.3">
      <c r="A598" s="132">
        <f>'Daily Tracking'!A598</f>
        <v>46870</v>
      </c>
      <c r="B598" s="230" t="str">
        <f ca="1">IF(A598&gt;TODAY(),"",IF('Daily Tracking'!B598&lt;&gt;"",1,0))</f>
        <v/>
      </c>
      <c r="C598" s="230" t="str">
        <f ca="1">IF(A598&gt;TODAY(),"",IF('Daily Tracking'!E598&lt;&gt;"",1,0))</f>
        <v/>
      </c>
      <c r="D598" s="230" t="str">
        <f ca="1">IF(A598&gt;TODAY(),"",IF(N('Daily Tracking'!G598)&gt;=Settings!$B$13,1,0))</f>
        <v/>
      </c>
      <c r="E598" s="230" t="str">
        <f ca="1">IF(A598&gt;TODAY(),"",IF(N('Daily Tracking'!H598)&gt;=Settings!$B$14,1,0))</f>
        <v/>
      </c>
      <c r="F598" s="230" t="str">
        <f ca="1">IF(A598&gt;TODAY(),"",IF(OR(N('Daily Tracking'!I598)&gt;0,'Daily Tracking'!J598="Yes"),1,0))</f>
        <v/>
      </c>
      <c r="G598" s="230" t="str">
        <f ca="1">IF(A598&gt;TODAY(),"",IF(N('Daily Tracking'!K598)&gt;=Settings!$B$15,1,0))</f>
        <v/>
      </c>
      <c r="H598" s="231" t="str">
        <f ca="1">IF(B598="","",AVERAGE(B598:G598))</f>
        <v/>
      </c>
      <c r="I598" s="136" t="str">
        <f ca="1">IF(B598="","",IF(B598=1,N(I597)+1,0))</f>
        <v/>
      </c>
    </row>
    <row r="599" spans="1:9" ht="18" customHeight="1" x14ac:dyDescent="0.3">
      <c r="A599" s="132">
        <f>'Daily Tracking'!A599</f>
        <v>46871</v>
      </c>
      <c r="B599" s="230" t="str">
        <f ca="1">IF(A599&gt;TODAY(),"",IF('Daily Tracking'!B599&lt;&gt;"",1,0))</f>
        <v/>
      </c>
      <c r="C599" s="230" t="str">
        <f ca="1">IF(A599&gt;TODAY(),"",IF('Daily Tracking'!E599&lt;&gt;"",1,0))</f>
        <v/>
      </c>
      <c r="D599" s="230" t="str">
        <f ca="1">IF(A599&gt;TODAY(),"",IF(N('Daily Tracking'!G599)&gt;=Settings!$B$13,1,0))</f>
        <v/>
      </c>
      <c r="E599" s="230" t="str">
        <f ca="1">IF(A599&gt;TODAY(),"",IF(N('Daily Tracking'!H599)&gt;=Settings!$B$14,1,0))</f>
        <v/>
      </c>
      <c r="F599" s="230" t="str">
        <f ca="1">IF(A599&gt;TODAY(),"",IF(OR(N('Daily Tracking'!I599)&gt;0,'Daily Tracking'!J599="Yes"),1,0))</f>
        <v/>
      </c>
      <c r="G599" s="230" t="str">
        <f ca="1">IF(A599&gt;TODAY(),"",IF(N('Daily Tracking'!K599)&gt;=Settings!$B$15,1,0))</f>
        <v/>
      </c>
      <c r="H599" s="231" t="str">
        <f ca="1">IF(B599="","",AVERAGE(B599:G599))</f>
        <v/>
      </c>
      <c r="I599" s="136" t="str">
        <f ca="1">IF(B599="","",IF(B599=1,N(I598)+1,0))</f>
        <v/>
      </c>
    </row>
    <row r="600" spans="1:9" ht="18" customHeight="1" x14ac:dyDescent="0.3">
      <c r="A600" s="132">
        <f>'Daily Tracking'!A600</f>
        <v>46872</v>
      </c>
      <c r="B600" s="230" t="str">
        <f ca="1">IF(A600&gt;TODAY(),"",IF('Daily Tracking'!B600&lt;&gt;"",1,0))</f>
        <v/>
      </c>
      <c r="C600" s="230" t="str">
        <f ca="1">IF(A600&gt;TODAY(),"",IF('Daily Tracking'!E600&lt;&gt;"",1,0))</f>
        <v/>
      </c>
      <c r="D600" s="230" t="str">
        <f ca="1">IF(A600&gt;TODAY(),"",IF(N('Daily Tracking'!G600)&gt;=Settings!$B$13,1,0))</f>
        <v/>
      </c>
      <c r="E600" s="230" t="str">
        <f ca="1">IF(A600&gt;TODAY(),"",IF(N('Daily Tracking'!H600)&gt;=Settings!$B$14,1,0))</f>
        <v/>
      </c>
      <c r="F600" s="230" t="str">
        <f ca="1">IF(A600&gt;TODAY(),"",IF(OR(N('Daily Tracking'!I600)&gt;0,'Daily Tracking'!J600="Yes"),1,0))</f>
        <v/>
      </c>
      <c r="G600" s="230" t="str">
        <f ca="1">IF(A600&gt;TODAY(),"",IF(N('Daily Tracking'!K600)&gt;=Settings!$B$15,1,0))</f>
        <v/>
      </c>
      <c r="H600" s="231" t="str">
        <f ca="1">IF(B600="","",AVERAGE(B600:G600))</f>
        <v/>
      </c>
      <c r="I600" s="136" t="str">
        <f ca="1">IF(B600="","",IF(B600=1,N(I599)+1,0))</f>
        <v/>
      </c>
    </row>
    <row r="601" spans="1:9" ht="18" customHeight="1" x14ac:dyDescent="0.3">
      <c r="A601" s="132">
        <f>'Daily Tracking'!A601</f>
        <v>46873</v>
      </c>
      <c r="B601" s="230" t="str">
        <f ca="1">IF(A601&gt;TODAY(),"",IF('Daily Tracking'!B601&lt;&gt;"",1,0))</f>
        <v/>
      </c>
      <c r="C601" s="230" t="str">
        <f ca="1">IF(A601&gt;TODAY(),"",IF('Daily Tracking'!E601&lt;&gt;"",1,0))</f>
        <v/>
      </c>
      <c r="D601" s="230" t="str">
        <f ca="1">IF(A601&gt;TODAY(),"",IF(N('Daily Tracking'!G601)&gt;=Settings!$B$13,1,0))</f>
        <v/>
      </c>
      <c r="E601" s="230" t="str">
        <f ca="1">IF(A601&gt;TODAY(),"",IF(N('Daily Tracking'!H601)&gt;=Settings!$B$14,1,0))</f>
        <v/>
      </c>
      <c r="F601" s="230" t="str">
        <f ca="1">IF(A601&gt;TODAY(),"",IF(OR(N('Daily Tracking'!I601)&gt;0,'Daily Tracking'!J601="Yes"),1,0))</f>
        <v/>
      </c>
      <c r="G601" s="230" t="str">
        <f ca="1">IF(A601&gt;TODAY(),"",IF(N('Daily Tracking'!K601)&gt;=Settings!$B$15,1,0))</f>
        <v/>
      </c>
      <c r="H601" s="231" t="str">
        <f ca="1">IF(B601="","",AVERAGE(B601:G601))</f>
        <v/>
      </c>
      <c r="I601" s="136" t="str">
        <f ca="1">IF(B601="","",IF(B601=1,N(I600)+1,0))</f>
        <v/>
      </c>
    </row>
    <row r="602" spans="1:9" ht="18" customHeight="1" x14ac:dyDescent="0.3">
      <c r="A602" s="132">
        <f>'Daily Tracking'!A602</f>
        <v>46874</v>
      </c>
      <c r="B602" s="230" t="str">
        <f ca="1">IF(A602&gt;TODAY(),"",IF('Daily Tracking'!B602&lt;&gt;"",1,0))</f>
        <v/>
      </c>
      <c r="C602" s="230" t="str">
        <f ca="1">IF(A602&gt;TODAY(),"",IF('Daily Tracking'!E602&lt;&gt;"",1,0))</f>
        <v/>
      </c>
      <c r="D602" s="230" t="str">
        <f ca="1">IF(A602&gt;TODAY(),"",IF(N('Daily Tracking'!G602)&gt;=Settings!$B$13,1,0))</f>
        <v/>
      </c>
      <c r="E602" s="230" t="str">
        <f ca="1">IF(A602&gt;TODAY(),"",IF(N('Daily Tracking'!H602)&gt;=Settings!$B$14,1,0))</f>
        <v/>
      </c>
      <c r="F602" s="230" t="str">
        <f ca="1">IF(A602&gt;TODAY(),"",IF(OR(N('Daily Tracking'!I602)&gt;0,'Daily Tracking'!J602="Yes"),1,0))</f>
        <v/>
      </c>
      <c r="G602" s="230" t="str">
        <f ca="1">IF(A602&gt;TODAY(),"",IF(N('Daily Tracking'!K602)&gt;=Settings!$B$15,1,0))</f>
        <v/>
      </c>
      <c r="H602" s="231" t="str">
        <f ca="1">IF(B602="","",AVERAGE(B602:G602))</f>
        <v/>
      </c>
      <c r="I602" s="136" t="str">
        <f ca="1">IF(B602="","",IF(B602=1,N(I601)+1,0))</f>
        <v/>
      </c>
    </row>
    <row r="603" spans="1:9" ht="18" customHeight="1" x14ac:dyDescent="0.3">
      <c r="A603" s="132">
        <f>'Daily Tracking'!A603</f>
        <v>46875</v>
      </c>
      <c r="B603" s="230" t="str">
        <f ca="1">IF(A603&gt;TODAY(),"",IF('Daily Tracking'!B603&lt;&gt;"",1,0))</f>
        <v/>
      </c>
      <c r="C603" s="230" t="str">
        <f ca="1">IF(A603&gt;TODAY(),"",IF('Daily Tracking'!E603&lt;&gt;"",1,0))</f>
        <v/>
      </c>
      <c r="D603" s="230" t="str">
        <f ca="1">IF(A603&gt;TODAY(),"",IF(N('Daily Tracking'!G603)&gt;=Settings!$B$13,1,0))</f>
        <v/>
      </c>
      <c r="E603" s="230" t="str">
        <f ca="1">IF(A603&gt;TODAY(),"",IF(N('Daily Tracking'!H603)&gt;=Settings!$B$14,1,0))</f>
        <v/>
      </c>
      <c r="F603" s="230" t="str">
        <f ca="1">IF(A603&gt;TODAY(),"",IF(OR(N('Daily Tracking'!I603)&gt;0,'Daily Tracking'!J603="Yes"),1,0))</f>
        <v/>
      </c>
      <c r="G603" s="230" t="str">
        <f ca="1">IF(A603&gt;TODAY(),"",IF(N('Daily Tracking'!K603)&gt;=Settings!$B$15,1,0))</f>
        <v/>
      </c>
      <c r="H603" s="231" t="str">
        <f ca="1">IF(B603="","",AVERAGE(B603:G603))</f>
        <v/>
      </c>
      <c r="I603" s="136" t="str">
        <f ca="1">IF(B603="","",IF(B603=1,N(I602)+1,0))</f>
        <v/>
      </c>
    </row>
    <row r="604" spans="1:9" ht="18" customHeight="1" x14ac:dyDescent="0.3">
      <c r="A604" s="132">
        <f>'Daily Tracking'!A604</f>
        <v>46876</v>
      </c>
      <c r="B604" s="230" t="str">
        <f ca="1">IF(A604&gt;TODAY(),"",IF('Daily Tracking'!B604&lt;&gt;"",1,0))</f>
        <v/>
      </c>
      <c r="C604" s="230" t="str">
        <f ca="1">IF(A604&gt;TODAY(),"",IF('Daily Tracking'!E604&lt;&gt;"",1,0))</f>
        <v/>
      </c>
      <c r="D604" s="230" t="str">
        <f ca="1">IF(A604&gt;TODAY(),"",IF(N('Daily Tracking'!G604)&gt;=Settings!$B$13,1,0))</f>
        <v/>
      </c>
      <c r="E604" s="230" t="str">
        <f ca="1">IF(A604&gt;TODAY(),"",IF(N('Daily Tracking'!H604)&gt;=Settings!$B$14,1,0))</f>
        <v/>
      </c>
      <c r="F604" s="230" t="str">
        <f ca="1">IF(A604&gt;TODAY(),"",IF(OR(N('Daily Tracking'!I604)&gt;0,'Daily Tracking'!J604="Yes"),1,0))</f>
        <v/>
      </c>
      <c r="G604" s="230" t="str">
        <f ca="1">IF(A604&gt;TODAY(),"",IF(N('Daily Tracking'!K604)&gt;=Settings!$B$15,1,0))</f>
        <v/>
      </c>
      <c r="H604" s="231" t="str">
        <f ca="1">IF(B604="","",AVERAGE(B604:G604))</f>
        <v/>
      </c>
      <c r="I604" s="136" t="str">
        <f ca="1">IF(B604="","",IF(B604=1,N(I603)+1,0))</f>
        <v/>
      </c>
    </row>
    <row r="605" spans="1:9" ht="18" customHeight="1" x14ac:dyDescent="0.3">
      <c r="A605" s="132">
        <f>'Daily Tracking'!A605</f>
        <v>46877</v>
      </c>
      <c r="B605" s="230" t="str">
        <f ca="1">IF(A605&gt;TODAY(),"",IF('Daily Tracking'!B605&lt;&gt;"",1,0))</f>
        <v/>
      </c>
      <c r="C605" s="230" t="str">
        <f ca="1">IF(A605&gt;TODAY(),"",IF('Daily Tracking'!E605&lt;&gt;"",1,0))</f>
        <v/>
      </c>
      <c r="D605" s="230" t="str">
        <f ca="1">IF(A605&gt;TODAY(),"",IF(N('Daily Tracking'!G605)&gt;=Settings!$B$13,1,0))</f>
        <v/>
      </c>
      <c r="E605" s="230" t="str">
        <f ca="1">IF(A605&gt;TODAY(),"",IF(N('Daily Tracking'!H605)&gt;=Settings!$B$14,1,0))</f>
        <v/>
      </c>
      <c r="F605" s="230" t="str">
        <f ca="1">IF(A605&gt;TODAY(),"",IF(OR(N('Daily Tracking'!I605)&gt;0,'Daily Tracking'!J605="Yes"),1,0))</f>
        <v/>
      </c>
      <c r="G605" s="230" t="str">
        <f ca="1">IF(A605&gt;TODAY(),"",IF(N('Daily Tracking'!K605)&gt;=Settings!$B$15,1,0))</f>
        <v/>
      </c>
      <c r="H605" s="231" t="str">
        <f ca="1">IF(B605="","",AVERAGE(B605:G605))</f>
        <v/>
      </c>
      <c r="I605" s="136" t="str">
        <f ca="1">IF(B605="","",IF(B605=1,N(I604)+1,0))</f>
        <v/>
      </c>
    </row>
    <row r="606" spans="1:9" ht="18" customHeight="1" x14ac:dyDescent="0.3">
      <c r="A606" s="132">
        <f>'Daily Tracking'!A606</f>
        <v>46878</v>
      </c>
      <c r="B606" s="230" t="str">
        <f ca="1">IF(A606&gt;TODAY(),"",IF('Daily Tracking'!B606&lt;&gt;"",1,0))</f>
        <v/>
      </c>
      <c r="C606" s="230" t="str">
        <f ca="1">IF(A606&gt;TODAY(),"",IF('Daily Tracking'!E606&lt;&gt;"",1,0))</f>
        <v/>
      </c>
      <c r="D606" s="230" t="str">
        <f ca="1">IF(A606&gt;TODAY(),"",IF(N('Daily Tracking'!G606)&gt;=Settings!$B$13,1,0))</f>
        <v/>
      </c>
      <c r="E606" s="230" t="str">
        <f ca="1">IF(A606&gt;TODAY(),"",IF(N('Daily Tracking'!H606)&gt;=Settings!$B$14,1,0))</f>
        <v/>
      </c>
      <c r="F606" s="230" t="str">
        <f ca="1">IF(A606&gt;TODAY(),"",IF(OR(N('Daily Tracking'!I606)&gt;0,'Daily Tracking'!J606="Yes"),1,0))</f>
        <v/>
      </c>
      <c r="G606" s="230" t="str">
        <f ca="1">IF(A606&gt;TODAY(),"",IF(N('Daily Tracking'!K606)&gt;=Settings!$B$15,1,0))</f>
        <v/>
      </c>
      <c r="H606" s="231" t="str">
        <f ca="1">IF(B606="","",AVERAGE(B606:G606))</f>
        <v/>
      </c>
      <c r="I606" s="136" t="str">
        <f ca="1">IF(B606="","",IF(B606=1,N(I605)+1,0))</f>
        <v/>
      </c>
    </row>
    <row r="607" spans="1:9" ht="18" customHeight="1" x14ac:dyDescent="0.3">
      <c r="A607" s="132">
        <f>'Daily Tracking'!A607</f>
        <v>46879</v>
      </c>
      <c r="B607" s="230" t="str">
        <f ca="1">IF(A607&gt;TODAY(),"",IF('Daily Tracking'!B607&lt;&gt;"",1,0))</f>
        <v/>
      </c>
      <c r="C607" s="230" t="str">
        <f ca="1">IF(A607&gt;TODAY(),"",IF('Daily Tracking'!E607&lt;&gt;"",1,0))</f>
        <v/>
      </c>
      <c r="D607" s="230" t="str">
        <f ca="1">IF(A607&gt;TODAY(),"",IF(N('Daily Tracking'!G607)&gt;=Settings!$B$13,1,0))</f>
        <v/>
      </c>
      <c r="E607" s="230" t="str">
        <f ca="1">IF(A607&gt;TODAY(),"",IF(N('Daily Tracking'!H607)&gt;=Settings!$B$14,1,0))</f>
        <v/>
      </c>
      <c r="F607" s="230" t="str">
        <f ca="1">IF(A607&gt;TODAY(),"",IF(OR(N('Daily Tracking'!I607)&gt;0,'Daily Tracking'!J607="Yes"),1,0))</f>
        <v/>
      </c>
      <c r="G607" s="230" t="str">
        <f ca="1">IF(A607&gt;TODAY(),"",IF(N('Daily Tracking'!K607)&gt;=Settings!$B$15,1,0))</f>
        <v/>
      </c>
      <c r="H607" s="231" t="str">
        <f ca="1">IF(B607="","",AVERAGE(B607:G607))</f>
        <v/>
      </c>
      <c r="I607" s="136" t="str">
        <f ca="1">IF(B607="","",IF(B607=1,N(I606)+1,0))</f>
        <v/>
      </c>
    </row>
    <row r="608" spans="1:9" ht="18" customHeight="1" x14ac:dyDescent="0.3">
      <c r="A608" s="132">
        <f>'Daily Tracking'!A608</f>
        <v>46880</v>
      </c>
      <c r="B608" s="230" t="str">
        <f ca="1">IF(A608&gt;TODAY(),"",IF('Daily Tracking'!B608&lt;&gt;"",1,0))</f>
        <v/>
      </c>
      <c r="C608" s="230" t="str">
        <f ca="1">IF(A608&gt;TODAY(),"",IF('Daily Tracking'!E608&lt;&gt;"",1,0))</f>
        <v/>
      </c>
      <c r="D608" s="230" t="str">
        <f ca="1">IF(A608&gt;TODAY(),"",IF(N('Daily Tracking'!G608)&gt;=Settings!$B$13,1,0))</f>
        <v/>
      </c>
      <c r="E608" s="230" t="str">
        <f ca="1">IF(A608&gt;TODAY(),"",IF(N('Daily Tracking'!H608)&gt;=Settings!$B$14,1,0))</f>
        <v/>
      </c>
      <c r="F608" s="230" t="str">
        <f ca="1">IF(A608&gt;TODAY(),"",IF(OR(N('Daily Tracking'!I608)&gt;0,'Daily Tracking'!J608="Yes"),1,0))</f>
        <v/>
      </c>
      <c r="G608" s="230" t="str">
        <f ca="1">IF(A608&gt;TODAY(),"",IF(N('Daily Tracking'!K608)&gt;=Settings!$B$15,1,0))</f>
        <v/>
      </c>
      <c r="H608" s="231" t="str">
        <f ca="1">IF(B608="","",AVERAGE(B608:G608))</f>
        <v/>
      </c>
      <c r="I608" s="136" t="str">
        <f ca="1">IF(B608="","",IF(B608=1,N(I607)+1,0))</f>
        <v/>
      </c>
    </row>
    <row r="609" spans="1:9" ht="18" customHeight="1" x14ac:dyDescent="0.3">
      <c r="A609" s="132">
        <f>'Daily Tracking'!A609</f>
        <v>46881</v>
      </c>
      <c r="B609" s="230" t="str">
        <f ca="1">IF(A609&gt;TODAY(),"",IF('Daily Tracking'!B609&lt;&gt;"",1,0))</f>
        <v/>
      </c>
      <c r="C609" s="230" t="str">
        <f ca="1">IF(A609&gt;TODAY(),"",IF('Daily Tracking'!E609&lt;&gt;"",1,0))</f>
        <v/>
      </c>
      <c r="D609" s="230" t="str">
        <f ca="1">IF(A609&gt;TODAY(),"",IF(N('Daily Tracking'!G609)&gt;=Settings!$B$13,1,0))</f>
        <v/>
      </c>
      <c r="E609" s="230" t="str">
        <f ca="1">IF(A609&gt;TODAY(),"",IF(N('Daily Tracking'!H609)&gt;=Settings!$B$14,1,0))</f>
        <v/>
      </c>
      <c r="F609" s="230" t="str">
        <f ca="1">IF(A609&gt;TODAY(),"",IF(OR(N('Daily Tracking'!I609)&gt;0,'Daily Tracking'!J609="Yes"),1,0))</f>
        <v/>
      </c>
      <c r="G609" s="230" t="str">
        <f ca="1">IF(A609&gt;TODAY(),"",IF(N('Daily Tracking'!K609)&gt;=Settings!$B$15,1,0))</f>
        <v/>
      </c>
      <c r="H609" s="231" t="str">
        <f ca="1">IF(B609="","",AVERAGE(B609:G609))</f>
        <v/>
      </c>
      <c r="I609" s="136" t="str">
        <f ca="1">IF(B609="","",IF(B609=1,N(I608)+1,0))</f>
        <v/>
      </c>
    </row>
    <row r="610" spans="1:9" ht="18" customHeight="1" x14ac:dyDescent="0.3">
      <c r="A610" s="132">
        <f>'Daily Tracking'!A610</f>
        <v>46882</v>
      </c>
      <c r="B610" s="230" t="str">
        <f ca="1">IF(A610&gt;TODAY(),"",IF('Daily Tracking'!B610&lt;&gt;"",1,0))</f>
        <v/>
      </c>
      <c r="C610" s="230" t="str">
        <f ca="1">IF(A610&gt;TODAY(),"",IF('Daily Tracking'!E610&lt;&gt;"",1,0))</f>
        <v/>
      </c>
      <c r="D610" s="230" t="str">
        <f ca="1">IF(A610&gt;TODAY(),"",IF(N('Daily Tracking'!G610)&gt;=Settings!$B$13,1,0))</f>
        <v/>
      </c>
      <c r="E610" s="230" t="str">
        <f ca="1">IF(A610&gt;TODAY(),"",IF(N('Daily Tracking'!H610)&gt;=Settings!$B$14,1,0))</f>
        <v/>
      </c>
      <c r="F610" s="230" t="str">
        <f ca="1">IF(A610&gt;TODAY(),"",IF(OR(N('Daily Tracking'!I610)&gt;0,'Daily Tracking'!J610="Yes"),1,0))</f>
        <v/>
      </c>
      <c r="G610" s="230" t="str">
        <f ca="1">IF(A610&gt;TODAY(),"",IF(N('Daily Tracking'!K610)&gt;=Settings!$B$15,1,0))</f>
        <v/>
      </c>
      <c r="H610" s="231" t="str">
        <f ca="1">IF(B610="","",AVERAGE(B610:G610))</f>
        <v/>
      </c>
      <c r="I610" s="136" t="str">
        <f ca="1">IF(B610="","",IF(B610=1,N(I609)+1,0))</f>
        <v/>
      </c>
    </row>
    <row r="611" spans="1:9" ht="18" customHeight="1" x14ac:dyDescent="0.3">
      <c r="A611" s="132">
        <f>'Daily Tracking'!A611</f>
        <v>46883</v>
      </c>
      <c r="B611" s="230" t="str">
        <f ca="1">IF(A611&gt;TODAY(),"",IF('Daily Tracking'!B611&lt;&gt;"",1,0))</f>
        <v/>
      </c>
      <c r="C611" s="230" t="str">
        <f ca="1">IF(A611&gt;TODAY(),"",IF('Daily Tracking'!E611&lt;&gt;"",1,0))</f>
        <v/>
      </c>
      <c r="D611" s="230" t="str">
        <f ca="1">IF(A611&gt;TODAY(),"",IF(N('Daily Tracking'!G611)&gt;=Settings!$B$13,1,0))</f>
        <v/>
      </c>
      <c r="E611" s="230" t="str">
        <f ca="1">IF(A611&gt;TODAY(),"",IF(N('Daily Tracking'!H611)&gt;=Settings!$B$14,1,0))</f>
        <v/>
      </c>
      <c r="F611" s="230" t="str">
        <f ca="1">IF(A611&gt;TODAY(),"",IF(OR(N('Daily Tracking'!I611)&gt;0,'Daily Tracking'!J611="Yes"),1,0))</f>
        <v/>
      </c>
      <c r="G611" s="230" t="str">
        <f ca="1">IF(A611&gt;TODAY(),"",IF(N('Daily Tracking'!K611)&gt;=Settings!$B$15,1,0))</f>
        <v/>
      </c>
      <c r="H611" s="231" t="str">
        <f ca="1">IF(B611="","",AVERAGE(B611:G611))</f>
        <v/>
      </c>
      <c r="I611" s="136" t="str">
        <f ca="1">IF(B611="","",IF(B611=1,N(I610)+1,0))</f>
        <v/>
      </c>
    </row>
    <row r="612" spans="1:9" ht="18" customHeight="1" x14ac:dyDescent="0.3">
      <c r="A612" s="132">
        <f>'Daily Tracking'!A612</f>
        <v>46884</v>
      </c>
      <c r="B612" s="230" t="str">
        <f ca="1">IF(A612&gt;TODAY(),"",IF('Daily Tracking'!B612&lt;&gt;"",1,0))</f>
        <v/>
      </c>
      <c r="C612" s="230" t="str">
        <f ca="1">IF(A612&gt;TODAY(),"",IF('Daily Tracking'!E612&lt;&gt;"",1,0))</f>
        <v/>
      </c>
      <c r="D612" s="230" t="str">
        <f ca="1">IF(A612&gt;TODAY(),"",IF(N('Daily Tracking'!G612)&gt;=Settings!$B$13,1,0))</f>
        <v/>
      </c>
      <c r="E612" s="230" t="str">
        <f ca="1">IF(A612&gt;TODAY(),"",IF(N('Daily Tracking'!H612)&gt;=Settings!$B$14,1,0))</f>
        <v/>
      </c>
      <c r="F612" s="230" t="str">
        <f ca="1">IF(A612&gt;TODAY(),"",IF(OR(N('Daily Tracking'!I612)&gt;0,'Daily Tracking'!J612="Yes"),1,0))</f>
        <v/>
      </c>
      <c r="G612" s="230" t="str">
        <f ca="1">IF(A612&gt;TODAY(),"",IF(N('Daily Tracking'!K612)&gt;=Settings!$B$15,1,0))</f>
        <v/>
      </c>
      <c r="H612" s="231" t="str">
        <f ca="1">IF(B612="","",AVERAGE(B612:G612))</f>
        <v/>
      </c>
      <c r="I612" s="136" t="str">
        <f ca="1">IF(B612="","",IF(B612=1,N(I611)+1,0))</f>
        <v/>
      </c>
    </row>
    <row r="613" spans="1:9" ht="18" customHeight="1" x14ac:dyDescent="0.3">
      <c r="A613" s="132">
        <f>'Daily Tracking'!A613</f>
        <v>46885</v>
      </c>
      <c r="B613" s="230" t="str">
        <f ca="1">IF(A613&gt;TODAY(),"",IF('Daily Tracking'!B613&lt;&gt;"",1,0))</f>
        <v/>
      </c>
      <c r="C613" s="230" t="str">
        <f ca="1">IF(A613&gt;TODAY(),"",IF('Daily Tracking'!E613&lt;&gt;"",1,0))</f>
        <v/>
      </c>
      <c r="D613" s="230" t="str">
        <f ca="1">IF(A613&gt;TODAY(),"",IF(N('Daily Tracking'!G613)&gt;=Settings!$B$13,1,0))</f>
        <v/>
      </c>
      <c r="E613" s="230" t="str">
        <f ca="1">IF(A613&gt;TODAY(),"",IF(N('Daily Tracking'!H613)&gt;=Settings!$B$14,1,0))</f>
        <v/>
      </c>
      <c r="F613" s="230" t="str">
        <f ca="1">IF(A613&gt;TODAY(),"",IF(OR(N('Daily Tracking'!I613)&gt;0,'Daily Tracking'!J613="Yes"),1,0))</f>
        <v/>
      </c>
      <c r="G613" s="230" t="str">
        <f ca="1">IF(A613&gt;TODAY(),"",IF(N('Daily Tracking'!K613)&gt;=Settings!$B$15,1,0))</f>
        <v/>
      </c>
      <c r="H613" s="231" t="str">
        <f ca="1">IF(B613="","",AVERAGE(B613:G613))</f>
        <v/>
      </c>
      <c r="I613" s="136" t="str">
        <f ca="1">IF(B613="","",IF(B613=1,N(I612)+1,0))</f>
        <v/>
      </c>
    </row>
    <row r="614" spans="1:9" ht="18" customHeight="1" x14ac:dyDescent="0.3">
      <c r="A614" s="132">
        <f>'Daily Tracking'!A614</f>
        <v>46886</v>
      </c>
      <c r="B614" s="230" t="str">
        <f ca="1">IF(A614&gt;TODAY(),"",IF('Daily Tracking'!B614&lt;&gt;"",1,0))</f>
        <v/>
      </c>
      <c r="C614" s="230" t="str">
        <f ca="1">IF(A614&gt;TODAY(),"",IF('Daily Tracking'!E614&lt;&gt;"",1,0))</f>
        <v/>
      </c>
      <c r="D614" s="230" t="str">
        <f ca="1">IF(A614&gt;TODAY(),"",IF(N('Daily Tracking'!G614)&gt;=Settings!$B$13,1,0))</f>
        <v/>
      </c>
      <c r="E614" s="230" t="str">
        <f ca="1">IF(A614&gt;TODAY(),"",IF(N('Daily Tracking'!H614)&gt;=Settings!$B$14,1,0))</f>
        <v/>
      </c>
      <c r="F614" s="230" t="str">
        <f ca="1">IF(A614&gt;TODAY(),"",IF(OR(N('Daily Tracking'!I614)&gt;0,'Daily Tracking'!J614="Yes"),1,0))</f>
        <v/>
      </c>
      <c r="G614" s="230" t="str">
        <f ca="1">IF(A614&gt;TODAY(),"",IF(N('Daily Tracking'!K614)&gt;=Settings!$B$15,1,0))</f>
        <v/>
      </c>
      <c r="H614" s="231" t="str">
        <f ca="1">IF(B614="","",AVERAGE(B614:G614))</f>
        <v/>
      </c>
      <c r="I614" s="136" t="str">
        <f ca="1">IF(B614="","",IF(B614=1,N(I613)+1,0))</f>
        <v/>
      </c>
    </row>
    <row r="615" spans="1:9" ht="18" customHeight="1" x14ac:dyDescent="0.3">
      <c r="A615" s="132">
        <f>'Daily Tracking'!A615</f>
        <v>46887</v>
      </c>
      <c r="B615" s="230" t="str">
        <f ca="1">IF(A615&gt;TODAY(),"",IF('Daily Tracking'!B615&lt;&gt;"",1,0))</f>
        <v/>
      </c>
      <c r="C615" s="230" t="str">
        <f ca="1">IF(A615&gt;TODAY(),"",IF('Daily Tracking'!E615&lt;&gt;"",1,0))</f>
        <v/>
      </c>
      <c r="D615" s="230" t="str">
        <f ca="1">IF(A615&gt;TODAY(),"",IF(N('Daily Tracking'!G615)&gt;=Settings!$B$13,1,0))</f>
        <v/>
      </c>
      <c r="E615" s="230" t="str">
        <f ca="1">IF(A615&gt;TODAY(),"",IF(N('Daily Tracking'!H615)&gt;=Settings!$B$14,1,0))</f>
        <v/>
      </c>
      <c r="F615" s="230" t="str">
        <f ca="1">IF(A615&gt;TODAY(),"",IF(OR(N('Daily Tracking'!I615)&gt;0,'Daily Tracking'!J615="Yes"),1,0))</f>
        <v/>
      </c>
      <c r="G615" s="230" t="str">
        <f ca="1">IF(A615&gt;TODAY(),"",IF(N('Daily Tracking'!K615)&gt;=Settings!$B$15,1,0))</f>
        <v/>
      </c>
      <c r="H615" s="231" t="str">
        <f ca="1">IF(B615="","",AVERAGE(B615:G615))</f>
        <v/>
      </c>
      <c r="I615" s="136" t="str">
        <f ca="1">IF(B615="","",IF(B615=1,N(I614)+1,0))</f>
        <v/>
      </c>
    </row>
    <row r="616" spans="1:9" ht="18" customHeight="1" x14ac:dyDescent="0.3">
      <c r="A616" s="132">
        <f>'Daily Tracking'!A616</f>
        <v>46888</v>
      </c>
      <c r="B616" s="230" t="str">
        <f ca="1">IF(A616&gt;TODAY(),"",IF('Daily Tracking'!B616&lt;&gt;"",1,0))</f>
        <v/>
      </c>
      <c r="C616" s="230" t="str">
        <f ca="1">IF(A616&gt;TODAY(),"",IF('Daily Tracking'!E616&lt;&gt;"",1,0))</f>
        <v/>
      </c>
      <c r="D616" s="230" t="str">
        <f ca="1">IF(A616&gt;TODAY(),"",IF(N('Daily Tracking'!G616)&gt;=Settings!$B$13,1,0))</f>
        <v/>
      </c>
      <c r="E616" s="230" t="str">
        <f ca="1">IF(A616&gt;TODAY(),"",IF(N('Daily Tracking'!H616)&gt;=Settings!$B$14,1,0))</f>
        <v/>
      </c>
      <c r="F616" s="230" t="str">
        <f ca="1">IF(A616&gt;TODAY(),"",IF(OR(N('Daily Tracking'!I616)&gt;0,'Daily Tracking'!J616="Yes"),1,0))</f>
        <v/>
      </c>
      <c r="G616" s="230" t="str">
        <f ca="1">IF(A616&gt;TODAY(),"",IF(N('Daily Tracking'!K616)&gt;=Settings!$B$15,1,0))</f>
        <v/>
      </c>
      <c r="H616" s="231" t="str">
        <f ca="1">IF(B616="","",AVERAGE(B616:G616))</f>
        <v/>
      </c>
      <c r="I616" s="136" t="str">
        <f ca="1">IF(B616="","",IF(B616=1,N(I615)+1,0))</f>
        <v/>
      </c>
    </row>
    <row r="617" spans="1:9" ht="18" customHeight="1" x14ac:dyDescent="0.3">
      <c r="A617" s="132">
        <f>'Daily Tracking'!A617</f>
        <v>46889</v>
      </c>
      <c r="B617" s="230" t="str">
        <f ca="1">IF(A617&gt;TODAY(),"",IF('Daily Tracking'!B617&lt;&gt;"",1,0))</f>
        <v/>
      </c>
      <c r="C617" s="230" t="str">
        <f ca="1">IF(A617&gt;TODAY(),"",IF('Daily Tracking'!E617&lt;&gt;"",1,0))</f>
        <v/>
      </c>
      <c r="D617" s="230" t="str">
        <f ca="1">IF(A617&gt;TODAY(),"",IF(N('Daily Tracking'!G617)&gt;=Settings!$B$13,1,0))</f>
        <v/>
      </c>
      <c r="E617" s="230" t="str">
        <f ca="1">IF(A617&gt;TODAY(),"",IF(N('Daily Tracking'!H617)&gt;=Settings!$B$14,1,0))</f>
        <v/>
      </c>
      <c r="F617" s="230" t="str">
        <f ca="1">IF(A617&gt;TODAY(),"",IF(OR(N('Daily Tracking'!I617)&gt;0,'Daily Tracking'!J617="Yes"),1,0))</f>
        <v/>
      </c>
      <c r="G617" s="230" t="str">
        <f ca="1">IF(A617&gt;TODAY(),"",IF(N('Daily Tracking'!K617)&gt;=Settings!$B$15,1,0))</f>
        <v/>
      </c>
      <c r="H617" s="231" t="str">
        <f ca="1">IF(B617="","",AVERAGE(B617:G617))</f>
        <v/>
      </c>
      <c r="I617" s="136" t="str">
        <f ca="1">IF(B617="","",IF(B617=1,N(I616)+1,0))</f>
        <v/>
      </c>
    </row>
    <row r="618" spans="1:9" ht="18" customHeight="1" x14ac:dyDescent="0.3">
      <c r="A618" s="132">
        <f>'Daily Tracking'!A618</f>
        <v>46890</v>
      </c>
      <c r="B618" s="230" t="str">
        <f ca="1">IF(A618&gt;TODAY(),"",IF('Daily Tracking'!B618&lt;&gt;"",1,0))</f>
        <v/>
      </c>
      <c r="C618" s="230" t="str">
        <f ca="1">IF(A618&gt;TODAY(),"",IF('Daily Tracking'!E618&lt;&gt;"",1,0))</f>
        <v/>
      </c>
      <c r="D618" s="230" t="str">
        <f ca="1">IF(A618&gt;TODAY(),"",IF(N('Daily Tracking'!G618)&gt;=Settings!$B$13,1,0))</f>
        <v/>
      </c>
      <c r="E618" s="230" t="str">
        <f ca="1">IF(A618&gt;TODAY(),"",IF(N('Daily Tracking'!H618)&gt;=Settings!$B$14,1,0))</f>
        <v/>
      </c>
      <c r="F618" s="230" t="str">
        <f ca="1">IF(A618&gt;TODAY(),"",IF(OR(N('Daily Tracking'!I618)&gt;0,'Daily Tracking'!J618="Yes"),1,0))</f>
        <v/>
      </c>
      <c r="G618" s="230" t="str">
        <f ca="1">IF(A618&gt;TODAY(),"",IF(N('Daily Tracking'!K618)&gt;=Settings!$B$15,1,0))</f>
        <v/>
      </c>
      <c r="H618" s="231" t="str">
        <f ca="1">IF(B618="","",AVERAGE(B618:G618))</f>
        <v/>
      </c>
      <c r="I618" s="136" t="str">
        <f ca="1">IF(B618="","",IF(B618=1,N(I617)+1,0))</f>
        <v/>
      </c>
    </row>
    <row r="619" spans="1:9" ht="18" customHeight="1" x14ac:dyDescent="0.3">
      <c r="A619" s="132">
        <f>'Daily Tracking'!A619</f>
        <v>46891</v>
      </c>
      <c r="B619" s="230" t="str">
        <f ca="1">IF(A619&gt;TODAY(),"",IF('Daily Tracking'!B619&lt;&gt;"",1,0))</f>
        <v/>
      </c>
      <c r="C619" s="230" t="str">
        <f ca="1">IF(A619&gt;TODAY(),"",IF('Daily Tracking'!E619&lt;&gt;"",1,0))</f>
        <v/>
      </c>
      <c r="D619" s="230" t="str">
        <f ca="1">IF(A619&gt;TODAY(),"",IF(N('Daily Tracking'!G619)&gt;=Settings!$B$13,1,0))</f>
        <v/>
      </c>
      <c r="E619" s="230" t="str">
        <f ca="1">IF(A619&gt;TODAY(),"",IF(N('Daily Tracking'!H619)&gt;=Settings!$B$14,1,0))</f>
        <v/>
      </c>
      <c r="F619" s="230" t="str">
        <f ca="1">IF(A619&gt;TODAY(),"",IF(OR(N('Daily Tracking'!I619)&gt;0,'Daily Tracking'!J619="Yes"),1,0))</f>
        <v/>
      </c>
      <c r="G619" s="230" t="str">
        <f ca="1">IF(A619&gt;TODAY(),"",IF(N('Daily Tracking'!K619)&gt;=Settings!$B$15,1,0))</f>
        <v/>
      </c>
      <c r="H619" s="231" t="str">
        <f ca="1">IF(B619="","",AVERAGE(B619:G619))</f>
        <v/>
      </c>
      <c r="I619" s="136" t="str">
        <f ca="1">IF(B619="","",IF(B619=1,N(I618)+1,0))</f>
        <v/>
      </c>
    </row>
    <row r="620" spans="1:9" ht="18" customHeight="1" x14ac:dyDescent="0.3">
      <c r="A620" s="132">
        <f>'Daily Tracking'!A620</f>
        <v>46892</v>
      </c>
      <c r="B620" s="230" t="str">
        <f ca="1">IF(A620&gt;TODAY(),"",IF('Daily Tracking'!B620&lt;&gt;"",1,0))</f>
        <v/>
      </c>
      <c r="C620" s="230" t="str">
        <f ca="1">IF(A620&gt;TODAY(),"",IF('Daily Tracking'!E620&lt;&gt;"",1,0))</f>
        <v/>
      </c>
      <c r="D620" s="230" t="str">
        <f ca="1">IF(A620&gt;TODAY(),"",IF(N('Daily Tracking'!G620)&gt;=Settings!$B$13,1,0))</f>
        <v/>
      </c>
      <c r="E620" s="230" t="str">
        <f ca="1">IF(A620&gt;TODAY(),"",IF(N('Daily Tracking'!H620)&gt;=Settings!$B$14,1,0))</f>
        <v/>
      </c>
      <c r="F620" s="230" t="str">
        <f ca="1">IF(A620&gt;TODAY(),"",IF(OR(N('Daily Tracking'!I620)&gt;0,'Daily Tracking'!J620="Yes"),1,0))</f>
        <v/>
      </c>
      <c r="G620" s="230" t="str">
        <f ca="1">IF(A620&gt;TODAY(),"",IF(N('Daily Tracking'!K620)&gt;=Settings!$B$15,1,0))</f>
        <v/>
      </c>
      <c r="H620" s="231" t="str">
        <f ca="1">IF(B620="","",AVERAGE(B620:G620))</f>
        <v/>
      </c>
      <c r="I620" s="136" t="str">
        <f ca="1">IF(B620="","",IF(B620=1,N(I619)+1,0))</f>
        <v/>
      </c>
    </row>
    <row r="621" spans="1:9" ht="18" customHeight="1" x14ac:dyDescent="0.3">
      <c r="A621" s="132">
        <f>'Daily Tracking'!A621</f>
        <v>46893</v>
      </c>
      <c r="B621" s="230" t="str">
        <f ca="1">IF(A621&gt;TODAY(),"",IF('Daily Tracking'!B621&lt;&gt;"",1,0))</f>
        <v/>
      </c>
      <c r="C621" s="230" t="str">
        <f ca="1">IF(A621&gt;TODAY(),"",IF('Daily Tracking'!E621&lt;&gt;"",1,0))</f>
        <v/>
      </c>
      <c r="D621" s="230" t="str">
        <f ca="1">IF(A621&gt;TODAY(),"",IF(N('Daily Tracking'!G621)&gt;=Settings!$B$13,1,0))</f>
        <v/>
      </c>
      <c r="E621" s="230" t="str">
        <f ca="1">IF(A621&gt;TODAY(),"",IF(N('Daily Tracking'!H621)&gt;=Settings!$B$14,1,0))</f>
        <v/>
      </c>
      <c r="F621" s="230" t="str">
        <f ca="1">IF(A621&gt;TODAY(),"",IF(OR(N('Daily Tracking'!I621)&gt;0,'Daily Tracking'!J621="Yes"),1,0))</f>
        <v/>
      </c>
      <c r="G621" s="230" t="str">
        <f ca="1">IF(A621&gt;TODAY(),"",IF(N('Daily Tracking'!K621)&gt;=Settings!$B$15,1,0))</f>
        <v/>
      </c>
      <c r="H621" s="231" t="str">
        <f ca="1">IF(B621="","",AVERAGE(B621:G621))</f>
        <v/>
      </c>
      <c r="I621" s="136" t="str">
        <f ca="1">IF(B621="","",IF(B621=1,N(I620)+1,0))</f>
        <v/>
      </c>
    </row>
    <row r="622" spans="1:9" ht="18" customHeight="1" x14ac:dyDescent="0.3">
      <c r="A622" s="132">
        <f>'Daily Tracking'!A622</f>
        <v>46894</v>
      </c>
      <c r="B622" s="230" t="str">
        <f ca="1">IF(A622&gt;TODAY(),"",IF('Daily Tracking'!B622&lt;&gt;"",1,0))</f>
        <v/>
      </c>
      <c r="C622" s="230" t="str">
        <f ca="1">IF(A622&gt;TODAY(),"",IF('Daily Tracking'!E622&lt;&gt;"",1,0))</f>
        <v/>
      </c>
      <c r="D622" s="230" t="str">
        <f ca="1">IF(A622&gt;TODAY(),"",IF(N('Daily Tracking'!G622)&gt;=Settings!$B$13,1,0))</f>
        <v/>
      </c>
      <c r="E622" s="230" t="str">
        <f ca="1">IF(A622&gt;TODAY(),"",IF(N('Daily Tracking'!H622)&gt;=Settings!$B$14,1,0))</f>
        <v/>
      </c>
      <c r="F622" s="230" t="str">
        <f ca="1">IF(A622&gt;TODAY(),"",IF(OR(N('Daily Tracking'!I622)&gt;0,'Daily Tracking'!J622="Yes"),1,0))</f>
        <v/>
      </c>
      <c r="G622" s="230" t="str">
        <f ca="1">IF(A622&gt;TODAY(),"",IF(N('Daily Tracking'!K622)&gt;=Settings!$B$15,1,0))</f>
        <v/>
      </c>
      <c r="H622" s="231" t="str">
        <f ca="1">IF(B622="","",AVERAGE(B622:G622))</f>
        <v/>
      </c>
      <c r="I622" s="136" t="str">
        <f ca="1">IF(B622="","",IF(B622=1,N(I621)+1,0))</f>
        <v/>
      </c>
    </row>
    <row r="623" spans="1:9" ht="18" customHeight="1" x14ac:dyDescent="0.3">
      <c r="A623" s="132">
        <f>'Daily Tracking'!A623</f>
        <v>46895</v>
      </c>
      <c r="B623" s="230" t="str">
        <f ca="1">IF(A623&gt;TODAY(),"",IF('Daily Tracking'!B623&lt;&gt;"",1,0))</f>
        <v/>
      </c>
      <c r="C623" s="230" t="str">
        <f ca="1">IF(A623&gt;TODAY(),"",IF('Daily Tracking'!E623&lt;&gt;"",1,0))</f>
        <v/>
      </c>
      <c r="D623" s="230" t="str">
        <f ca="1">IF(A623&gt;TODAY(),"",IF(N('Daily Tracking'!G623)&gt;=Settings!$B$13,1,0))</f>
        <v/>
      </c>
      <c r="E623" s="230" t="str">
        <f ca="1">IF(A623&gt;TODAY(),"",IF(N('Daily Tracking'!H623)&gt;=Settings!$B$14,1,0))</f>
        <v/>
      </c>
      <c r="F623" s="230" t="str">
        <f ca="1">IF(A623&gt;TODAY(),"",IF(OR(N('Daily Tracking'!I623)&gt;0,'Daily Tracking'!J623="Yes"),1,0))</f>
        <v/>
      </c>
      <c r="G623" s="230" t="str">
        <f ca="1">IF(A623&gt;TODAY(),"",IF(N('Daily Tracking'!K623)&gt;=Settings!$B$15,1,0))</f>
        <v/>
      </c>
      <c r="H623" s="231" t="str">
        <f ca="1">IF(B623="","",AVERAGE(B623:G623))</f>
        <v/>
      </c>
      <c r="I623" s="136" t="str">
        <f ca="1">IF(B623="","",IF(B623=1,N(I622)+1,0))</f>
        <v/>
      </c>
    </row>
    <row r="624" spans="1:9" ht="18" customHeight="1" x14ac:dyDescent="0.3">
      <c r="A624" s="132">
        <f>'Daily Tracking'!A624</f>
        <v>46896</v>
      </c>
      <c r="B624" s="230" t="str">
        <f ca="1">IF(A624&gt;TODAY(),"",IF('Daily Tracking'!B624&lt;&gt;"",1,0))</f>
        <v/>
      </c>
      <c r="C624" s="230" t="str">
        <f ca="1">IF(A624&gt;TODAY(),"",IF('Daily Tracking'!E624&lt;&gt;"",1,0))</f>
        <v/>
      </c>
      <c r="D624" s="230" t="str">
        <f ca="1">IF(A624&gt;TODAY(),"",IF(N('Daily Tracking'!G624)&gt;=Settings!$B$13,1,0))</f>
        <v/>
      </c>
      <c r="E624" s="230" t="str">
        <f ca="1">IF(A624&gt;TODAY(),"",IF(N('Daily Tracking'!H624)&gt;=Settings!$B$14,1,0))</f>
        <v/>
      </c>
      <c r="F624" s="230" t="str">
        <f ca="1">IF(A624&gt;TODAY(),"",IF(OR(N('Daily Tracking'!I624)&gt;0,'Daily Tracking'!J624="Yes"),1,0))</f>
        <v/>
      </c>
      <c r="G624" s="230" t="str">
        <f ca="1">IF(A624&gt;TODAY(),"",IF(N('Daily Tracking'!K624)&gt;=Settings!$B$15,1,0))</f>
        <v/>
      </c>
      <c r="H624" s="231" t="str">
        <f ca="1">IF(B624="","",AVERAGE(B624:G624))</f>
        <v/>
      </c>
      <c r="I624" s="136" t="str">
        <f ca="1">IF(B624="","",IF(B624=1,N(I623)+1,0))</f>
        <v/>
      </c>
    </row>
    <row r="625" spans="1:9" ht="18" customHeight="1" x14ac:dyDescent="0.3">
      <c r="A625" s="132">
        <f>'Daily Tracking'!A625</f>
        <v>46897</v>
      </c>
      <c r="B625" s="230" t="str">
        <f ca="1">IF(A625&gt;TODAY(),"",IF('Daily Tracking'!B625&lt;&gt;"",1,0))</f>
        <v/>
      </c>
      <c r="C625" s="230" t="str">
        <f ca="1">IF(A625&gt;TODAY(),"",IF('Daily Tracking'!E625&lt;&gt;"",1,0))</f>
        <v/>
      </c>
      <c r="D625" s="230" t="str">
        <f ca="1">IF(A625&gt;TODAY(),"",IF(N('Daily Tracking'!G625)&gt;=Settings!$B$13,1,0))</f>
        <v/>
      </c>
      <c r="E625" s="230" t="str">
        <f ca="1">IF(A625&gt;TODAY(),"",IF(N('Daily Tracking'!H625)&gt;=Settings!$B$14,1,0))</f>
        <v/>
      </c>
      <c r="F625" s="230" t="str">
        <f ca="1">IF(A625&gt;TODAY(),"",IF(OR(N('Daily Tracking'!I625)&gt;0,'Daily Tracking'!J625="Yes"),1,0))</f>
        <v/>
      </c>
      <c r="G625" s="230" t="str">
        <f ca="1">IF(A625&gt;TODAY(),"",IF(N('Daily Tracking'!K625)&gt;=Settings!$B$15,1,0))</f>
        <v/>
      </c>
      <c r="H625" s="231" t="str">
        <f ca="1">IF(B625="","",AVERAGE(B625:G625))</f>
        <v/>
      </c>
      <c r="I625" s="136" t="str">
        <f ca="1">IF(B625="","",IF(B625=1,N(I624)+1,0))</f>
        <v/>
      </c>
    </row>
    <row r="626" spans="1:9" ht="18" customHeight="1" x14ac:dyDescent="0.3">
      <c r="A626" s="132">
        <f>'Daily Tracking'!A626</f>
        <v>46898</v>
      </c>
      <c r="B626" s="230" t="str">
        <f ca="1">IF(A626&gt;TODAY(),"",IF('Daily Tracking'!B626&lt;&gt;"",1,0))</f>
        <v/>
      </c>
      <c r="C626" s="230" t="str">
        <f ca="1">IF(A626&gt;TODAY(),"",IF('Daily Tracking'!E626&lt;&gt;"",1,0))</f>
        <v/>
      </c>
      <c r="D626" s="230" t="str">
        <f ca="1">IF(A626&gt;TODAY(),"",IF(N('Daily Tracking'!G626)&gt;=Settings!$B$13,1,0))</f>
        <v/>
      </c>
      <c r="E626" s="230" t="str">
        <f ca="1">IF(A626&gt;TODAY(),"",IF(N('Daily Tracking'!H626)&gt;=Settings!$B$14,1,0))</f>
        <v/>
      </c>
      <c r="F626" s="230" t="str">
        <f ca="1">IF(A626&gt;TODAY(),"",IF(OR(N('Daily Tracking'!I626)&gt;0,'Daily Tracking'!J626="Yes"),1,0))</f>
        <v/>
      </c>
      <c r="G626" s="230" t="str">
        <f ca="1">IF(A626&gt;TODAY(),"",IF(N('Daily Tracking'!K626)&gt;=Settings!$B$15,1,0))</f>
        <v/>
      </c>
      <c r="H626" s="231" t="str">
        <f ca="1">IF(B626="","",AVERAGE(B626:G626))</f>
        <v/>
      </c>
      <c r="I626" s="136" t="str">
        <f ca="1">IF(B626="","",IF(B626=1,N(I625)+1,0))</f>
        <v/>
      </c>
    </row>
    <row r="627" spans="1:9" ht="18" customHeight="1" x14ac:dyDescent="0.3">
      <c r="A627" s="132">
        <f>'Daily Tracking'!A627</f>
        <v>46899</v>
      </c>
      <c r="B627" s="230" t="str">
        <f ca="1">IF(A627&gt;TODAY(),"",IF('Daily Tracking'!B627&lt;&gt;"",1,0))</f>
        <v/>
      </c>
      <c r="C627" s="230" t="str">
        <f ca="1">IF(A627&gt;TODAY(),"",IF('Daily Tracking'!E627&lt;&gt;"",1,0))</f>
        <v/>
      </c>
      <c r="D627" s="230" t="str">
        <f ca="1">IF(A627&gt;TODAY(),"",IF(N('Daily Tracking'!G627)&gt;=Settings!$B$13,1,0))</f>
        <v/>
      </c>
      <c r="E627" s="230" t="str">
        <f ca="1">IF(A627&gt;TODAY(),"",IF(N('Daily Tracking'!H627)&gt;=Settings!$B$14,1,0))</f>
        <v/>
      </c>
      <c r="F627" s="230" t="str">
        <f ca="1">IF(A627&gt;TODAY(),"",IF(OR(N('Daily Tracking'!I627)&gt;0,'Daily Tracking'!J627="Yes"),1,0))</f>
        <v/>
      </c>
      <c r="G627" s="230" t="str">
        <f ca="1">IF(A627&gt;TODAY(),"",IF(N('Daily Tracking'!K627)&gt;=Settings!$B$15,1,0))</f>
        <v/>
      </c>
      <c r="H627" s="231" t="str">
        <f ca="1">IF(B627="","",AVERAGE(B627:G627))</f>
        <v/>
      </c>
      <c r="I627" s="136" t="str">
        <f ca="1">IF(B627="","",IF(B627=1,N(I626)+1,0))</f>
        <v/>
      </c>
    </row>
    <row r="628" spans="1:9" ht="18" customHeight="1" x14ac:dyDescent="0.3">
      <c r="A628" s="132">
        <f>'Daily Tracking'!A628</f>
        <v>46900</v>
      </c>
      <c r="B628" s="230" t="str">
        <f ca="1">IF(A628&gt;TODAY(),"",IF('Daily Tracking'!B628&lt;&gt;"",1,0))</f>
        <v/>
      </c>
      <c r="C628" s="230" t="str">
        <f ca="1">IF(A628&gt;TODAY(),"",IF('Daily Tracking'!E628&lt;&gt;"",1,0))</f>
        <v/>
      </c>
      <c r="D628" s="230" t="str">
        <f ca="1">IF(A628&gt;TODAY(),"",IF(N('Daily Tracking'!G628)&gt;=Settings!$B$13,1,0))</f>
        <v/>
      </c>
      <c r="E628" s="230" t="str">
        <f ca="1">IF(A628&gt;TODAY(),"",IF(N('Daily Tracking'!H628)&gt;=Settings!$B$14,1,0))</f>
        <v/>
      </c>
      <c r="F628" s="230" t="str">
        <f ca="1">IF(A628&gt;TODAY(),"",IF(OR(N('Daily Tracking'!I628)&gt;0,'Daily Tracking'!J628="Yes"),1,0))</f>
        <v/>
      </c>
      <c r="G628" s="230" t="str">
        <f ca="1">IF(A628&gt;TODAY(),"",IF(N('Daily Tracking'!K628)&gt;=Settings!$B$15,1,0))</f>
        <v/>
      </c>
      <c r="H628" s="231" t="str">
        <f ca="1">IF(B628="","",AVERAGE(B628:G628))</f>
        <v/>
      </c>
      <c r="I628" s="136" t="str">
        <f ca="1">IF(B628="","",IF(B628=1,N(I627)+1,0))</f>
        <v/>
      </c>
    </row>
    <row r="629" spans="1:9" ht="18" customHeight="1" x14ac:dyDescent="0.3">
      <c r="A629" s="132">
        <f>'Daily Tracking'!A629</f>
        <v>46901</v>
      </c>
      <c r="B629" s="230" t="str">
        <f ca="1">IF(A629&gt;TODAY(),"",IF('Daily Tracking'!B629&lt;&gt;"",1,0))</f>
        <v/>
      </c>
      <c r="C629" s="230" t="str">
        <f ca="1">IF(A629&gt;TODAY(),"",IF('Daily Tracking'!E629&lt;&gt;"",1,0))</f>
        <v/>
      </c>
      <c r="D629" s="230" t="str">
        <f ca="1">IF(A629&gt;TODAY(),"",IF(N('Daily Tracking'!G629)&gt;=Settings!$B$13,1,0))</f>
        <v/>
      </c>
      <c r="E629" s="230" t="str">
        <f ca="1">IF(A629&gt;TODAY(),"",IF(N('Daily Tracking'!H629)&gt;=Settings!$B$14,1,0))</f>
        <v/>
      </c>
      <c r="F629" s="230" t="str">
        <f ca="1">IF(A629&gt;TODAY(),"",IF(OR(N('Daily Tracking'!I629)&gt;0,'Daily Tracking'!J629="Yes"),1,0))</f>
        <v/>
      </c>
      <c r="G629" s="230" t="str">
        <f ca="1">IF(A629&gt;TODAY(),"",IF(N('Daily Tracking'!K629)&gt;=Settings!$B$15,1,0))</f>
        <v/>
      </c>
      <c r="H629" s="231" t="str">
        <f ca="1">IF(B629="","",AVERAGE(B629:G629))</f>
        <v/>
      </c>
      <c r="I629" s="136" t="str">
        <f ca="1">IF(B629="","",IF(B629=1,N(I628)+1,0))</f>
        <v/>
      </c>
    </row>
    <row r="630" spans="1:9" ht="18" customHeight="1" x14ac:dyDescent="0.3">
      <c r="A630" s="132">
        <f>'Daily Tracking'!A630</f>
        <v>46902</v>
      </c>
      <c r="B630" s="230" t="str">
        <f ca="1">IF(A630&gt;TODAY(),"",IF('Daily Tracking'!B630&lt;&gt;"",1,0))</f>
        <v/>
      </c>
      <c r="C630" s="230" t="str">
        <f ca="1">IF(A630&gt;TODAY(),"",IF('Daily Tracking'!E630&lt;&gt;"",1,0))</f>
        <v/>
      </c>
      <c r="D630" s="230" t="str">
        <f ca="1">IF(A630&gt;TODAY(),"",IF(N('Daily Tracking'!G630)&gt;=Settings!$B$13,1,0))</f>
        <v/>
      </c>
      <c r="E630" s="230" t="str">
        <f ca="1">IF(A630&gt;TODAY(),"",IF(N('Daily Tracking'!H630)&gt;=Settings!$B$14,1,0))</f>
        <v/>
      </c>
      <c r="F630" s="230" t="str">
        <f ca="1">IF(A630&gt;TODAY(),"",IF(OR(N('Daily Tracking'!I630)&gt;0,'Daily Tracking'!J630="Yes"),1,0))</f>
        <v/>
      </c>
      <c r="G630" s="230" t="str">
        <f ca="1">IF(A630&gt;TODAY(),"",IF(N('Daily Tracking'!K630)&gt;=Settings!$B$15,1,0))</f>
        <v/>
      </c>
      <c r="H630" s="231" t="str">
        <f ca="1">IF(B630="","",AVERAGE(B630:G630))</f>
        <v/>
      </c>
      <c r="I630" s="136" t="str">
        <f ca="1">IF(B630="","",IF(B630=1,N(I629)+1,0))</f>
        <v/>
      </c>
    </row>
    <row r="631" spans="1:9" ht="18" customHeight="1" x14ac:dyDescent="0.3">
      <c r="A631" s="132">
        <f>'Daily Tracking'!A631</f>
        <v>46903</v>
      </c>
      <c r="B631" s="230" t="str">
        <f ca="1">IF(A631&gt;TODAY(),"",IF('Daily Tracking'!B631&lt;&gt;"",1,0))</f>
        <v/>
      </c>
      <c r="C631" s="230" t="str">
        <f ca="1">IF(A631&gt;TODAY(),"",IF('Daily Tracking'!E631&lt;&gt;"",1,0))</f>
        <v/>
      </c>
      <c r="D631" s="230" t="str">
        <f ca="1">IF(A631&gt;TODAY(),"",IF(N('Daily Tracking'!G631)&gt;=Settings!$B$13,1,0))</f>
        <v/>
      </c>
      <c r="E631" s="230" t="str">
        <f ca="1">IF(A631&gt;TODAY(),"",IF(N('Daily Tracking'!H631)&gt;=Settings!$B$14,1,0))</f>
        <v/>
      </c>
      <c r="F631" s="230" t="str">
        <f ca="1">IF(A631&gt;TODAY(),"",IF(OR(N('Daily Tracking'!I631)&gt;0,'Daily Tracking'!J631="Yes"),1,0))</f>
        <v/>
      </c>
      <c r="G631" s="230" t="str">
        <f ca="1">IF(A631&gt;TODAY(),"",IF(N('Daily Tracking'!K631)&gt;=Settings!$B$15,1,0))</f>
        <v/>
      </c>
      <c r="H631" s="231" t="str">
        <f ca="1">IF(B631="","",AVERAGE(B631:G631))</f>
        <v/>
      </c>
      <c r="I631" s="136" t="str">
        <f ca="1">IF(B631="","",IF(B631=1,N(I630)+1,0))</f>
        <v/>
      </c>
    </row>
    <row r="632" spans="1:9" ht="18" customHeight="1" x14ac:dyDescent="0.3">
      <c r="A632" s="132">
        <f>'Daily Tracking'!A632</f>
        <v>46904</v>
      </c>
      <c r="B632" s="230" t="str">
        <f ca="1">IF(A632&gt;TODAY(),"",IF('Daily Tracking'!B632&lt;&gt;"",1,0))</f>
        <v/>
      </c>
      <c r="C632" s="230" t="str">
        <f ca="1">IF(A632&gt;TODAY(),"",IF('Daily Tracking'!E632&lt;&gt;"",1,0))</f>
        <v/>
      </c>
      <c r="D632" s="230" t="str">
        <f ca="1">IF(A632&gt;TODAY(),"",IF(N('Daily Tracking'!G632)&gt;=Settings!$B$13,1,0))</f>
        <v/>
      </c>
      <c r="E632" s="230" t="str">
        <f ca="1">IF(A632&gt;TODAY(),"",IF(N('Daily Tracking'!H632)&gt;=Settings!$B$14,1,0))</f>
        <v/>
      </c>
      <c r="F632" s="230" t="str">
        <f ca="1">IF(A632&gt;TODAY(),"",IF(OR(N('Daily Tracking'!I632)&gt;0,'Daily Tracking'!J632="Yes"),1,0))</f>
        <v/>
      </c>
      <c r="G632" s="230" t="str">
        <f ca="1">IF(A632&gt;TODAY(),"",IF(N('Daily Tracking'!K632)&gt;=Settings!$B$15,1,0))</f>
        <v/>
      </c>
      <c r="H632" s="231" t="str">
        <f ca="1">IF(B632="","",AVERAGE(B632:G632))</f>
        <v/>
      </c>
      <c r="I632" s="136" t="str">
        <f ca="1">IF(B632="","",IF(B632=1,N(I631)+1,0))</f>
        <v/>
      </c>
    </row>
    <row r="633" spans="1:9" ht="18" customHeight="1" x14ac:dyDescent="0.3">
      <c r="A633" s="132">
        <f>'Daily Tracking'!A633</f>
        <v>46905</v>
      </c>
      <c r="B633" s="230" t="str">
        <f ca="1">IF(A633&gt;TODAY(),"",IF('Daily Tracking'!B633&lt;&gt;"",1,0))</f>
        <v/>
      </c>
      <c r="C633" s="230" t="str">
        <f ca="1">IF(A633&gt;TODAY(),"",IF('Daily Tracking'!E633&lt;&gt;"",1,0))</f>
        <v/>
      </c>
      <c r="D633" s="230" t="str">
        <f ca="1">IF(A633&gt;TODAY(),"",IF(N('Daily Tracking'!G633)&gt;=Settings!$B$13,1,0))</f>
        <v/>
      </c>
      <c r="E633" s="230" t="str">
        <f ca="1">IF(A633&gt;TODAY(),"",IF(N('Daily Tracking'!H633)&gt;=Settings!$B$14,1,0))</f>
        <v/>
      </c>
      <c r="F633" s="230" t="str">
        <f ca="1">IF(A633&gt;TODAY(),"",IF(OR(N('Daily Tracking'!I633)&gt;0,'Daily Tracking'!J633="Yes"),1,0))</f>
        <v/>
      </c>
      <c r="G633" s="230" t="str">
        <f ca="1">IF(A633&gt;TODAY(),"",IF(N('Daily Tracking'!K633)&gt;=Settings!$B$15,1,0))</f>
        <v/>
      </c>
      <c r="H633" s="231" t="str">
        <f ca="1">IF(B633="","",AVERAGE(B633:G633))</f>
        <v/>
      </c>
      <c r="I633" s="136" t="str">
        <f ca="1">IF(B633="","",IF(B633=1,N(I632)+1,0))</f>
        <v/>
      </c>
    </row>
    <row r="634" spans="1:9" ht="18" customHeight="1" x14ac:dyDescent="0.3">
      <c r="A634" s="132">
        <f>'Daily Tracking'!A634</f>
        <v>46906</v>
      </c>
      <c r="B634" s="230" t="str">
        <f ca="1">IF(A634&gt;TODAY(),"",IF('Daily Tracking'!B634&lt;&gt;"",1,0))</f>
        <v/>
      </c>
      <c r="C634" s="230" t="str">
        <f ca="1">IF(A634&gt;TODAY(),"",IF('Daily Tracking'!E634&lt;&gt;"",1,0))</f>
        <v/>
      </c>
      <c r="D634" s="230" t="str">
        <f ca="1">IF(A634&gt;TODAY(),"",IF(N('Daily Tracking'!G634)&gt;=Settings!$B$13,1,0))</f>
        <v/>
      </c>
      <c r="E634" s="230" t="str">
        <f ca="1">IF(A634&gt;TODAY(),"",IF(N('Daily Tracking'!H634)&gt;=Settings!$B$14,1,0))</f>
        <v/>
      </c>
      <c r="F634" s="230" t="str">
        <f ca="1">IF(A634&gt;TODAY(),"",IF(OR(N('Daily Tracking'!I634)&gt;0,'Daily Tracking'!J634="Yes"),1,0))</f>
        <v/>
      </c>
      <c r="G634" s="230" t="str">
        <f ca="1">IF(A634&gt;TODAY(),"",IF(N('Daily Tracking'!K634)&gt;=Settings!$B$15,1,0))</f>
        <v/>
      </c>
      <c r="H634" s="231" t="str">
        <f ca="1">IF(B634="","",AVERAGE(B634:G634))</f>
        <v/>
      </c>
      <c r="I634" s="136" t="str">
        <f ca="1">IF(B634="","",IF(B634=1,N(I633)+1,0))</f>
        <v/>
      </c>
    </row>
    <row r="635" spans="1:9" ht="18" customHeight="1" x14ac:dyDescent="0.3">
      <c r="A635" s="132">
        <f>'Daily Tracking'!A635</f>
        <v>46907</v>
      </c>
      <c r="B635" s="230" t="str">
        <f ca="1">IF(A635&gt;TODAY(),"",IF('Daily Tracking'!B635&lt;&gt;"",1,0))</f>
        <v/>
      </c>
      <c r="C635" s="230" t="str">
        <f ca="1">IF(A635&gt;TODAY(),"",IF('Daily Tracking'!E635&lt;&gt;"",1,0))</f>
        <v/>
      </c>
      <c r="D635" s="230" t="str">
        <f ca="1">IF(A635&gt;TODAY(),"",IF(N('Daily Tracking'!G635)&gt;=Settings!$B$13,1,0))</f>
        <v/>
      </c>
      <c r="E635" s="230" t="str">
        <f ca="1">IF(A635&gt;TODAY(),"",IF(N('Daily Tracking'!H635)&gt;=Settings!$B$14,1,0))</f>
        <v/>
      </c>
      <c r="F635" s="230" t="str">
        <f ca="1">IF(A635&gt;TODAY(),"",IF(OR(N('Daily Tracking'!I635)&gt;0,'Daily Tracking'!J635="Yes"),1,0))</f>
        <v/>
      </c>
      <c r="G635" s="230" t="str">
        <f ca="1">IF(A635&gt;TODAY(),"",IF(N('Daily Tracking'!K635)&gt;=Settings!$B$15,1,0))</f>
        <v/>
      </c>
      <c r="H635" s="231" t="str">
        <f ca="1">IF(B635="","",AVERAGE(B635:G635))</f>
        <v/>
      </c>
      <c r="I635" s="136" t="str">
        <f ca="1">IF(B635="","",IF(B635=1,N(I634)+1,0))</f>
        <v/>
      </c>
    </row>
    <row r="636" spans="1:9" ht="18" customHeight="1" x14ac:dyDescent="0.3">
      <c r="A636" s="132">
        <f>'Daily Tracking'!A636</f>
        <v>46908</v>
      </c>
      <c r="B636" s="230" t="str">
        <f ca="1">IF(A636&gt;TODAY(),"",IF('Daily Tracking'!B636&lt;&gt;"",1,0))</f>
        <v/>
      </c>
      <c r="C636" s="230" t="str">
        <f ca="1">IF(A636&gt;TODAY(),"",IF('Daily Tracking'!E636&lt;&gt;"",1,0))</f>
        <v/>
      </c>
      <c r="D636" s="230" t="str">
        <f ca="1">IF(A636&gt;TODAY(),"",IF(N('Daily Tracking'!G636)&gt;=Settings!$B$13,1,0))</f>
        <v/>
      </c>
      <c r="E636" s="230" t="str">
        <f ca="1">IF(A636&gt;TODAY(),"",IF(N('Daily Tracking'!H636)&gt;=Settings!$B$14,1,0))</f>
        <v/>
      </c>
      <c r="F636" s="230" t="str">
        <f ca="1">IF(A636&gt;TODAY(),"",IF(OR(N('Daily Tracking'!I636)&gt;0,'Daily Tracking'!J636="Yes"),1,0))</f>
        <v/>
      </c>
      <c r="G636" s="230" t="str">
        <f ca="1">IF(A636&gt;TODAY(),"",IF(N('Daily Tracking'!K636)&gt;=Settings!$B$15,1,0))</f>
        <v/>
      </c>
      <c r="H636" s="231" t="str">
        <f ca="1">IF(B636="","",AVERAGE(B636:G636))</f>
        <v/>
      </c>
      <c r="I636" s="136" t="str">
        <f ca="1">IF(B636="","",IF(B636=1,N(I635)+1,0))</f>
        <v/>
      </c>
    </row>
    <row r="637" spans="1:9" ht="18" customHeight="1" x14ac:dyDescent="0.3">
      <c r="A637" s="132">
        <f>'Daily Tracking'!A637</f>
        <v>46909</v>
      </c>
      <c r="B637" s="230" t="str">
        <f ca="1">IF(A637&gt;TODAY(),"",IF('Daily Tracking'!B637&lt;&gt;"",1,0))</f>
        <v/>
      </c>
      <c r="C637" s="230" t="str">
        <f ca="1">IF(A637&gt;TODAY(),"",IF('Daily Tracking'!E637&lt;&gt;"",1,0))</f>
        <v/>
      </c>
      <c r="D637" s="230" t="str">
        <f ca="1">IF(A637&gt;TODAY(),"",IF(N('Daily Tracking'!G637)&gt;=Settings!$B$13,1,0))</f>
        <v/>
      </c>
      <c r="E637" s="230" t="str">
        <f ca="1">IF(A637&gt;TODAY(),"",IF(N('Daily Tracking'!H637)&gt;=Settings!$B$14,1,0))</f>
        <v/>
      </c>
      <c r="F637" s="230" t="str">
        <f ca="1">IF(A637&gt;TODAY(),"",IF(OR(N('Daily Tracking'!I637)&gt;0,'Daily Tracking'!J637="Yes"),1,0))</f>
        <v/>
      </c>
      <c r="G637" s="230" t="str">
        <f ca="1">IF(A637&gt;TODAY(),"",IF(N('Daily Tracking'!K637)&gt;=Settings!$B$15,1,0))</f>
        <v/>
      </c>
      <c r="H637" s="231" t="str">
        <f ca="1">IF(B637="","",AVERAGE(B637:G637))</f>
        <v/>
      </c>
      <c r="I637" s="136" t="str">
        <f ca="1">IF(B637="","",IF(B637=1,N(I636)+1,0))</f>
        <v/>
      </c>
    </row>
    <row r="638" spans="1:9" ht="18" customHeight="1" x14ac:dyDescent="0.3">
      <c r="A638" s="132">
        <f>'Daily Tracking'!A638</f>
        <v>46910</v>
      </c>
      <c r="B638" s="230" t="str">
        <f ca="1">IF(A638&gt;TODAY(),"",IF('Daily Tracking'!B638&lt;&gt;"",1,0))</f>
        <v/>
      </c>
      <c r="C638" s="230" t="str">
        <f ca="1">IF(A638&gt;TODAY(),"",IF('Daily Tracking'!E638&lt;&gt;"",1,0))</f>
        <v/>
      </c>
      <c r="D638" s="230" t="str">
        <f ca="1">IF(A638&gt;TODAY(),"",IF(N('Daily Tracking'!G638)&gt;=Settings!$B$13,1,0))</f>
        <v/>
      </c>
      <c r="E638" s="230" t="str">
        <f ca="1">IF(A638&gt;TODAY(),"",IF(N('Daily Tracking'!H638)&gt;=Settings!$B$14,1,0))</f>
        <v/>
      </c>
      <c r="F638" s="230" t="str">
        <f ca="1">IF(A638&gt;TODAY(),"",IF(OR(N('Daily Tracking'!I638)&gt;0,'Daily Tracking'!J638="Yes"),1,0))</f>
        <v/>
      </c>
      <c r="G638" s="230" t="str">
        <f ca="1">IF(A638&gt;TODAY(),"",IF(N('Daily Tracking'!K638)&gt;=Settings!$B$15,1,0))</f>
        <v/>
      </c>
      <c r="H638" s="231" t="str">
        <f ca="1">IF(B638="","",AVERAGE(B638:G638))</f>
        <v/>
      </c>
      <c r="I638" s="136" t="str">
        <f ca="1">IF(B638="","",IF(B638=1,N(I637)+1,0))</f>
        <v/>
      </c>
    </row>
    <row r="639" spans="1:9" ht="18" customHeight="1" x14ac:dyDescent="0.3">
      <c r="A639" s="132">
        <f>'Daily Tracking'!A639</f>
        <v>46911</v>
      </c>
      <c r="B639" s="230" t="str">
        <f ca="1">IF(A639&gt;TODAY(),"",IF('Daily Tracking'!B639&lt;&gt;"",1,0))</f>
        <v/>
      </c>
      <c r="C639" s="230" t="str">
        <f ca="1">IF(A639&gt;TODAY(),"",IF('Daily Tracking'!E639&lt;&gt;"",1,0))</f>
        <v/>
      </c>
      <c r="D639" s="230" t="str">
        <f ca="1">IF(A639&gt;TODAY(),"",IF(N('Daily Tracking'!G639)&gt;=Settings!$B$13,1,0))</f>
        <v/>
      </c>
      <c r="E639" s="230" t="str">
        <f ca="1">IF(A639&gt;TODAY(),"",IF(N('Daily Tracking'!H639)&gt;=Settings!$B$14,1,0))</f>
        <v/>
      </c>
      <c r="F639" s="230" t="str">
        <f ca="1">IF(A639&gt;TODAY(),"",IF(OR(N('Daily Tracking'!I639)&gt;0,'Daily Tracking'!J639="Yes"),1,0))</f>
        <v/>
      </c>
      <c r="G639" s="230" t="str">
        <f ca="1">IF(A639&gt;TODAY(),"",IF(N('Daily Tracking'!K639)&gt;=Settings!$B$15,1,0))</f>
        <v/>
      </c>
      <c r="H639" s="231" t="str">
        <f ca="1">IF(B639="","",AVERAGE(B639:G639))</f>
        <v/>
      </c>
      <c r="I639" s="136" t="str">
        <f ca="1">IF(B639="","",IF(B639=1,N(I638)+1,0))</f>
        <v/>
      </c>
    </row>
    <row r="640" spans="1:9" ht="18" customHeight="1" x14ac:dyDescent="0.3">
      <c r="A640" s="132">
        <f>'Daily Tracking'!A640</f>
        <v>46912</v>
      </c>
      <c r="B640" s="230" t="str">
        <f ca="1">IF(A640&gt;TODAY(),"",IF('Daily Tracking'!B640&lt;&gt;"",1,0))</f>
        <v/>
      </c>
      <c r="C640" s="230" t="str">
        <f ca="1">IF(A640&gt;TODAY(),"",IF('Daily Tracking'!E640&lt;&gt;"",1,0))</f>
        <v/>
      </c>
      <c r="D640" s="230" t="str">
        <f ca="1">IF(A640&gt;TODAY(),"",IF(N('Daily Tracking'!G640)&gt;=Settings!$B$13,1,0))</f>
        <v/>
      </c>
      <c r="E640" s="230" t="str">
        <f ca="1">IF(A640&gt;TODAY(),"",IF(N('Daily Tracking'!H640)&gt;=Settings!$B$14,1,0))</f>
        <v/>
      </c>
      <c r="F640" s="230" t="str">
        <f ca="1">IF(A640&gt;TODAY(),"",IF(OR(N('Daily Tracking'!I640)&gt;0,'Daily Tracking'!J640="Yes"),1,0))</f>
        <v/>
      </c>
      <c r="G640" s="230" t="str">
        <f ca="1">IF(A640&gt;TODAY(),"",IF(N('Daily Tracking'!K640)&gt;=Settings!$B$15,1,0))</f>
        <v/>
      </c>
      <c r="H640" s="231" t="str">
        <f ca="1">IF(B640="","",AVERAGE(B640:G640))</f>
        <v/>
      </c>
      <c r="I640" s="136" t="str">
        <f ca="1">IF(B640="","",IF(B640=1,N(I639)+1,0))</f>
        <v/>
      </c>
    </row>
    <row r="641" spans="1:9" ht="18" customHeight="1" x14ac:dyDescent="0.3">
      <c r="A641" s="132">
        <f>'Daily Tracking'!A641</f>
        <v>46913</v>
      </c>
      <c r="B641" s="230" t="str">
        <f ca="1">IF(A641&gt;TODAY(),"",IF('Daily Tracking'!B641&lt;&gt;"",1,0))</f>
        <v/>
      </c>
      <c r="C641" s="230" t="str">
        <f ca="1">IF(A641&gt;TODAY(),"",IF('Daily Tracking'!E641&lt;&gt;"",1,0))</f>
        <v/>
      </c>
      <c r="D641" s="230" t="str">
        <f ca="1">IF(A641&gt;TODAY(),"",IF(N('Daily Tracking'!G641)&gt;=Settings!$B$13,1,0))</f>
        <v/>
      </c>
      <c r="E641" s="230" t="str">
        <f ca="1">IF(A641&gt;TODAY(),"",IF(N('Daily Tracking'!H641)&gt;=Settings!$B$14,1,0))</f>
        <v/>
      </c>
      <c r="F641" s="230" t="str">
        <f ca="1">IF(A641&gt;TODAY(),"",IF(OR(N('Daily Tracking'!I641)&gt;0,'Daily Tracking'!J641="Yes"),1,0))</f>
        <v/>
      </c>
      <c r="G641" s="230" t="str">
        <f ca="1">IF(A641&gt;TODAY(),"",IF(N('Daily Tracking'!K641)&gt;=Settings!$B$15,1,0))</f>
        <v/>
      </c>
      <c r="H641" s="231" t="str">
        <f ca="1">IF(B641="","",AVERAGE(B641:G641))</f>
        <v/>
      </c>
      <c r="I641" s="136" t="str">
        <f ca="1">IF(B641="","",IF(B641=1,N(I640)+1,0))</f>
        <v/>
      </c>
    </row>
    <row r="642" spans="1:9" ht="18" customHeight="1" x14ac:dyDescent="0.3">
      <c r="A642" s="132">
        <f>'Daily Tracking'!A642</f>
        <v>46914</v>
      </c>
      <c r="B642" s="230" t="str">
        <f ca="1">IF(A642&gt;TODAY(),"",IF('Daily Tracking'!B642&lt;&gt;"",1,0))</f>
        <v/>
      </c>
      <c r="C642" s="230" t="str">
        <f ca="1">IF(A642&gt;TODAY(),"",IF('Daily Tracking'!E642&lt;&gt;"",1,0))</f>
        <v/>
      </c>
      <c r="D642" s="230" t="str">
        <f ca="1">IF(A642&gt;TODAY(),"",IF(N('Daily Tracking'!G642)&gt;=Settings!$B$13,1,0))</f>
        <v/>
      </c>
      <c r="E642" s="230" t="str">
        <f ca="1">IF(A642&gt;TODAY(),"",IF(N('Daily Tracking'!H642)&gt;=Settings!$B$14,1,0))</f>
        <v/>
      </c>
      <c r="F642" s="230" t="str">
        <f ca="1">IF(A642&gt;TODAY(),"",IF(OR(N('Daily Tracking'!I642)&gt;0,'Daily Tracking'!J642="Yes"),1,0))</f>
        <v/>
      </c>
      <c r="G642" s="230" t="str">
        <f ca="1">IF(A642&gt;TODAY(),"",IF(N('Daily Tracking'!K642)&gt;=Settings!$B$15,1,0))</f>
        <v/>
      </c>
      <c r="H642" s="231" t="str">
        <f ca="1">IF(B642="","",AVERAGE(B642:G642))</f>
        <v/>
      </c>
      <c r="I642" s="136" t="str">
        <f ca="1">IF(B642="","",IF(B642=1,N(I641)+1,0))</f>
        <v/>
      </c>
    </row>
    <row r="643" spans="1:9" ht="18" customHeight="1" x14ac:dyDescent="0.3">
      <c r="A643" s="132">
        <f>'Daily Tracking'!A643</f>
        <v>46915</v>
      </c>
      <c r="B643" s="230" t="str">
        <f ca="1">IF(A643&gt;TODAY(),"",IF('Daily Tracking'!B643&lt;&gt;"",1,0))</f>
        <v/>
      </c>
      <c r="C643" s="230" t="str">
        <f ca="1">IF(A643&gt;TODAY(),"",IF('Daily Tracking'!E643&lt;&gt;"",1,0))</f>
        <v/>
      </c>
      <c r="D643" s="230" t="str">
        <f ca="1">IF(A643&gt;TODAY(),"",IF(N('Daily Tracking'!G643)&gt;=Settings!$B$13,1,0))</f>
        <v/>
      </c>
      <c r="E643" s="230" t="str">
        <f ca="1">IF(A643&gt;TODAY(),"",IF(N('Daily Tracking'!H643)&gt;=Settings!$B$14,1,0))</f>
        <v/>
      </c>
      <c r="F643" s="230" t="str">
        <f ca="1">IF(A643&gt;TODAY(),"",IF(OR(N('Daily Tracking'!I643)&gt;0,'Daily Tracking'!J643="Yes"),1,0))</f>
        <v/>
      </c>
      <c r="G643" s="230" t="str">
        <f ca="1">IF(A643&gt;TODAY(),"",IF(N('Daily Tracking'!K643)&gt;=Settings!$B$15,1,0))</f>
        <v/>
      </c>
      <c r="H643" s="231" t="str">
        <f ca="1">IF(B643="","",AVERAGE(B643:G643))</f>
        <v/>
      </c>
      <c r="I643" s="136" t="str">
        <f ca="1">IF(B643="","",IF(B643=1,N(I642)+1,0))</f>
        <v/>
      </c>
    </row>
    <row r="644" spans="1:9" ht="18" customHeight="1" x14ac:dyDescent="0.3">
      <c r="A644" s="132">
        <f>'Daily Tracking'!A644</f>
        <v>46916</v>
      </c>
      <c r="B644" s="230" t="str">
        <f ca="1">IF(A644&gt;TODAY(),"",IF('Daily Tracking'!B644&lt;&gt;"",1,0))</f>
        <v/>
      </c>
      <c r="C644" s="230" t="str">
        <f ca="1">IF(A644&gt;TODAY(),"",IF('Daily Tracking'!E644&lt;&gt;"",1,0))</f>
        <v/>
      </c>
      <c r="D644" s="230" t="str">
        <f ca="1">IF(A644&gt;TODAY(),"",IF(N('Daily Tracking'!G644)&gt;=Settings!$B$13,1,0))</f>
        <v/>
      </c>
      <c r="E644" s="230" t="str">
        <f ca="1">IF(A644&gt;TODAY(),"",IF(N('Daily Tracking'!H644)&gt;=Settings!$B$14,1,0))</f>
        <v/>
      </c>
      <c r="F644" s="230" t="str">
        <f ca="1">IF(A644&gt;TODAY(),"",IF(OR(N('Daily Tracking'!I644)&gt;0,'Daily Tracking'!J644="Yes"),1,0))</f>
        <v/>
      </c>
      <c r="G644" s="230" t="str">
        <f ca="1">IF(A644&gt;TODAY(),"",IF(N('Daily Tracking'!K644)&gt;=Settings!$B$15,1,0))</f>
        <v/>
      </c>
      <c r="H644" s="231" t="str">
        <f ca="1">IF(B644="","",AVERAGE(B644:G644))</f>
        <v/>
      </c>
      <c r="I644" s="136" t="str">
        <f ca="1">IF(B644="","",IF(B644=1,N(I643)+1,0))</f>
        <v/>
      </c>
    </row>
    <row r="645" spans="1:9" ht="18" customHeight="1" x14ac:dyDescent="0.3">
      <c r="A645" s="132">
        <f>'Daily Tracking'!A645</f>
        <v>46917</v>
      </c>
      <c r="B645" s="230" t="str">
        <f ca="1">IF(A645&gt;TODAY(),"",IF('Daily Tracking'!B645&lt;&gt;"",1,0))</f>
        <v/>
      </c>
      <c r="C645" s="230" t="str">
        <f ca="1">IF(A645&gt;TODAY(),"",IF('Daily Tracking'!E645&lt;&gt;"",1,0))</f>
        <v/>
      </c>
      <c r="D645" s="230" t="str">
        <f ca="1">IF(A645&gt;TODAY(),"",IF(N('Daily Tracking'!G645)&gt;=Settings!$B$13,1,0))</f>
        <v/>
      </c>
      <c r="E645" s="230" t="str">
        <f ca="1">IF(A645&gt;TODAY(),"",IF(N('Daily Tracking'!H645)&gt;=Settings!$B$14,1,0))</f>
        <v/>
      </c>
      <c r="F645" s="230" t="str">
        <f ca="1">IF(A645&gt;TODAY(),"",IF(OR(N('Daily Tracking'!I645)&gt;0,'Daily Tracking'!J645="Yes"),1,0))</f>
        <v/>
      </c>
      <c r="G645" s="230" t="str">
        <f ca="1">IF(A645&gt;TODAY(),"",IF(N('Daily Tracking'!K645)&gt;=Settings!$B$15,1,0))</f>
        <v/>
      </c>
      <c r="H645" s="231" t="str">
        <f ca="1">IF(B645="","",AVERAGE(B645:G645))</f>
        <v/>
      </c>
      <c r="I645" s="136" t="str">
        <f ca="1">IF(B645="","",IF(B645=1,N(I644)+1,0))</f>
        <v/>
      </c>
    </row>
    <row r="646" spans="1:9" ht="18" customHeight="1" x14ac:dyDescent="0.3">
      <c r="A646" s="132">
        <f>'Daily Tracking'!A646</f>
        <v>46918</v>
      </c>
      <c r="B646" s="230" t="str">
        <f ca="1">IF(A646&gt;TODAY(),"",IF('Daily Tracking'!B646&lt;&gt;"",1,0))</f>
        <v/>
      </c>
      <c r="C646" s="230" t="str">
        <f ca="1">IF(A646&gt;TODAY(),"",IF('Daily Tracking'!E646&lt;&gt;"",1,0))</f>
        <v/>
      </c>
      <c r="D646" s="230" t="str">
        <f ca="1">IF(A646&gt;TODAY(),"",IF(N('Daily Tracking'!G646)&gt;=Settings!$B$13,1,0))</f>
        <v/>
      </c>
      <c r="E646" s="230" t="str">
        <f ca="1">IF(A646&gt;TODAY(),"",IF(N('Daily Tracking'!H646)&gt;=Settings!$B$14,1,0))</f>
        <v/>
      </c>
      <c r="F646" s="230" t="str">
        <f ca="1">IF(A646&gt;TODAY(),"",IF(OR(N('Daily Tracking'!I646)&gt;0,'Daily Tracking'!J646="Yes"),1,0))</f>
        <v/>
      </c>
      <c r="G646" s="230" t="str">
        <f ca="1">IF(A646&gt;TODAY(),"",IF(N('Daily Tracking'!K646)&gt;=Settings!$B$15,1,0))</f>
        <v/>
      </c>
      <c r="H646" s="231" t="str">
        <f ca="1">IF(B646="","",AVERAGE(B646:G646))</f>
        <v/>
      </c>
      <c r="I646" s="136" t="str">
        <f ca="1">IF(B646="","",IF(B646=1,N(I645)+1,0))</f>
        <v/>
      </c>
    </row>
    <row r="647" spans="1:9" ht="18" customHeight="1" x14ac:dyDescent="0.3">
      <c r="A647" s="132">
        <f>'Daily Tracking'!A647</f>
        <v>46919</v>
      </c>
      <c r="B647" s="230" t="str">
        <f ca="1">IF(A647&gt;TODAY(),"",IF('Daily Tracking'!B647&lt;&gt;"",1,0))</f>
        <v/>
      </c>
      <c r="C647" s="230" t="str">
        <f ca="1">IF(A647&gt;TODAY(),"",IF('Daily Tracking'!E647&lt;&gt;"",1,0))</f>
        <v/>
      </c>
      <c r="D647" s="230" t="str">
        <f ca="1">IF(A647&gt;TODAY(),"",IF(N('Daily Tracking'!G647)&gt;=Settings!$B$13,1,0))</f>
        <v/>
      </c>
      <c r="E647" s="230" t="str">
        <f ca="1">IF(A647&gt;TODAY(),"",IF(N('Daily Tracking'!H647)&gt;=Settings!$B$14,1,0))</f>
        <v/>
      </c>
      <c r="F647" s="230" t="str">
        <f ca="1">IF(A647&gt;TODAY(),"",IF(OR(N('Daily Tracking'!I647)&gt;0,'Daily Tracking'!J647="Yes"),1,0))</f>
        <v/>
      </c>
      <c r="G647" s="230" t="str">
        <f ca="1">IF(A647&gt;TODAY(),"",IF(N('Daily Tracking'!K647)&gt;=Settings!$B$15,1,0))</f>
        <v/>
      </c>
      <c r="H647" s="231" t="str">
        <f ca="1">IF(B647="","",AVERAGE(B647:G647))</f>
        <v/>
      </c>
      <c r="I647" s="136" t="str">
        <f ca="1">IF(B647="","",IF(B647=1,N(I646)+1,0))</f>
        <v/>
      </c>
    </row>
    <row r="648" spans="1:9" ht="18" customHeight="1" x14ac:dyDescent="0.3">
      <c r="A648" s="132">
        <f>'Daily Tracking'!A648</f>
        <v>46920</v>
      </c>
      <c r="B648" s="230" t="str">
        <f ca="1">IF(A648&gt;TODAY(),"",IF('Daily Tracking'!B648&lt;&gt;"",1,0))</f>
        <v/>
      </c>
      <c r="C648" s="230" t="str">
        <f ca="1">IF(A648&gt;TODAY(),"",IF('Daily Tracking'!E648&lt;&gt;"",1,0))</f>
        <v/>
      </c>
      <c r="D648" s="230" t="str">
        <f ca="1">IF(A648&gt;TODAY(),"",IF(N('Daily Tracking'!G648)&gt;=Settings!$B$13,1,0))</f>
        <v/>
      </c>
      <c r="E648" s="230" t="str">
        <f ca="1">IF(A648&gt;TODAY(),"",IF(N('Daily Tracking'!H648)&gt;=Settings!$B$14,1,0))</f>
        <v/>
      </c>
      <c r="F648" s="230" t="str">
        <f ca="1">IF(A648&gt;TODAY(),"",IF(OR(N('Daily Tracking'!I648)&gt;0,'Daily Tracking'!J648="Yes"),1,0))</f>
        <v/>
      </c>
      <c r="G648" s="230" t="str">
        <f ca="1">IF(A648&gt;TODAY(),"",IF(N('Daily Tracking'!K648)&gt;=Settings!$B$15,1,0))</f>
        <v/>
      </c>
      <c r="H648" s="231" t="str">
        <f ca="1">IF(B648="","",AVERAGE(B648:G648))</f>
        <v/>
      </c>
      <c r="I648" s="136" t="str">
        <f ca="1">IF(B648="","",IF(B648=1,N(I647)+1,0))</f>
        <v/>
      </c>
    </row>
    <row r="649" spans="1:9" ht="18" customHeight="1" x14ac:dyDescent="0.3">
      <c r="A649" s="132">
        <f>'Daily Tracking'!A649</f>
        <v>46921</v>
      </c>
      <c r="B649" s="230" t="str">
        <f ca="1">IF(A649&gt;TODAY(),"",IF('Daily Tracking'!B649&lt;&gt;"",1,0))</f>
        <v/>
      </c>
      <c r="C649" s="230" t="str">
        <f ca="1">IF(A649&gt;TODAY(),"",IF('Daily Tracking'!E649&lt;&gt;"",1,0))</f>
        <v/>
      </c>
      <c r="D649" s="230" t="str">
        <f ca="1">IF(A649&gt;TODAY(),"",IF(N('Daily Tracking'!G649)&gt;=Settings!$B$13,1,0))</f>
        <v/>
      </c>
      <c r="E649" s="230" t="str">
        <f ca="1">IF(A649&gt;TODAY(),"",IF(N('Daily Tracking'!H649)&gt;=Settings!$B$14,1,0))</f>
        <v/>
      </c>
      <c r="F649" s="230" t="str">
        <f ca="1">IF(A649&gt;TODAY(),"",IF(OR(N('Daily Tracking'!I649)&gt;0,'Daily Tracking'!J649="Yes"),1,0))</f>
        <v/>
      </c>
      <c r="G649" s="230" t="str">
        <f ca="1">IF(A649&gt;TODAY(),"",IF(N('Daily Tracking'!K649)&gt;=Settings!$B$15,1,0))</f>
        <v/>
      </c>
      <c r="H649" s="231" t="str">
        <f ca="1">IF(B649="","",AVERAGE(B649:G649))</f>
        <v/>
      </c>
      <c r="I649" s="136" t="str">
        <f ca="1">IF(B649="","",IF(B649=1,N(I648)+1,0))</f>
        <v/>
      </c>
    </row>
    <row r="650" spans="1:9" ht="18" customHeight="1" x14ac:dyDescent="0.3">
      <c r="A650" s="132">
        <f>'Daily Tracking'!A650</f>
        <v>46922</v>
      </c>
      <c r="B650" s="230" t="str">
        <f ca="1">IF(A650&gt;TODAY(),"",IF('Daily Tracking'!B650&lt;&gt;"",1,0))</f>
        <v/>
      </c>
      <c r="C650" s="230" t="str">
        <f ca="1">IF(A650&gt;TODAY(),"",IF('Daily Tracking'!E650&lt;&gt;"",1,0))</f>
        <v/>
      </c>
      <c r="D650" s="230" t="str">
        <f ca="1">IF(A650&gt;TODAY(),"",IF(N('Daily Tracking'!G650)&gt;=Settings!$B$13,1,0))</f>
        <v/>
      </c>
      <c r="E650" s="230" t="str">
        <f ca="1">IF(A650&gt;TODAY(),"",IF(N('Daily Tracking'!H650)&gt;=Settings!$B$14,1,0))</f>
        <v/>
      </c>
      <c r="F650" s="230" t="str">
        <f ca="1">IF(A650&gt;TODAY(),"",IF(OR(N('Daily Tracking'!I650)&gt;0,'Daily Tracking'!J650="Yes"),1,0))</f>
        <v/>
      </c>
      <c r="G650" s="230" t="str">
        <f ca="1">IF(A650&gt;TODAY(),"",IF(N('Daily Tracking'!K650)&gt;=Settings!$B$15,1,0))</f>
        <v/>
      </c>
      <c r="H650" s="231" t="str">
        <f ca="1">IF(B650="","",AVERAGE(B650:G650))</f>
        <v/>
      </c>
      <c r="I650" s="136" t="str">
        <f ca="1">IF(B650="","",IF(B650=1,N(I649)+1,0))</f>
        <v/>
      </c>
    </row>
    <row r="651" spans="1:9" ht="18" customHeight="1" x14ac:dyDescent="0.3">
      <c r="A651" s="132">
        <f>'Daily Tracking'!A651</f>
        <v>46923</v>
      </c>
      <c r="B651" s="230" t="str">
        <f ca="1">IF(A651&gt;TODAY(),"",IF('Daily Tracking'!B651&lt;&gt;"",1,0))</f>
        <v/>
      </c>
      <c r="C651" s="230" t="str">
        <f ca="1">IF(A651&gt;TODAY(),"",IF('Daily Tracking'!E651&lt;&gt;"",1,0))</f>
        <v/>
      </c>
      <c r="D651" s="230" t="str">
        <f ca="1">IF(A651&gt;TODAY(),"",IF(N('Daily Tracking'!G651)&gt;=Settings!$B$13,1,0))</f>
        <v/>
      </c>
      <c r="E651" s="230" t="str">
        <f ca="1">IF(A651&gt;TODAY(),"",IF(N('Daily Tracking'!H651)&gt;=Settings!$B$14,1,0))</f>
        <v/>
      </c>
      <c r="F651" s="230" t="str">
        <f ca="1">IF(A651&gt;TODAY(),"",IF(OR(N('Daily Tracking'!I651)&gt;0,'Daily Tracking'!J651="Yes"),1,0))</f>
        <v/>
      </c>
      <c r="G651" s="230" t="str">
        <f ca="1">IF(A651&gt;TODAY(),"",IF(N('Daily Tracking'!K651)&gt;=Settings!$B$15,1,0))</f>
        <v/>
      </c>
      <c r="H651" s="231" t="str">
        <f ca="1">IF(B651="","",AVERAGE(B651:G651))</f>
        <v/>
      </c>
      <c r="I651" s="136" t="str">
        <f ca="1">IF(B651="","",IF(B651=1,N(I650)+1,0))</f>
        <v/>
      </c>
    </row>
    <row r="652" spans="1:9" ht="18" customHeight="1" x14ac:dyDescent="0.3">
      <c r="A652" s="132">
        <f>'Daily Tracking'!A652</f>
        <v>46924</v>
      </c>
      <c r="B652" s="230" t="str">
        <f ca="1">IF(A652&gt;TODAY(),"",IF('Daily Tracking'!B652&lt;&gt;"",1,0))</f>
        <v/>
      </c>
      <c r="C652" s="230" t="str">
        <f ca="1">IF(A652&gt;TODAY(),"",IF('Daily Tracking'!E652&lt;&gt;"",1,0))</f>
        <v/>
      </c>
      <c r="D652" s="230" t="str">
        <f ca="1">IF(A652&gt;TODAY(),"",IF(N('Daily Tracking'!G652)&gt;=Settings!$B$13,1,0))</f>
        <v/>
      </c>
      <c r="E652" s="230" t="str">
        <f ca="1">IF(A652&gt;TODAY(),"",IF(N('Daily Tracking'!H652)&gt;=Settings!$B$14,1,0))</f>
        <v/>
      </c>
      <c r="F652" s="230" t="str">
        <f ca="1">IF(A652&gt;TODAY(),"",IF(OR(N('Daily Tracking'!I652)&gt;0,'Daily Tracking'!J652="Yes"),1,0))</f>
        <v/>
      </c>
      <c r="G652" s="230" t="str">
        <f ca="1">IF(A652&gt;TODAY(),"",IF(N('Daily Tracking'!K652)&gt;=Settings!$B$15,1,0))</f>
        <v/>
      </c>
      <c r="H652" s="231" t="str">
        <f ca="1">IF(B652="","",AVERAGE(B652:G652))</f>
        <v/>
      </c>
      <c r="I652" s="136" t="str">
        <f ca="1">IF(B652="","",IF(B652=1,N(I651)+1,0))</f>
        <v/>
      </c>
    </row>
    <row r="653" spans="1:9" ht="18" customHeight="1" x14ac:dyDescent="0.3">
      <c r="A653" s="132">
        <f>'Daily Tracking'!A653</f>
        <v>46925</v>
      </c>
      <c r="B653" s="230" t="str">
        <f ca="1">IF(A653&gt;TODAY(),"",IF('Daily Tracking'!B653&lt;&gt;"",1,0))</f>
        <v/>
      </c>
      <c r="C653" s="230" t="str">
        <f ca="1">IF(A653&gt;TODAY(),"",IF('Daily Tracking'!E653&lt;&gt;"",1,0))</f>
        <v/>
      </c>
      <c r="D653" s="230" t="str">
        <f ca="1">IF(A653&gt;TODAY(),"",IF(N('Daily Tracking'!G653)&gt;=Settings!$B$13,1,0))</f>
        <v/>
      </c>
      <c r="E653" s="230" t="str">
        <f ca="1">IF(A653&gt;TODAY(),"",IF(N('Daily Tracking'!H653)&gt;=Settings!$B$14,1,0))</f>
        <v/>
      </c>
      <c r="F653" s="230" t="str">
        <f ca="1">IF(A653&gt;TODAY(),"",IF(OR(N('Daily Tracking'!I653)&gt;0,'Daily Tracking'!J653="Yes"),1,0))</f>
        <v/>
      </c>
      <c r="G653" s="230" t="str">
        <f ca="1">IF(A653&gt;TODAY(),"",IF(N('Daily Tracking'!K653)&gt;=Settings!$B$15,1,0))</f>
        <v/>
      </c>
      <c r="H653" s="231" t="str">
        <f ca="1">IF(B653="","",AVERAGE(B653:G653))</f>
        <v/>
      </c>
      <c r="I653" s="136" t="str">
        <f ca="1">IF(B653="","",IF(B653=1,N(I652)+1,0))</f>
        <v/>
      </c>
    </row>
    <row r="654" spans="1:9" ht="18" customHeight="1" x14ac:dyDescent="0.3">
      <c r="A654" s="132">
        <f>'Daily Tracking'!A654</f>
        <v>46926</v>
      </c>
      <c r="B654" s="230" t="str">
        <f ca="1">IF(A654&gt;TODAY(),"",IF('Daily Tracking'!B654&lt;&gt;"",1,0))</f>
        <v/>
      </c>
      <c r="C654" s="230" t="str">
        <f ca="1">IF(A654&gt;TODAY(),"",IF('Daily Tracking'!E654&lt;&gt;"",1,0))</f>
        <v/>
      </c>
      <c r="D654" s="230" t="str">
        <f ca="1">IF(A654&gt;TODAY(),"",IF(N('Daily Tracking'!G654)&gt;=Settings!$B$13,1,0))</f>
        <v/>
      </c>
      <c r="E654" s="230" t="str">
        <f ca="1">IF(A654&gt;TODAY(),"",IF(N('Daily Tracking'!H654)&gt;=Settings!$B$14,1,0))</f>
        <v/>
      </c>
      <c r="F654" s="230" t="str">
        <f ca="1">IF(A654&gt;TODAY(),"",IF(OR(N('Daily Tracking'!I654)&gt;0,'Daily Tracking'!J654="Yes"),1,0))</f>
        <v/>
      </c>
      <c r="G654" s="230" t="str">
        <f ca="1">IF(A654&gt;TODAY(),"",IF(N('Daily Tracking'!K654)&gt;=Settings!$B$15,1,0))</f>
        <v/>
      </c>
      <c r="H654" s="231" t="str">
        <f ca="1">IF(B654="","",AVERAGE(B654:G654))</f>
        <v/>
      </c>
      <c r="I654" s="136" t="str">
        <f ca="1">IF(B654="","",IF(B654=1,N(I653)+1,0))</f>
        <v/>
      </c>
    </row>
    <row r="655" spans="1:9" ht="18" customHeight="1" x14ac:dyDescent="0.3">
      <c r="A655" s="132">
        <f>'Daily Tracking'!A655</f>
        <v>46927</v>
      </c>
      <c r="B655" s="230" t="str">
        <f ca="1">IF(A655&gt;TODAY(),"",IF('Daily Tracking'!B655&lt;&gt;"",1,0))</f>
        <v/>
      </c>
      <c r="C655" s="230" t="str">
        <f ca="1">IF(A655&gt;TODAY(),"",IF('Daily Tracking'!E655&lt;&gt;"",1,0))</f>
        <v/>
      </c>
      <c r="D655" s="230" t="str">
        <f ca="1">IF(A655&gt;TODAY(),"",IF(N('Daily Tracking'!G655)&gt;=Settings!$B$13,1,0))</f>
        <v/>
      </c>
      <c r="E655" s="230" t="str">
        <f ca="1">IF(A655&gt;TODAY(),"",IF(N('Daily Tracking'!H655)&gt;=Settings!$B$14,1,0))</f>
        <v/>
      </c>
      <c r="F655" s="230" t="str">
        <f ca="1">IF(A655&gt;TODAY(),"",IF(OR(N('Daily Tracking'!I655)&gt;0,'Daily Tracking'!J655="Yes"),1,0))</f>
        <v/>
      </c>
      <c r="G655" s="230" t="str">
        <f ca="1">IF(A655&gt;TODAY(),"",IF(N('Daily Tracking'!K655)&gt;=Settings!$B$15,1,0))</f>
        <v/>
      </c>
      <c r="H655" s="231" t="str">
        <f ca="1">IF(B655="","",AVERAGE(B655:G655))</f>
        <v/>
      </c>
      <c r="I655" s="136" t="str">
        <f ca="1">IF(B655="","",IF(B655=1,N(I654)+1,0))</f>
        <v/>
      </c>
    </row>
    <row r="656" spans="1:9" ht="18" customHeight="1" x14ac:dyDescent="0.3">
      <c r="A656" s="132">
        <f>'Daily Tracking'!A656</f>
        <v>46928</v>
      </c>
      <c r="B656" s="230" t="str">
        <f ca="1">IF(A656&gt;TODAY(),"",IF('Daily Tracking'!B656&lt;&gt;"",1,0))</f>
        <v/>
      </c>
      <c r="C656" s="230" t="str">
        <f ca="1">IF(A656&gt;TODAY(),"",IF('Daily Tracking'!E656&lt;&gt;"",1,0))</f>
        <v/>
      </c>
      <c r="D656" s="230" t="str">
        <f ca="1">IF(A656&gt;TODAY(),"",IF(N('Daily Tracking'!G656)&gt;=Settings!$B$13,1,0))</f>
        <v/>
      </c>
      <c r="E656" s="230" t="str">
        <f ca="1">IF(A656&gt;TODAY(),"",IF(N('Daily Tracking'!H656)&gt;=Settings!$B$14,1,0))</f>
        <v/>
      </c>
      <c r="F656" s="230" t="str">
        <f ca="1">IF(A656&gt;TODAY(),"",IF(OR(N('Daily Tracking'!I656)&gt;0,'Daily Tracking'!J656="Yes"),1,0))</f>
        <v/>
      </c>
      <c r="G656" s="230" t="str">
        <f ca="1">IF(A656&gt;TODAY(),"",IF(N('Daily Tracking'!K656)&gt;=Settings!$B$15,1,0))</f>
        <v/>
      </c>
      <c r="H656" s="231" t="str">
        <f ca="1">IF(B656="","",AVERAGE(B656:G656))</f>
        <v/>
      </c>
      <c r="I656" s="136" t="str">
        <f ca="1">IF(B656="","",IF(B656=1,N(I655)+1,0))</f>
        <v/>
      </c>
    </row>
    <row r="657" spans="1:9" ht="18" customHeight="1" x14ac:dyDescent="0.3">
      <c r="A657" s="132">
        <f>'Daily Tracking'!A657</f>
        <v>46929</v>
      </c>
      <c r="B657" s="230" t="str">
        <f ca="1">IF(A657&gt;TODAY(),"",IF('Daily Tracking'!B657&lt;&gt;"",1,0))</f>
        <v/>
      </c>
      <c r="C657" s="230" t="str">
        <f ca="1">IF(A657&gt;TODAY(),"",IF('Daily Tracking'!E657&lt;&gt;"",1,0))</f>
        <v/>
      </c>
      <c r="D657" s="230" t="str">
        <f ca="1">IF(A657&gt;TODAY(),"",IF(N('Daily Tracking'!G657)&gt;=Settings!$B$13,1,0))</f>
        <v/>
      </c>
      <c r="E657" s="230" t="str">
        <f ca="1">IF(A657&gt;TODAY(),"",IF(N('Daily Tracking'!H657)&gt;=Settings!$B$14,1,0))</f>
        <v/>
      </c>
      <c r="F657" s="230" t="str">
        <f ca="1">IF(A657&gt;TODAY(),"",IF(OR(N('Daily Tracking'!I657)&gt;0,'Daily Tracking'!J657="Yes"),1,0))</f>
        <v/>
      </c>
      <c r="G657" s="230" t="str">
        <f ca="1">IF(A657&gt;TODAY(),"",IF(N('Daily Tracking'!K657)&gt;=Settings!$B$15,1,0))</f>
        <v/>
      </c>
      <c r="H657" s="231" t="str">
        <f ca="1">IF(B657="","",AVERAGE(B657:G657))</f>
        <v/>
      </c>
      <c r="I657" s="136" t="str">
        <f ca="1">IF(B657="","",IF(B657=1,N(I656)+1,0))</f>
        <v/>
      </c>
    </row>
    <row r="658" spans="1:9" ht="18" customHeight="1" x14ac:dyDescent="0.3">
      <c r="A658" s="132">
        <f>'Daily Tracking'!A658</f>
        <v>46930</v>
      </c>
      <c r="B658" s="230" t="str">
        <f ca="1">IF(A658&gt;TODAY(),"",IF('Daily Tracking'!B658&lt;&gt;"",1,0))</f>
        <v/>
      </c>
      <c r="C658" s="230" t="str">
        <f ca="1">IF(A658&gt;TODAY(),"",IF('Daily Tracking'!E658&lt;&gt;"",1,0))</f>
        <v/>
      </c>
      <c r="D658" s="230" t="str">
        <f ca="1">IF(A658&gt;TODAY(),"",IF(N('Daily Tracking'!G658)&gt;=Settings!$B$13,1,0))</f>
        <v/>
      </c>
      <c r="E658" s="230" t="str">
        <f ca="1">IF(A658&gt;TODAY(),"",IF(N('Daily Tracking'!H658)&gt;=Settings!$B$14,1,0))</f>
        <v/>
      </c>
      <c r="F658" s="230" t="str">
        <f ca="1">IF(A658&gt;TODAY(),"",IF(OR(N('Daily Tracking'!I658)&gt;0,'Daily Tracking'!J658="Yes"),1,0))</f>
        <v/>
      </c>
      <c r="G658" s="230" t="str">
        <f ca="1">IF(A658&gt;TODAY(),"",IF(N('Daily Tracking'!K658)&gt;=Settings!$B$15,1,0))</f>
        <v/>
      </c>
      <c r="H658" s="231" t="str">
        <f ca="1">IF(B658="","",AVERAGE(B658:G658))</f>
        <v/>
      </c>
      <c r="I658" s="136" t="str">
        <f ca="1">IF(B658="","",IF(B658=1,N(I657)+1,0))</f>
        <v/>
      </c>
    </row>
    <row r="659" spans="1:9" ht="18" customHeight="1" x14ac:dyDescent="0.3">
      <c r="A659" s="132">
        <f>'Daily Tracking'!A659</f>
        <v>46931</v>
      </c>
      <c r="B659" s="230" t="str">
        <f ca="1">IF(A659&gt;TODAY(),"",IF('Daily Tracking'!B659&lt;&gt;"",1,0))</f>
        <v/>
      </c>
      <c r="C659" s="230" t="str">
        <f ca="1">IF(A659&gt;TODAY(),"",IF('Daily Tracking'!E659&lt;&gt;"",1,0))</f>
        <v/>
      </c>
      <c r="D659" s="230" t="str">
        <f ca="1">IF(A659&gt;TODAY(),"",IF(N('Daily Tracking'!G659)&gt;=Settings!$B$13,1,0))</f>
        <v/>
      </c>
      <c r="E659" s="230" t="str">
        <f ca="1">IF(A659&gt;TODAY(),"",IF(N('Daily Tracking'!H659)&gt;=Settings!$B$14,1,0))</f>
        <v/>
      </c>
      <c r="F659" s="230" t="str">
        <f ca="1">IF(A659&gt;TODAY(),"",IF(OR(N('Daily Tracking'!I659)&gt;0,'Daily Tracking'!J659="Yes"),1,0))</f>
        <v/>
      </c>
      <c r="G659" s="230" t="str">
        <f ca="1">IF(A659&gt;TODAY(),"",IF(N('Daily Tracking'!K659)&gt;=Settings!$B$15,1,0))</f>
        <v/>
      </c>
      <c r="H659" s="231" t="str">
        <f ca="1">IF(B659="","",AVERAGE(B659:G659))</f>
        <v/>
      </c>
      <c r="I659" s="136" t="str">
        <f ca="1">IF(B659="","",IF(B659=1,N(I658)+1,0))</f>
        <v/>
      </c>
    </row>
    <row r="660" spans="1:9" ht="18" customHeight="1" x14ac:dyDescent="0.3">
      <c r="A660" s="132">
        <f>'Daily Tracking'!A660</f>
        <v>46932</v>
      </c>
      <c r="B660" s="230" t="str">
        <f ca="1">IF(A660&gt;TODAY(),"",IF('Daily Tracking'!B660&lt;&gt;"",1,0))</f>
        <v/>
      </c>
      <c r="C660" s="230" t="str">
        <f ca="1">IF(A660&gt;TODAY(),"",IF('Daily Tracking'!E660&lt;&gt;"",1,0))</f>
        <v/>
      </c>
      <c r="D660" s="230" t="str">
        <f ca="1">IF(A660&gt;TODAY(),"",IF(N('Daily Tracking'!G660)&gt;=Settings!$B$13,1,0))</f>
        <v/>
      </c>
      <c r="E660" s="230" t="str">
        <f ca="1">IF(A660&gt;TODAY(),"",IF(N('Daily Tracking'!H660)&gt;=Settings!$B$14,1,0))</f>
        <v/>
      </c>
      <c r="F660" s="230" t="str">
        <f ca="1">IF(A660&gt;TODAY(),"",IF(OR(N('Daily Tracking'!I660)&gt;0,'Daily Tracking'!J660="Yes"),1,0))</f>
        <v/>
      </c>
      <c r="G660" s="230" t="str">
        <f ca="1">IF(A660&gt;TODAY(),"",IF(N('Daily Tracking'!K660)&gt;=Settings!$B$15,1,0))</f>
        <v/>
      </c>
      <c r="H660" s="231" t="str">
        <f ca="1">IF(B660="","",AVERAGE(B660:G660))</f>
        <v/>
      </c>
      <c r="I660" s="136" t="str">
        <f ca="1">IF(B660="","",IF(B660=1,N(I659)+1,0))</f>
        <v/>
      </c>
    </row>
    <row r="661" spans="1:9" ht="18" customHeight="1" x14ac:dyDescent="0.3">
      <c r="A661" s="132">
        <f>'Daily Tracking'!A661</f>
        <v>46933</v>
      </c>
      <c r="B661" s="230" t="str">
        <f ca="1">IF(A661&gt;TODAY(),"",IF('Daily Tracking'!B661&lt;&gt;"",1,0))</f>
        <v/>
      </c>
      <c r="C661" s="230" t="str">
        <f ca="1">IF(A661&gt;TODAY(),"",IF('Daily Tracking'!E661&lt;&gt;"",1,0))</f>
        <v/>
      </c>
      <c r="D661" s="230" t="str">
        <f ca="1">IF(A661&gt;TODAY(),"",IF(N('Daily Tracking'!G661)&gt;=Settings!$B$13,1,0))</f>
        <v/>
      </c>
      <c r="E661" s="230" t="str">
        <f ca="1">IF(A661&gt;TODAY(),"",IF(N('Daily Tracking'!H661)&gt;=Settings!$B$14,1,0))</f>
        <v/>
      </c>
      <c r="F661" s="230" t="str">
        <f ca="1">IF(A661&gt;TODAY(),"",IF(OR(N('Daily Tracking'!I661)&gt;0,'Daily Tracking'!J661="Yes"),1,0))</f>
        <v/>
      </c>
      <c r="G661" s="230" t="str">
        <f ca="1">IF(A661&gt;TODAY(),"",IF(N('Daily Tracking'!K661)&gt;=Settings!$B$15,1,0))</f>
        <v/>
      </c>
      <c r="H661" s="231" t="str">
        <f ca="1">IF(B661="","",AVERAGE(B661:G661))</f>
        <v/>
      </c>
      <c r="I661" s="136" t="str">
        <f ca="1">IF(B661="","",IF(B661=1,N(I660)+1,0))</f>
        <v/>
      </c>
    </row>
    <row r="662" spans="1:9" ht="18" customHeight="1" x14ac:dyDescent="0.3">
      <c r="A662" s="132">
        <f>'Daily Tracking'!A662</f>
        <v>46934</v>
      </c>
      <c r="B662" s="230" t="str">
        <f ca="1">IF(A662&gt;TODAY(),"",IF('Daily Tracking'!B662&lt;&gt;"",1,0))</f>
        <v/>
      </c>
      <c r="C662" s="230" t="str">
        <f ca="1">IF(A662&gt;TODAY(),"",IF('Daily Tracking'!E662&lt;&gt;"",1,0))</f>
        <v/>
      </c>
      <c r="D662" s="230" t="str">
        <f ca="1">IF(A662&gt;TODAY(),"",IF(N('Daily Tracking'!G662)&gt;=Settings!$B$13,1,0))</f>
        <v/>
      </c>
      <c r="E662" s="230" t="str">
        <f ca="1">IF(A662&gt;TODAY(),"",IF(N('Daily Tracking'!H662)&gt;=Settings!$B$14,1,0))</f>
        <v/>
      </c>
      <c r="F662" s="230" t="str">
        <f ca="1">IF(A662&gt;TODAY(),"",IF(OR(N('Daily Tracking'!I662)&gt;0,'Daily Tracking'!J662="Yes"),1,0))</f>
        <v/>
      </c>
      <c r="G662" s="230" t="str">
        <f ca="1">IF(A662&gt;TODAY(),"",IF(N('Daily Tracking'!K662)&gt;=Settings!$B$15,1,0))</f>
        <v/>
      </c>
      <c r="H662" s="231" t="str">
        <f ca="1">IF(B662="","",AVERAGE(B662:G662))</f>
        <v/>
      </c>
      <c r="I662" s="136" t="str">
        <f ca="1">IF(B662="","",IF(B662=1,N(I661)+1,0))</f>
        <v/>
      </c>
    </row>
    <row r="663" spans="1:9" ht="18" customHeight="1" x14ac:dyDescent="0.3">
      <c r="A663" s="132">
        <f>'Daily Tracking'!A663</f>
        <v>46935</v>
      </c>
      <c r="B663" s="230" t="str">
        <f ca="1">IF(A663&gt;TODAY(),"",IF('Daily Tracking'!B663&lt;&gt;"",1,0))</f>
        <v/>
      </c>
      <c r="C663" s="230" t="str">
        <f ca="1">IF(A663&gt;TODAY(),"",IF('Daily Tracking'!E663&lt;&gt;"",1,0))</f>
        <v/>
      </c>
      <c r="D663" s="230" t="str">
        <f ca="1">IF(A663&gt;TODAY(),"",IF(N('Daily Tracking'!G663)&gt;=Settings!$B$13,1,0))</f>
        <v/>
      </c>
      <c r="E663" s="230" t="str">
        <f ca="1">IF(A663&gt;TODAY(),"",IF(N('Daily Tracking'!H663)&gt;=Settings!$B$14,1,0))</f>
        <v/>
      </c>
      <c r="F663" s="230" t="str">
        <f ca="1">IF(A663&gt;TODAY(),"",IF(OR(N('Daily Tracking'!I663)&gt;0,'Daily Tracking'!J663="Yes"),1,0))</f>
        <v/>
      </c>
      <c r="G663" s="230" t="str">
        <f ca="1">IF(A663&gt;TODAY(),"",IF(N('Daily Tracking'!K663)&gt;=Settings!$B$15,1,0))</f>
        <v/>
      </c>
      <c r="H663" s="231" t="str">
        <f ca="1">IF(B663="","",AVERAGE(B663:G663))</f>
        <v/>
      </c>
      <c r="I663" s="136" t="str">
        <f ca="1">IF(B663="","",IF(B663=1,N(I662)+1,0))</f>
        <v/>
      </c>
    </row>
    <row r="664" spans="1:9" ht="18" customHeight="1" x14ac:dyDescent="0.3">
      <c r="A664" s="132">
        <f>'Daily Tracking'!A664</f>
        <v>46936</v>
      </c>
      <c r="B664" s="230" t="str">
        <f ca="1">IF(A664&gt;TODAY(),"",IF('Daily Tracking'!B664&lt;&gt;"",1,0))</f>
        <v/>
      </c>
      <c r="C664" s="230" t="str">
        <f ca="1">IF(A664&gt;TODAY(),"",IF('Daily Tracking'!E664&lt;&gt;"",1,0))</f>
        <v/>
      </c>
      <c r="D664" s="230" t="str">
        <f ca="1">IF(A664&gt;TODAY(),"",IF(N('Daily Tracking'!G664)&gt;=Settings!$B$13,1,0))</f>
        <v/>
      </c>
      <c r="E664" s="230" t="str">
        <f ca="1">IF(A664&gt;TODAY(),"",IF(N('Daily Tracking'!H664)&gt;=Settings!$B$14,1,0))</f>
        <v/>
      </c>
      <c r="F664" s="230" t="str">
        <f ca="1">IF(A664&gt;TODAY(),"",IF(OR(N('Daily Tracking'!I664)&gt;0,'Daily Tracking'!J664="Yes"),1,0))</f>
        <v/>
      </c>
      <c r="G664" s="230" t="str">
        <f ca="1">IF(A664&gt;TODAY(),"",IF(N('Daily Tracking'!K664)&gt;=Settings!$B$15,1,0))</f>
        <v/>
      </c>
      <c r="H664" s="231" t="str">
        <f ca="1">IF(B664="","",AVERAGE(B664:G664))</f>
        <v/>
      </c>
      <c r="I664" s="136" t="str">
        <f ca="1">IF(B664="","",IF(B664=1,N(I663)+1,0))</f>
        <v/>
      </c>
    </row>
    <row r="665" spans="1:9" ht="18" customHeight="1" x14ac:dyDescent="0.3">
      <c r="A665" s="132">
        <f>'Daily Tracking'!A665</f>
        <v>46937</v>
      </c>
      <c r="B665" s="230" t="str">
        <f ca="1">IF(A665&gt;TODAY(),"",IF('Daily Tracking'!B665&lt;&gt;"",1,0))</f>
        <v/>
      </c>
      <c r="C665" s="230" t="str">
        <f ca="1">IF(A665&gt;TODAY(),"",IF('Daily Tracking'!E665&lt;&gt;"",1,0))</f>
        <v/>
      </c>
      <c r="D665" s="230" t="str">
        <f ca="1">IF(A665&gt;TODAY(),"",IF(N('Daily Tracking'!G665)&gt;=Settings!$B$13,1,0))</f>
        <v/>
      </c>
      <c r="E665" s="230" t="str">
        <f ca="1">IF(A665&gt;TODAY(),"",IF(N('Daily Tracking'!H665)&gt;=Settings!$B$14,1,0))</f>
        <v/>
      </c>
      <c r="F665" s="230" t="str">
        <f ca="1">IF(A665&gt;TODAY(),"",IF(OR(N('Daily Tracking'!I665)&gt;0,'Daily Tracking'!J665="Yes"),1,0))</f>
        <v/>
      </c>
      <c r="G665" s="230" t="str">
        <f ca="1">IF(A665&gt;TODAY(),"",IF(N('Daily Tracking'!K665)&gt;=Settings!$B$15,1,0))</f>
        <v/>
      </c>
      <c r="H665" s="231" t="str">
        <f ca="1">IF(B665="","",AVERAGE(B665:G665))</f>
        <v/>
      </c>
      <c r="I665" s="136" t="str">
        <f ca="1">IF(B665="","",IF(B665=1,N(I664)+1,0))</f>
        <v/>
      </c>
    </row>
    <row r="666" spans="1:9" ht="18" customHeight="1" x14ac:dyDescent="0.3">
      <c r="A666" s="132">
        <f>'Daily Tracking'!A666</f>
        <v>46938</v>
      </c>
      <c r="B666" s="230" t="str">
        <f ca="1">IF(A666&gt;TODAY(),"",IF('Daily Tracking'!B666&lt;&gt;"",1,0))</f>
        <v/>
      </c>
      <c r="C666" s="230" t="str">
        <f ca="1">IF(A666&gt;TODAY(),"",IF('Daily Tracking'!E666&lt;&gt;"",1,0))</f>
        <v/>
      </c>
      <c r="D666" s="230" t="str">
        <f ca="1">IF(A666&gt;TODAY(),"",IF(N('Daily Tracking'!G666)&gt;=Settings!$B$13,1,0))</f>
        <v/>
      </c>
      <c r="E666" s="230" t="str">
        <f ca="1">IF(A666&gt;TODAY(),"",IF(N('Daily Tracking'!H666)&gt;=Settings!$B$14,1,0))</f>
        <v/>
      </c>
      <c r="F666" s="230" t="str">
        <f ca="1">IF(A666&gt;TODAY(),"",IF(OR(N('Daily Tracking'!I666)&gt;0,'Daily Tracking'!J666="Yes"),1,0))</f>
        <v/>
      </c>
      <c r="G666" s="230" t="str">
        <f ca="1">IF(A666&gt;TODAY(),"",IF(N('Daily Tracking'!K666)&gt;=Settings!$B$15,1,0))</f>
        <v/>
      </c>
      <c r="H666" s="231" t="str">
        <f ca="1">IF(B666="","",AVERAGE(B666:G666))</f>
        <v/>
      </c>
      <c r="I666" s="136" t="str">
        <f ca="1">IF(B666="","",IF(B666=1,N(I665)+1,0))</f>
        <v/>
      </c>
    </row>
    <row r="667" spans="1:9" ht="18" customHeight="1" x14ac:dyDescent="0.3">
      <c r="A667" s="132">
        <f>'Daily Tracking'!A667</f>
        <v>46939</v>
      </c>
      <c r="B667" s="230" t="str">
        <f ca="1">IF(A667&gt;TODAY(),"",IF('Daily Tracking'!B667&lt;&gt;"",1,0))</f>
        <v/>
      </c>
      <c r="C667" s="230" t="str">
        <f ca="1">IF(A667&gt;TODAY(),"",IF('Daily Tracking'!E667&lt;&gt;"",1,0))</f>
        <v/>
      </c>
      <c r="D667" s="230" t="str">
        <f ca="1">IF(A667&gt;TODAY(),"",IF(N('Daily Tracking'!G667)&gt;=Settings!$B$13,1,0))</f>
        <v/>
      </c>
      <c r="E667" s="230" t="str">
        <f ca="1">IF(A667&gt;TODAY(),"",IF(N('Daily Tracking'!H667)&gt;=Settings!$B$14,1,0))</f>
        <v/>
      </c>
      <c r="F667" s="230" t="str">
        <f ca="1">IF(A667&gt;TODAY(),"",IF(OR(N('Daily Tracking'!I667)&gt;0,'Daily Tracking'!J667="Yes"),1,0))</f>
        <v/>
      </c>
      <c r="G667" s="230" t="str">
        <f ca="1">IF(A667&gt;TODAY(),"",IF(N('Daily Tracking'!K667)&gt;=Settings!$B$15,1,0))</f>
        <v/>
      </c>
      <c r="H667" s="231" t="str">
        <f ca="1">IF(B667="","",AVERAGE(B667:G667))</f>
        <v/>
      </c>
      <c r="I667" s="136" t="str">
        <f ca="1">IF(B667="","",IF(B667=1,N(I666)+1,0))</f>
        <v/>
      </c>
    </row>
    <row r="668" spans="1:9" ht="18" customHeight="1" x14ac:dyDescent="0.3">
      <c r="A668" s="132">
        <f>'Daily Tracking'!A668</f>
        <v>46940</v>
      </c>
      <c r="B668" s="230" t="str">
        <f ca="1">IF(A668&gt;TODAY(),"",IF('Daily Tracking'!B668&lt;&gt;"",1,0))</f>
        <v/>
      </c>
      <c r="C668" s="230" t="str">
        <f ca="1">IF(A668&gt;TODAY(),"",IF('Daily Tracking'!E668&lt;&gt;"",1,0))</f>
        <v/>
      </c>
      <c r="D668" s="230" t="str">
        <f ca="1">IF(A668&gt;TODAY(),"",IF(N('Daily Tracking'!G668)&gt;=Settings!$B$13,1,0))</f>
        <v/>
      </c>
      <c r="E668" s="230" t="str">
        <f ca="1">IF(A668&gt;TODAY(),"",IF(N('Daily Tracking'!H668)&gt;=Settings!$B$14,1,0))</f>
        <v/>
      </c>
      <c r="F668" s="230" t="str">
        <f ca="1">IF(A668&gt;TODAY(),"",IF(OR(N('Daily Tracking'!I668)&gt;0,'Daily Tracking'!J668="Yes"),1,0))</f>
        <v/>
      </c>
      <c r="G668" s="230" t="str">
        <f ca="1">IF(A668&gt;TODAY(),"",IF(N('Daily Tracking'!K668)&gt;=Settings!$B$15,1,0))</f>
        <v/>
      </c>
      <c r="H668" s="231" t="str">
        <f ca="1">IF(B668="","",AVERAGE(B668:G668))</f>
        <v/>
      </c>
      <c r="I668" s="136" t="str">
        <f ca="1">IF(B668="","",IF(B668=1,N(I667)+1,0))</f>
        <v/>
      </c>
    </row>
    <row r="669" spans="1:9" ht="18" customHeight="1" x14ac:dyDescent="0.3">
      <c r="A669" s="132">
        <f>'Daily Tracking'!A669</f>
        <v>46941</v>
      </c>
      <c r="B669" s="230" t="str">
        <f ca="1">IF(A669&gt;TODAY(),"",IF('Daily Tracking'!B669&lt;&gt;"",1,0))</f>
        <v/>
      </c>
      <c r="C669" s="230" t="str">
        <f ca="1">IF(A669&gt;TODAY(),"",IF('Daily Tracking'!E669&lt;&gt;"",1,0))</f>
        <v/>
      </c>
      <c r="D669" s="230" t="str">
        <f ca="1">IF(A669&gt;TODAY(),"",IF(N('Daily Tracking'!G669)&gt;=Settings!$B$13,1,0))</f>
        <v/>
      </c>
      <c r="E669" s="230" t="str">
        <f ca="1">IF(A669&gt;TODAY(),"",IF(N('Daily Tracking'!H669)&gt;=Settings!$B$14,1,0))</f>
        <v/>
      </c>
      <c r="F669" s="230" t="str">
        <f ca="1">IF(A669&gt;TODAY(),"",IF(OR(N('Daily Tracking'!I669)&gt;0,'Daily Tracking'!J669="Yes"),1,0))</f>
        <v/>
      </c>
      <c r="G669" s="230" t="str">
        <f ca="1">IF(A669&gt;TODAY(),"",IF(N('Daily Tracking'!K669)&gt;=Settings!$B$15,1,0))</f>
        <v/>
      </c>
      <c r="H669" s="231" t="str">
        <f ca="1">IF(B669="","",AVERAGE(B669:G669))</f>
        <v/>
      </c>
      <c r="I669" s="136" t="str">
        <f ca="1">IF(B669="","",IF(B669=1,N(I668)+1,0))</f>
        <v/>
      </c>
    </row>
    <row r="670" spans="1:9" ht="18" customHeight="1" x14ac:dyDescent="0.3">
      <c r="A670" s="132">
        <f>'Daily Tracking'!A670</f>
        <v>46942</v>
      </c>
      <c r="B670" s="230" t="str">
        <f ca="1">IF(A670&gt;TODAY(),"",IF('Daily Tracking'!B670&lt;&gt;"",1,0))</f>
        <v/>
      </c>
      <c r="C670" s="230" t="str">
        <f ca="1">IF(A670&gt;TODAY(),"",IF('Daily Tracking'!E670&lt;&gt;"",1,0))</f>
        <v/>
      </c>
      <c r="D670" s="230" t="str">
        <f ca="1">IF(A670&gt;TODAY(),"",IF(N('Daily Tracking'!G670)&gt;=Settings!$B$13,1,0))</f>
        <v/>
      </c>
      <c r="E670" s="230" t="str">
        <f ca="1">IF(A670&gt;TODAY(),"",IF(N('Daily Tracking'!H670)&gt;=Settings!$B$14,1,0))</f>
        <v/>
      </c>
      <c r="F670" s="230" t="str">
        <f ca="1">IF(A670&gt;TODAY(),"",IF(OR(N('Daily Tracking'!I670)&gt;0,'Daily Tracking'!J670="Yes"),1,0))</f>
        <v/>
      </c>
      <c r="G670" s="230" t="str">
        <f ca="1">IF(A670&gt;TODAY(),"",IF(N('Daily Tracking'!K670)&gt;=Settings!$B$15,1,0))</f>
        <v/>
      </c>
      <c r="H670" s="231" t="str">
        <f ca="1">IF(B670="","",AVERAGE(B670:G670))</f>
        <v/>
      </c>
      <c r="I670" s="136" t="str">
        <f ca="1">IF(B670="","",IF(B670=1,N(I669)+1,0))</f>
        <v/>
      </c>
    </row>
    <row r="671" spans="1:9" ht="18" customHeight="1" x14ac:dyDescent="0.3">
      <c r="A671" s="132">
        <f>'Daily Tracking'!A671</f>
        <v>46943</v>
      </c>
      <c r="B671" s="230" t="str">
        <f ca="1">IF(A671&gt;TODAY(),"",IF('Daily Tracking'!B671&lt;&gt;"",1,0))</f>
        <v/>
      </c>
      <c r="C671" s="230" t="str">
        <f ca="1">IF(A671&gt;TODAY(),"",IF('Daily Tracking'!E671&lt;&gt;"",1,0))</f>
        <v/>
      </c>
      <c r="D671" s="230" t="str">
        <f ca="1">IF(A671&gt;TODAY(),"",IF(N('Daily Tracking'!G671)&gt;=Settings!$B$13,1,0))</f>
        <v/>
      </c>
      <c r="E671" s="230" t="str">
        <f ca="1">IF(A671&gt;TODAY(),"",IF(N('Daily Tracking'!H671)&gt;=Settings!$B$14,1,0))</f>
        <v/>
      </c>
      <c r="F671" s="230" t="str">
        <f ca="1">IF(A671&gt;TODAY(),"",IF(OR(N('Daily Tracking'!I671)&gt;0,'Daily Tracking'!J671="Yes"),1,0))</f>
        <v/>
      </c>
      <c r="G671" s="230" t="str">
        <f ca="1">IF(A671&gt;TODAY(),"",IF(N('Daily Tracking'!K671)&gt;=Settings!$B$15,1,0))</f>
        <v/>
      </c>
      <c r="H671" s="231" t="str">
        <f ca="1">IF(B671="","",AVERAGE(B671:G671))</f>
        <v/>
      </c>
      <c r="I671" s="136" t="str">
        <f ca="1">IF(B671="","",IF(B671=1,N(I670)+1,0))</f>
        <v/>
      </c>
    </row>
    <row r="672" spans="1:9" ht="18" customHeight="1" x14ac:dyDescent="0.3">
      <c r="A672" s="132">
        <f>'Daily Tracking'!A672</f>
        <v>46944</v>
      </c>
      <c r="B672" s="230" t="str">
        <f ca="1">IF(A672&gt;TODAY(),"",IF('Daily Tracking'!B672&lt;&gt;"",1,0))</f>
        <v/>
      </c>
      <c r="C672" s="230" t="str">
        <f ca="1">IF(A672&gt;TODAY(),"",IF('Daily Tracking'!E672&lt;&gt;"",1,0))</f>
        <v/>
      </c>
      <c r="D672" s="230" t="str">
        <f ca="1">IF(A672&gt;TODAY(),"",IF(N('Daily Tracking'!G672)&gt;=Settings!$B$13,1,0))</f>
        <v/>
      </c>
      <c r="E672" s="230" t="str">
        <f ca="1">IF(A672&gt;TODAY(),"",IF(N('Daily Tracking'!H672)&gt;=Settings!$B$14,1,0))</f>
        <v/>
      </c>
      <c r="F672" s="230" t="str">
        <f ca="1">IF(A672&gt;TODAY(),"",IF(OR(N('Daily Tracking'!I672)&gt;0,'Daily Tracking'!J672="Yes"),1,0))</f>
        <v/>
      </c>
      <c r="G672" s="230" t="str">
        <f ca="1">IF(A672&gt;TODAY(),"",IF(N('Daily Tracking'!K672)&gt;=Settings!$B$15,1,0))</f>
        <v/>
      </c>
      <c r="H672" s="231" t="str">
        <f ca="1">IF(B672="","",AVERAGE(B672:G672))</f>
        <v/>
      </c>
      <c r="I672" s="136" t="str">
        <f ca="1">IF(B672="","",IF(B672=1,N(I671)+1,0))</f>
        <v/>
      </c>
    </row>
    <row r="673" spans="1:9" ht="18" customHeight="1" x14ac:dyDescent="0.3">
      <c r="A673" s="132">
        <f>'Daily Tracking'!A673</f>
        <v>46945</v>
      </c>
      <c r="B673" s="230" t="str">
        <f ca="1">IF(A673&gt;TODAY(),"",IF('Daily Tracking'!B673&lt;&gt;"",1,0))</f>
        <v/>
      </c>
      <c r="C673" s="230" t="str">
        <f ca="1">IF(A673&gt;TODAY(),"",IF('Daily Tracking'!E673&lt;&gt;"",1,0))</f>
        <v/>
      </c>
      <c r="D673" s="230" t="str">
        <f ca="1">IF(A673&gt;TODAY(),"",IF(N('Daily Tracking'!G673)&gt;=Settings!$B$13,1,0))</f>
        <v/>
      </c>
      <c r="E673" s="230" t="str">
        <f ca="1">IF(A673&gt;TODAY(),"",IF(N('Daily Tracking'!H673)&gt;=Settings!$B$14,1,0))</f>
        <v/>
      </c>
      <c r="F673" s="230" t="str">
        <f ca="1">IF(A673&gt;TODAY(),"",IF(OR(N('Daily Tracking'!I673)&gt;0,'Daily Tracking'!J673="Yes"),1,0))</f>
        <v/>
      </c>
      <c r="G673" s="230" t="str">
        <f ca="1">IF(A673&gt;TODAY(),"",IF(N('Daily Tracking'!K673)&gt;=Settings!$B$15,1,0))</f>
        <v/>
      </c>
      <c r="H673" s="231" t="str">
        <f ca="1">IF(B673="","",AVERAGE(B673:G673))</f>
        <v/>
      </c>
      <c r="I673" s="136" t="str">
        <f ca="1">IF(B673="","",IF(B673=1,N(I672)+1,0))</f>
        <v/>
      </c>
    </row>
    <row r="674" spans="1:9" ht="18" customHeight="1" x14ac:dyDescent="0.3">
      <c r="A674" s="132">
        <f>'Daily Tracking'!A674</f>
        <v>46946</v>
      </c>
      <c r="B674" s="230" t="str">
        <f ca="1">IF(A674&gt;TODAY(),"",IF('Daily Tracking'!B674&lt;&gt;"",1,0))</f>
        <v/>
      </c>
      <c r="C674" s="230" t="str">
        <f ca="1">IF(A674&gt;TODAY(),"",IF('Daily Tracking'!E674&lt;&gt;"",1,0))</f>
        <v/>
      </c>
      <c r="D674" s="230" t="str">
        <f ca="1">IF(A674&gt;TODAY(),"",IF(N('Daily Tracking'!G674)&gt;=Settings!$B$13,1,0))</f>
        <v/>
      </c>
      <c r="E674" s="230" t="str">
        <f ca="1">IF(A674&gt;TODAY(),"",IF(N('Daily Tracking'!H674)&gt;=Settings!$B$14,1,0))</f>
        <v/>
      </c>
      <c r="F674" s="230" t="str">
        <f ca="1">IF(A674&gt;TODAY(),"",IF(OR(N('Daily Tracking'!I674)&gt;0,'Daily Tracking'!J674="Yes"),1,0))</f>
        <v/>
      </c>
      <c r="G674" s="230" t="str">
        <f ca="1">IF(A674&gt;TODAY(),"",IF(N('Daily Tracking'!K674)&gt;=Settings!$B$15,1,0))</f>
        <v/>
      </c>
      <c r="H674" s="231" t="str">
        <f ca="1">IF(B674="","",AVERAGE(B674:G674))</f>
        <v/>
      </c>
      <c r="I674" s="136" t="str">
        <f ca="1">IF(B674="","",IF(B674=1,N(I673)+1,0))</f>
        <v/>
      </c>
    </row>
    <row r="675" spans="1:9" ht="18" customHeight="1" x14ac:dyDescent="0.3">
      <c r="A675" s="132">
        <f>'Daily Tracking'!A675</f>
        <v>46947</v>
      </c>
      <c r="B675" s="230" t="str">
        <f ca="1">IF(A675&gt;TODAY(),"",IF('Daily Tracking'!B675&lt;&gt;"",1,0))</f>
        <v/>
      </c>
      <c r="C675" s="230" t="str">
        <f ca="1">IF(A675&gt;TODAY(),"",IF('Daily Tracking'!E675&lt;&gt;"",1,0))</f>
        <v/>
      </c>
      <c r="D675" s="230" t="str">
        <f ca="1">IF(A675&gt;TODAY(),"",IF(N('Daily Tracking'!G675)&gt;=Settings!$B$13,1,0))</f>
        <v/>
      </c>
      <c r="E675" s="230" t="str">
        <f ca="1">IF(A675&gt;TODAY(),"",IF(N('Daily Tracking'!H675)&gt;=Settings!$B$14,1,0))</f>
        <v/>
      </c>
      <c r="F675" s="230" t="str">
        <f ca="1">IF(A675&gt;TODAY(),"",IF(OR(N('Daily Tracking'!I675)&gt;0,'Daily Tracking'!J675="Yes"),1,0))</f>
        <v/>
      </c>
      <c r="G675" s="230" t="str">
        <f ca="1">IF(A675&gt;TODAY(),"",IF(N('Daily Tracking'!K675)&gt;=Settings!$B$15,1,0))</f>
        <v/>
      </c>
      <c r="H675" s="231" t="str">
        <f ca="1">IF(B675="","",AVERAGE(B675:G675))</f>
        <v/>
      </c>
      <c r="I675" s="136" t="str">
        <f ca="1">IF(B675="","",IF(B675=1,N(I674)+1,0))</f>
        <v/>
      </c>
    </row>
    <row r="676" spans="1:9" ht="18" customHeight="1" x14ac:dyDescent="0.3">
      <c r="A676" s="132">
        <f>'Daily Tracking'!A676</f>
        <v>46948</v>
      </c>
      <c r="B676" s="230" t="str">
        <f ca="1">IF(A676&gt;TODAY(),"",IF('Daily Tracking'!B676&lt;&gt;"",1,0))</f>
        <v/>
      </c>
      <c r="C676" s="230" t="str">
        <f ca="1">IF(A676&gt;TODAY(),"",IF('Daily Tracking'!E676&lt;&gt;"",1,0))</f>
        <v/>
      </c>
      <c r="D676" s="230" t="str">
        <f ca="1">IF(A676&gt;TODAY(),"",IF(N('Daily Tracking'!G676)&gt;=Settings!$B$13,1,0))</f>
        <v/>
      </c>
      <c r="E676" s="230" t="str">
        <f ca="1">IF(A676&gt;TODAY(),"",IF(N('Daily Tracking'!H676)&gt;=Settings!$B$14,1,0))</f>
        <v/>
      </c>
      <c r="F676" s="230" t="str">
        <f ca="1">IF(A676&gt;TODAY(),"",IF(OR(N('Daily Tracking'!I676)&gt;0,'Daily Tracking'!J676="Yes"),1,0))</f>
        <v/>
      </c>
      <c r="G676" s="230" t="str">
        <f ca="1">IF(A676&gt;TODAY(),"",IF(N('Daily Tracking'!K676)&gt;=Settings!$B$15,1,0))</f>
        <v/>
      </c>
      <c r="H676" s="231" t="str">
        <f ca="1">IF(B676="","",AVERAGE(B676:G676))</f>
        <v/>
      </c>
      <c r="I676" s="136" t="str">
        <f ca="1">IF(B676="","",IF(B676=1,N(I675)+1,0))</f>
        <v/>
      </c>
    </row>
    <row r="677" spans="1:9" ht="18" customHeight="1" x14ac:dyDescent="0.3">
      <c r="A677" s="132">
        <f>'Daily Tracking'!A677</f>
        <v>46949</v>
      </c>
      <c r="B677" s="230" t="str">
        <f ca="1">IF(A677&gt;TODAY(),"",IF('Daily Tracking'!B677&lt;&gt;"",1,0))</f>
        <v/>
      </c>
      <c r="C677" s="230" t="str">
        <f ca="1">IF(A677&gt;TODAY(),"",IF('Daily Tracking'!E677&lt;&gt;"",1,0))</f>
        <v/>
      </c>
      <c r="D677" s="230" t="str">
        <f ca="1">IF(A677&gt;TODAY(),"",IF(N('Daily Tracking'!G677)&gt;=Settings!$B$13,1,0))</f>
        <v/>
      </c>
      <c r="E677" s="230" t="str">
        <f ca="1">IF(A677&gt;TODAY(),"",IF(N('Daily Tracking'!H677)&gt;=Settings!$B$14,1,0))</f>
        <v/>
      </c>
      <c r="F677" s="230" t="str">
        <f ca="1">IF(A677&gt;TODAY(),"",IF(OR(N('Daily Tracking'!I677)&gt;0,'Daily Tracking'!J677="Yes"),1,0))</f>
        <v/>
      </c>
      <c r="G677" s="230" t="str">
        <f ca="1">IF(A677&gt;TODAY(),"",IF(N('Daily Tracking'!K677)&gt;=Settings!$B$15,1,0))</f>
        <v/>
      </c>
      <c r="H677" s="231" t="str">
        <f ca="1">IF(B677="","",AVERAGE(B677:G677))</f>
        <v/>
      </c>
      <c r="I677" s="136" t="str">
        <f ca="1">IF(B677="","",IF(B677=1,N(I676)+1,0))</f>
        <v/>
      </c>
    </row>
    <row r="678" spans="1:9" ht="18" customHeight="1" x14ac:dyDescent="0.3">
      <c r="A678" s="132">
        <f>'Daily Tracking'!A678</f>
        <v>46950</v>
      </c>
      <c r="B678" s="230" t="str">
        <f ca="1">IF(A678&gt;TODAY(),"",IF('Daily Tracking'!B678&lt;&gt;"",1,0))</f>
        <v/>
      </c>
      <c r="C678" s="230" t="str">
        <f ca="1">IF(A678&gt;TODAY(),"",IF('Daily Tracking'!E678&lt;&gt;"",1,0))</f>
        <v/>
      </c>
      <c r="D678" s="230" t="str">
        <f ca="1">IF(A678&gt;TODAY(),"",IF(N('Daily Tracking'!G678)&gt;=Settings!$B$13,1,0))</f>
        <v/>
      </c>
      <c r="E678" s="230" t="str">
        <f ca="1">IF(A678&gt;TODAY(),"",IF(N('Daily Tracking'!H678)&gt;=Settings!$B$14,1,0))</f>
        <v/>
      </c>
      <c r="F678" s="230" t="str">
        <f ca="1">IF(A678&gt;TODAY(),"",IF(OR(N('Daily Tracking'!I678)&gt;0,'Daily Tracking'!J678="Yes"),1,0))</f>
        <v/>
      </c>
      <c r="G678" s="230" t="str">
        <f ca="1">IF(A678&gt;TODAY(),"",IF(N('Daily Tracking'!K678)&gt;=Settings!$B$15,1,0))</f>
        <v/>
      </c>
      <c r="H678" s="231" t="str">
        <f ca="1">IF(B678="","",AVERAGE(B678:G678))</f>
        <v/>
      </c>
      <c r="I678" s="136" t="str">
        <f ca="1">IF(B678="","",IF(B678=1,N(I677)+1,0))</f>
        <v/>
      </c>
    </row>
    <row r="679" spans="1:9" ht="18" customHeight="1" x14ac:dyDescent="0.3">
      <c r="A679" s="132">
        <f>'Daily Tracking'!A679</f>
        <v>46951</v>
      </c>
      <c r="B679" s="230" t="str">
        <f ca="1">IF(A679&gt;TODAY(),"",IF('Daily Tracking'!B679&lt;&gt;"",1,0))</f>
        <v/>
      </c>
      <c r="C679" s="230" t="str">
        <f ca="1">IF(A679&gt;TODAY(),"",IF('Daily Tracking'!E679&lt;&gt;"",1,0))</f>
        <v/>
      </c>
      <c r="D679" s="230" t="str">
        <f ca="1">IF(A679&gt;TODAY(),"",IF(N('Daily Tracking'!G679)&gt;=Settings!$B$13,1,0))</f>
        <v/>
      </c>
      <c r="E679" s="230" t="str">
        <f ca="1">IF(A679&gt;TODAY(),"",IF(N('Daily Tracking'!H679)&gt;=Settings!$B$14,1,0))</f>
        <v/>
      </c>
      <c r="F679" s="230" t="str">
        <f ca="1">IF(A679&gt;TODAY(),"",IF(OR(N('Daily Tracking'!I679)&gt;0,'Daily Tracking'!J679="Yes"),1,0))</f>
        <v/>
      </c>
      <c r="G679" s="230" t="str">
        <f ca="1">IF(A679&gt;TODAY(),"",IF(N('Daily Tracking'!K679)&gt;=Settings!$B$15,1,0))</f>
        <v/>
      </c>
      <c r="H679" s="231" t="str">
        <f ca="1">IF(B679="","",AVERAGE(B679:G679))</f>
        <v/>
      </c>
      <c r="I679" s="136" t="str">
        <f ca="1">IF(B679="","",IF(B679=1,N(I678)+1,0))</f>
        <v/>
      </c>
    </row>
    <row r="680" spans="1:9" ht="18" customHeight="1" x14ac:dyDescent="0.3">
      <c r="A680" s="132">
        <f>'Daily Tracking'!A680</f>
        <v>46952</v>
      </c>
      <c r="B680" s="230" t="str">
        <f ca="1">IF(A680&gt;TODAY(),"",IF('Daily Tracking'!B680&lt;&gt;"",1,0))</f>
        <v/>
      </c>
      <c r="C680" s="230" t="str">
        <f ca="1">IF(A680&gt;TODAY(),"",IF('Daily Tracking'!E680&lt;&gt;"",1,0))</f>
        <v/>
      </c>
      <c r="D680" s="230" t="str">
        <f ca="1">IF(A680&gt;TODAY(),"",IF(N('Daily Tracking'!G680)&gt;=Settings!$B$13,1,0))</f>
        <v/>
      </c>
      <c r="E680" s="230" t="str">
        <f ca="1">IF(A680&gt;TODAY(),"",IF(N('Daily Tracking'!H680)&gt;=Settings!$B$14,1,0))</f>
        <v/>
      </c>
      <c r="F680" s="230" t="str">
        <f ca="1">IF(A680&gt;TODAY(),"",IF(OR(N('Daily Tracking'!I680)&gt;0,'Daily Tracking'!J680="Yes"),1,0))</f>
        <v/>
      </c>
      <c r="G680" s="230" t="str">
        <f ca="1">IF(A680&gt;TODAY(),"",IF(N('Daily Tracking'!K680)&gt;=Settings!$B$15,1,0))</f>
        <v/>
      </c>
      <c r="H680" s="231" t="str">
        <f ca="1">IF(B680="","",AVERAGE(B680:G680))</f>
        <v/>
      </c>
      <c r="I680" s="136" t="str">
        <f ca="1">IF(B680="","",IF(B680=1,N(I679)+1,0))</f>
        <v/>
      </c>
    </row>
    <row r="681" spans="1:9" ht="18" customHeight="1" x14ac:dyDescent="0.3">
      <c r="A681" s="132">
        <f>'Daily Tracking'!A681</f>
        <v>46953</v>
      </c>
      <c r="B681" s="230" t="str">
        <f ca="1">IF(A681&gt;TODAY(),"",IF('Daily Tracking'!B681&lt;&gt;"",1,0))</f>
        <v/>
      </c>
      <c r="C681" s="230" t="str">
        <f ca="1">IF(A681&gt;TODAY(),"",IF('Daily Tracking'!E681&lt;&gt;"",1,0))</f>
        <v/>
      </c>
      <c r="D681" s="230" t="str">
        <f ca="1">IF(A681&gt;TODAY(),"",IF(N('Daily Tracking'!G681)&gt;=Settings!$B$13,1,0))</f>
        <v/>
      </c>
      <c r="E681" s="230" t="str">
        <f ca="1">IF(A681&gt;TODAY(),"",IF(N('Daily Tracking'!H681)&gt;=Settings!$B$14,1,0))</f>
        <v/>
      </c>
      <c r="F681" s="230" t="str">
        <f ca="1">IF(A681&gt;TODAY(),"",IF(OR(N('Daily Tracking'!I681)&gt;0,'Daily Tracking'!J681="Yes"),1,0))</f>
        <v/>
      </c>
      <c r="G681" s="230" t="str">
        <f ca="1">IF(A681&gt;TODAY(),"",IF(N('Daily Tracking'!K681)&gt;=Settings!$B$15,1,0))</f>
        <v/>
      </c>
      <c r="H681" s="231" t="str">
        <f ca="1">IF(B681="","",AVERAGE(B681:G681))</f>
        <v/>
      </c>
      <c r="I681" s="136" t="str">
        <f ca="1">IF(B681="","",IF(B681=1,N(I680)+1,0))</f>
        <v/>
      </c>
    </row>
    <row r="682" spans="1:9" ht="18" customHeight="1" x14ac:dyDescent="0.3">
      <c r="A682" s="132">
        <f>'Daily Tracking'!A682</f>
        <v>46954</v>
      </c>
      <c r="B682" s="230" t="str">
        <f ca="1">IF(A682&gt;TODAY(),"",IF('Daily Tracking'!B682&lt;&gt;"",1,0))</f>
        <v/>
      </c>
      <c r="C682" s="230" t="str">
        <f ca="1">IF(A682&gt;TODAY(),"",IF('Daily Tracking'!E682&lt;&gt;"",1,0))</f>
        <v/>
      </c>
      <c r="D682" s="230" t="str">
        <f ca="1">IF(A682&gt;TODAY(),"",IF(N('Daily Tracking'!G682)&gt;=Settings!$B$13,1,0))</f>
        <v/>
      </c>
      <c r="E682" s="230" t="str">
        <f ca="1">IF(A682&gt;TODAY(),"",IF(N('Daily Tracking'!H682)&gt;=Settings!$B$14,1,0))</f>
        <v/>
      </c>
      <c r="F682" s="230" t="str">
        <f ca="1">IF(A682&gt;TODAY(),"",IF(OR(N('Daily Tracking'!I682)&gt;0,'Daily Tracking'!J682="Yes"),1,0))</f>
        <v/>
      </c>
      <c r="G682" s="230" t="str">
        <f ca="1">IF(A682&gt;TODAY(),"",IF(N('Daily Tracking'!K682)&gt;=Settings!$B$15,1,0))</f>
        <v/>
      </c>
      <c r="H682" s="231" t="str">
        <f ca="1">IF(B682="","",AVERAGE(B682:G682))</f>
        <v/>
      </c>
      <c r="I682" s="136" t="str">
        <f ca="1">IF(B682="","",IF(B682=1,N(I681)+1,0))</f>
        <v/>
      </c>
    </row>
    <row r="683" spans="1:9" ht="18" customHeight="1" x14ac:dyDescent="0.3">
      <c r="A683" s="132">
        <f>'Daily Tracking'!A683</f>
        <v>46955</v>
      </c>
      <c r="B683" s="230" t="str">
        <f ca="1">IF(A683&gt;TODAY(),"",IF('Daily Tracking'!B683&lt;&gt;"",1,0))</f>
        <v/>
      </c>
      <c r="C683" s="230" t="str">
        <f ca="1">IF(A683&gt;TODAY(),"",IF('Daily Tracking'!E683&lt;&gt;"",1,0))</f>
        <v/>
      </c>
      <c r="D683" s="230" t="str">
        <f ca="1">IF(A683&gt;TODAY(),"",IF(N('Daily Tracking'!G683)&gt;=Settings!$B$13,1,0))</f>
        <v/>
      </c>
      <c r="E683" s="230" t="str">
        <f ca="1">IF(A683&gt;TODAY(),"",IF(N('Daily Tracking'!H683)&gt;=Settings!$B$14,1,0))</f>
        <v/>
      </c>
      <c r="F683" s="230" t="str">
        <f ca="1">IF(A683&gt;TODAY(),"",IF(OR(N('Daily Tracking'!I683)&gt;0,'Daily Tracking'!J683="Yes"),1,0))</f>
        <v/>
      </c>
      <c r="G683" s="230" t="str">
        <f ca="1">IF(A683&gt;TODAY(),"",IF(N('Daily Tracking'!K683)&gt;=Settings!$B$15,1,0))</f>
        <v/>
      </c>
      <c r="H683" s="231" t="str">
        <f ca="1">IF(B683="","",AVERAGE(B683:G683))</f>
        <v/>
      </c>
      <c r="I683" s="136" t="str">
        <f ca="1">IF(B683="","",IF(B683=1,N(I682)+1,0))</f>
        <v/>
      </c>
    </row>
    <row r="684" spans="1:9" ht="18" customHeight="1" x14ac:dyDescent="0.3">
      <c r="A684" s="132">
        <f>'Daily Tracking'!A684</f>
        <v>46956</v>
      </c>
      <c r="B684" s="230" t="str">
        <f ca="1">IF(A684&gt;TODAY(),"",IF('Daily Tracking'!B684&lt;&gt;"",1,0))</f>
        <v/>
      </c>
      <c r="C684" s="230" t="str">
        <f ca="1">IF(A684&gt;TODAY(),"",IF('Daily Tracking'!E684&lt;&gt;"",1,0))</f>
        <v/>
      </c>
      <c r="D684" s="230" t="str">
        <f ca="1">IF(A684&gt;TODAY(),"",IF(N('Daily Tracking'!G684)&gt;=Settings!$B$13,1,0))</f>
        <v/>
      </c>
      <c r="E684" s="230" t="str">
        <f ca="1">IF(A684&gt;TODAY(),"",IF(N('Daily Tracking'!H684)&gt;=Settings!$B$14,1,0))</f>
        <v/>
      </c>
      <c r="F684" s="230" t="str">
        <f ca="1">IF(A684&gt;TODAY(),"",IF(OR(N('Daily Tracking'!I684)&gt;0,'Daily Tracking'!J684="Yes"),1,0))</f>
        <v/>
      </c>
      <c r="G684" s="230" t="str">
        <f ca="1">IF(A684&gt;TODAY(),"",IF(N('Daily Tracking'!K684)&gt;=Settings!$B$15,1,0))</f>
        <v/>
      </c>
      <c r="H684" s="231" t="str">
        <f ca="1">IF(B684="","",AVERAGE(B684:G684))</f>
        <v/>
      </c>
      <c r="I684" s="136" t="str">
        <f ca="1">IF(B684="","",IF(B684=1,N(I683)+1,0))</f>
        <v/>
      </c>
    </row>
    <row r="685" spans="1:9" ht="18" customHeight="1" x14ac:dyDescent="0.3">
      <c r="A685" s="132">
        <f>'Daily Tracking'!A685</f>
        <v>46957</v>
      </c>
      <c r="B685" s="230" t="str">
        <f ca="1">IF(A685&gt;TODAY(),"",IF('Daily Tracking'!B685&lt;&gt;"",1,0))</f>
        <v/>
      </c>
      <c r="C685" s="230" t="str">
        <f ca="1">IF(A685&gt;TODAY(),"",IF('Daily Tracking'!E685&lt;&gt;"",1,0))</f>
        <v/>
      </c>
      <c r="D685" s="230" t="str">
        <f ca="1">IF(A685&gt;TODAY(),"",IF(N('Daily Tracking'!G685)&gt;=Settings!$B$13,1,0))</f>
        <v/>
      </c>
      <c r="E685" s="230" t="str">
        <f ca="1">IF(A685&gt;TODAY(),"",IF(N('Daily Tracking'!H685)&gt;=Settings!$B$14,1,0))</f>
        <v/>
      </c>
      <c r="F685" s="230" t="str">
        <f ca="1">IF(A685&gt;TODAY(),"",IF(OR(N('Daily Tracking'!I685)&gt;0,'Daily Tracking'!J685="Yes"),1,0))</f>
        <v/>
      </c>
      <c r="G685" s="230" t="str">
        <f ca="1">IF(A685&gt;TODAY(),"",IF(N('Daily Tracking'!K685)&gt;=Settings!$B$15,1,0))</f>
        <v/>
      </c>
      <c r="H685" s="231" t="str">
        <f ca="1">IF(B685="","",AVERAGE(B685:G685))</f>
        <v/>
      </c>
      <c r="I685" s="136" t="str">
        <f ca="1">IF(B685="","",IF(B685=1,N(I684)+1,0))</f>
        <v/>
      </c>
    </row>
    <row r="686" spans="1:9" ht="18" customHeight="1" x14ac:dyDescent="0.3">
      <c r="A686" s="132">
        <f>'Daily Tracking'!A686</f>
        <v>46958</v>
      </c>
      <c r="B686" s="230" t="str">
        <f ca="1">IF(A686&gt;TODAY(),"",IF('Daily Tracking'!B686&lt;&gt;"",1,0))</f>
        <v/>
      </c>
      <c r="C686" s="230" t="str">
        <f ca="1">IF(A686&gt;TODAY(),"",IF('Daily Tracking'!E686&lt;&gt;"",1,0))</f>
        <v/>
      </c>
      <c r="D686" s="230" t="str">
        <f ca="1">IF(A686&gt;TODAY(),"",IF(N('Daily Tracking'!G686)&gt;=Settings!$B$13,1,0))</f>
        <v/>
      </c>
      <c r="E686" s="230" t="str">
        <f ca="1">IF(A686&gt;TODAY(),"",IF(N('Daily Tracking'!H686)&gt;=Settings!$B$14,1,0))</f>
        <v/>
      </c>
      <c r="F686" s="230" t="str">
        <f ca="1">IF(A686&gt;TODAY(),"",IF(OR(N('Daily Tracking'!I686)&gt;0,'Daily Tracking'!J686="Yes"),1,0))</f>
        <v/>
      </c>
      <c r="G686" s="230" t="str">
        <f ca="1">IF(A686&gt;TODAY(),"",IF(N('Daily Tracking'!K686)&gt;=Settings!$B$15,1,0))</f>
        <v/>
      </c>
      <c r="H686" s="231" t="str">
        <f ca="1">IF(B686="","",AVERAGE(B686:G686))</f>
        <v/>
      </c>
      <c r="I686" s="136" t="str">
        <f ca="1">IF(B686="","",IF(B686=1,N(I685)+1,0))</f>
        <v/>
      </c>
    </row>
    <row r="687" spans="1:9" ht="18" customHeight="1" x14ac:dyDescent="0.3">
      <c r="A687" s="132">
        <f>'Daily Tracking'!A687</f>
        <v>46959</v>
      </c>
      <c r="B687" s="230" t="str">
        <f ca="1">IF(A687&gt;TODAY(),"",IF('Daily Tracking'!B687&lt;&gt;"",1,0))</f>
        <v/>
      </c>
      <c r="C687" s="230" t="str">
        <f ca="1">IF(A687&gt;TODAY(),"",IF('Daily Tracking'!E687&lt;&gt;"",1,0))</f>
        <v/>
      </c>
      <c r="D687" s="230" t="str">
        <f ca="1">IF(A687&gt;TODAY(),"",IF(N('Daily Tracking'!G687)&gt;=Settings!$B$13,1,0))</f>
        <v/>
      </c>
      <c r="E687" s="230" t="str">
        <f ca="1">IF(A687&gt;TODAY(),"",IF(N('Daily Tracking'!H687)&gt;=Settings!$B$14,1,0))</f>
        <v/>
      </c>
      <c r="F687" s="230" t="str">
        <f ca="1">IF(A687&gt;TODAY(),"",IF(OR(N('Daily Tracking'!I687)&gt;0,'Daily Tracking'!J687="Yes"),1,0))</f>
        <v/>
      </c>
      <c r="G687" s="230" t="str">
        <f ca="1">IF(A687&gt;TODAY(),"",IF(N('Daily Tracking'!K687)&gt;=Settings!$B$15,1,0))</f>
        <v/>
      </c>
      <c r="H687" s="231" t="str">
        <f ca="1">IF(B687="","",AVERAGE(B687:G687))</f>
        <v/>
      </c>
      <c r="I687" s="136" t="str">
        <f ca="1">IF(B687="","",IF(B687=1,N(I686)+1,0))</f>
        <v/>
      </c>
    </row>
    <row r="688" spans="1:9" ht="18" customHeight="1" x14ac:dyDescent="0.3">
      <c r="A688" s="132">
        <f>'Daily Tracking'!A688</f>
        <v>46960</v>
      </c>
      <c r="B688" s="230" t="str">
        <f ca="1">IF(A688&gt;TODAY(),"",IF('Daily Tracking'!B688&lt;&gt;"",1,0))</f>
        <v/>
      </c>
      <c r="C688" s="230" t="str">
        <f ca="1">IF(A688&gt;TODAY(),"",IF('Daily Tracking'!E688&lt;&gt;"",1,0))</f>
        <v/>
      </c>
      <c r="D688" s="230" t="str">
        <f ca="1">IF(A688&gt;TODAY(),"",IF(N('Daily Tracking'!G688)&gt;=Settings!$B$13,1,0))</f>
        <v/>
      </c>
      <c r="E688" s="230" t="str">
        <f ca="1">IF(A688&gt;TODAY(),"",IF(N('Daily Tracking'!H688)&gt;=Settings!$B$14,1,0))</f>
        <v/>
      </c>
      <c r="F688" s="230" t="str">
        <f ca="1">IF(A688&gt;TODAY(),"",IF(OR(N('Daily Tracking'!I688)&gt;0,'Daily Tracking'!J688="Yes"),1,0))</f>
        <v/>
      </c>
      <c r="G688" s="230" t="str">
        <f ca="1">IF(A688&gt;TODAY(),"",IF(N('Daily Tracking'!K688)&gt;=Settings!$B$15,1,0))</f>
        <v/>
      </c>
      <c r="H688" s="231" t="str">
        <f ca="1">IF(B688="","",AVERAGE(B688:G688))</f>
        <v/>
      </c>
      <c r="I688" s="136" t="str">
        <f ca="1">IF(B688="","",IF(B688=1,N(I687)+1,0))</f>
        <v/>
      </c>
    </row>
    <row r="689" spans="1:9" ht="18" customHeight="1" x14ac:dyDescent="0.3">
      <c r="A689" s="132">
        <f>'Daily Tracking'!A689</f>
        <v>46961</v>
      </c>
      <c r="B689" s="230" t="str">
        <f ca="1">IF(A689&gt;TODAY(),"",IF('Daily Tracking'!B689&lt;&gt;"",1,0))</f>
        <v/>
      </c>
      <c r="C689" s="230" t="str">
        <f ca="1">IF(A689&gt;TODAY(),"",IF('Daily Tracking'!E689&lt;&gt;"",1,0))</f>
        <v/>
      </c>
      <c r="D689" s="230" t="str">
        <f ca="1">IF(A689&gt;TODAY(),"",IF(N('Daily Tracking'!G689)&gt;=Settings!$B$13,1,0))</f>
        <v/>
      </c>
      <c r="E689" s="230" t="str">
        <f ca="1">IF(A689&gt;TODAY(),"",IF(N('Daily Tracking'!H689)&gt;=Settings!$B$14,1,0))</f>
        <v/>
      </c>
      <c r="F689" s="230" t="str">
        <f ca="1">IF(A689&gt;TODAY(),"",IF(OR(N('Daily Tracking'!I689)&gt;0,'Daily Tracking'!J689="Yes"),1,0))</f>
        <v/>
      </c>
      <c r="G689" s="230" t="str">
        <f ca="1">IF(A689&gt;TODAY(),"",IF(N('Daily Tracking'!K689)&gt;=Settings!$B$15,1,0))</f>
        <v/>
      </c>
      <c r="H689" s="231" t="str">
        <f ca="1">IF(B689="","",AVERAGE(B689:G689))</f>
        <v/>
      </c>
      <c r="I689" s="136" t="str">
        <f ca="1">IF(B689="","",IF(B689=1,N(I688)+1,0))</f>
        <v/>
      </c>
    </row>
    <row r="690" spans="1:9" ht="18" customHeight="1" x14ac:dyDescent="0.3">
      <c r="A690" s="132">
        <f>'Daily Tracking'!A690</f>
        <v>46962</v>
      </c>
      <c r="B690" s="230" t="str">
        <f ca="1">IF(A690&gt;TODAY(),"",IF('Daily Tracking'!B690&lt;&gt;"",1,0))</f>
        <v/>
      </c>
      <c r="C690" s="230" t="str">
        <f ca="1">IF(A690&gt;TODAY(),"",IF('Daily Tracking'!E690&lt;&gt;"",1,0))</f>
        <v/>
      </c>
      <c r="D690" s="230" t="str">
        <f ca="1">IF(A690&gt;TODAY(),"",IF(N('Daily Tracking'!G690)&gt;=Settings!$B$13,1,0))</f>
        <v/>
      </c>
      <c r="E690" s="230" t="str">
        <f ca="1">IF(A690&gt;TODAY(),"",IF(N('Daily Tracking'!H690)&gt;=Settings!$B$14,1,0))</f>
        <v/>
      </c>
      <c r="F690" s="230" t="str">
        <f ca="1">IF(A690&gt;TODAY(),"",IF(OR(N('Daily Tracking'!I690)&gt;0,'Daily Tracking'!J690="Yes"),1,0))</f>
        <v/>
      </c>
      <c r="G690" s="230" t="str">
        <f ca="1">IF(A690&gt;TODAY(),"",IF(N('Daily Tracking'!K690)&gt;=Settings!$B$15,1,0))</f>
        <v/>
      </c>
      <c r="H690" s="231" t="str">
        <f ca="1">IF(B690="","",AVERAGE(B690:G690))</f>
        <v/>
      </c>
      <c r="I690" s="136" t="str">
        <f ca="1">IF(B690="","",IF(B690=1,N(I689)+1,0))</f>
        <v/>
      </c>
    </row>
    <row r="691" spans="1:9" ht="18" customHeight="1" x14ac:dyDescent="0.3">
      <c r="A691" s="132">
        <f>'Daily Tracking'!A691</f>
        <v>46963</v>
      </c>
      <c r="B691" s="230" t="str">
        <f ca="1">IF(A691&gt;TODAY(),"",IF('Daily Tracking'!B691&lt;&gt;"",1,0))</f>
        <v/>
      </c>
      <c r="C691" s="230" t="str">
        <f ca="1">IF(A691&gt;TODAY(),"",IF('Daily Tracking'!E691&lt;&gt;"",1,0))</f>
        <v/>
      </c>
      <c r="D691" s="230" t="str">
        <f ca="1">IF(A691&gt;TODAY(),"",IF(N('Daily Tracking'!G691)&gt;=Settings!$B$13,1,0))</f>
        <v/>
      </c>
      <c r="E691" s="230" t="str">
        <f ca="1">IF(A691&gt;TODAY(),"",IF(N('Daily Tracking'!H691)&gt;=Settings!$B$14,1,0))</f>
        <v/>
      </c>
      <c r="F691" s="230" t="str">
        <f ca="1">IF(A691&gt;TODAY(),"",IF(OR(N('Daily Tracking'!I691)&gt;0,'Daily Tracking'!J691="Yes"),1,0))</f>
        <v/>
      </c>
      <c r="G691" s="230" t="str">
        <f ca="1">IF(A691&gt;TODAY(),"",IF(N('Daily Tracking'!K691)&gt;=Settings!$B$15,1,0))</f>
        <v/>
      </c>
      <c r="H691" s="231" t="str">
        <f ca="1">IF(B691="","",AVERAGE(B691:G691))</f>
        <v/>
      </c>
      <c r="I691" s="136" t="str">
        <f ca="1">IF(B691="","",IF(B691=1,N(I690)+1,0))</f>
        <v/>
      </c>
    </row>
    <row r="692" spans="1:9" ht="18" customHeight="1" x14ac:dyDescent="0.3">
      <c r="A692" s="132">
        <f>'Daily Tracking'!A692</f>
        <v>46964</v>
      </c>
      <c r="B692" s="230" t="str">
        <f ca="1">IF(A692&gt;TODAY(),"",IF('Daily Tracking'!B692&lt;&gt;"",1,0))</f>
        <v/>
      </c>
      <c r="C692" s="230" t="str">
        <f ca="1">IF(A692&gt;TODAY(),"",IF('Daily Tracking'!E692&lt;&gt;"",1,0))</f>
        <v/>
      </c>
      <c r="D692" s="230" t="str">
        <f ca="1">IF(A692&gt;TODAY(),"",IF(N('Daily Tracking'!G692)&gt;=Settings!$B$13,1,0))</f>
        <v/>
      </c>
      <c r="E692" s="230" t="str">
        <f ca="1">IF(A692&gt;TODAY(),"",IF(N('Daily Tracking'!H692)&gt;=Settings!$B$14,1,0))</f>
        <v/>
      </c>
      <c r="F692" s="230" t="str">
        <f ca="1">IF(A692&gt;TODAY(),"",IF(OR(N('Daily Tracking'!I692)&gt;0,'Daily Tracking'!J692="Yes"),1,0))</f>
        <v/>
      </c>
      <c r="G692" s="230" t="str">
        <f ca="1">IF(A692&gt;TODAY(),"",IF(N('Daily Tracking'!K692)&gt;=Settings!$B$15,1,0))</f>
        <v/>
      </c>
      <c r="H692" s="231" t="str">
        <f ca="1">IF(B692="","",AVERAGE(B692:G692))</f>
        <v/>
      </c>
      <c r="I692" s="136" t="str">
        <f ca="1">IF(B692="","",IF(B692=1,N(I691)+1,0))</f>
        <v/>
      </c>
    </row>
    <row r="693" spans="1:9" ht="18" customHeight="1" x14ac:dyDescent="0.3">
      <c r="A693" s="132">
        <f>'Daily Tracking'!A693</f>
        <v>46965</v>
      </c>
      <c r="B693" s="230" t="str">
        <f ca="1">IF(A693&gt;TODAY(),"",IF('Daily Tracking'!B693&lt;&gt;"",1,0))</f>
        <v/>
      </c>
      <c r="C693" s="230" t="str">
        <f ca="1">IF(A693&gt;TODAY(),"",IF('Daily Tracking'!E693&lt;&gt;"",1,0))</f>
        <v/>
      </c>
      <c r="D693" s="230" t="str">
        <f ca="1">IF(A693&gt;TODAY(),"",IF(N('Daily Tracking'!G693)&gt;=Settings!$B$13,1,0))</f>
        <v/>
      </c>
      <c r="E693" s="230" t="str">
        <f ca="1">IF(A693&gt;TODAY(),"",IF(N('Daily Tracking'!H693)&gt;=Settings!$B$14,1,0))</f>
        <v/>
      </c>
      <c r="F693" s="230" t="str">
        <f ca="1">IF(A693&gt;TODAY(),"",IF(OR(N('Daily Tracking'!I693)&gt;0,'Daily Tracking'!J693="Yes"),1,0))</f>
        <v/>
      </c>
      <c r="G693" s="230" t="str">
        <f ca="1">IF(A693&gt;TODAY(),"",IF(N('Daily Tracking'!K693)&gt;=Settings!$B$15,1,0))</f>
        <v/>
      </c>
      <c r="H693" s="231" t="str">
        <f ca="1">IF(B693="","",AVERAGE(B693:G693))</f>
        <v/>
      </c>
      <c r="I693" s="136" t="str">
        <f ca="1">IF(B693="","",IF(B693=1,N(I692)+1,0))</f>
        <v/>
      </c>
    </row>
    <row r="694" spans="1:9" ht="18" customHeight="1" x14ac:dyDescent="0.3">
      <c r="A694" s="132">
        <f>'Daily Tracking'!A694</f>
        <v>46966</v>
      </c>
      <c r="B694" s="230" t="str">
        <f ca="1">IF(A694&gt;TODAY(),"",IF('Daily Tracking'!B694&lt;&gt;"",1,0))</f>
        <v/>
      </c>
      <c r="C694" s="230" t="str">
        <f ca="1">IF(A694&gt;TODAY(),"",IF('Daily Tracking'!E694&lt;&gt;"",1,0))</f>
        <v/>
      </c>
      <c r="D694" s="230" t="str">
        <f ca="1">IF(A694&gt;TODAY(),"",IF(N('Daily Tracking'!G694)&gt;=Settings!$B$13,1,0))</f>
        <v/>
      </c>
      <c r="E694" s="230" t="str">
        <f ca="1">IF(A694&gt;TODAY(),"",IF(N('Daily Tracking'!H694)&gt;=Settings!$B$14,1,0))</f>
        <v/>
      </c>
      <c r="F694" s="230" t="str">
        <f ca="1">IF(A694&gt;TODAY(),"",IF(OR(N('Daily Tracking'!I694)&gt;0,'Daily Tracking'!J694="Yes"),1,0))</f>
        <v/>
      </c>
      <c r="G694" s="230" t="str">
        <f ca="1">IF(A694&gt;TODAY(),"",IF(N('Daily Tracking'!K694)&gt;=Settings!$B$15,1,0))</f>
        <v/>
      </c>
      <c r="H694" s="231" t="str">
        <f ca="1">IF(B694="","",AVERAGE(B694:G694))</f>
        <v/>
      </c>
      <c r="I694" s="136" t="str">
        <f ca="1">IF(B694="","",IF(B694=1,N(I693)+1,0))</f>
        <v/>
      </c>
    </row>
    <row r="695" spans="1:9" ht="18" customHeight="1" x14ac:dyDescent="0.3">
      <c r="A695" s="132">
        <f>'Daily Tracking'!A695</f>
        <v>46967</v>
      </c>
      <c r="B695" s="230" t="str">
        <f ca="1">IF(A695&gt;TODAY(),"",IF('Daily Tracking'!B695&lt;&gt;"",1,0))</f>
        <v/>
      </c>
      <c r="C695" s="230" t="str">
        <f ca="1">IF(A695&gt;TODAY(),"",IF('Daily Tracking'!E695&lt;&gt;"",1,0))</f>
        <v/>
      </c>
      <c r="D695" s="230" t="str">
        <f ca="1">IF(A695&gt;TODAY(),"",IF(N('Daily Tracking'!G695)&gt;=Settings!$B$13,1,0))</f>
        <v/>
      </c>
      <c r="E695" s="230" t="str">
        <f ca="1">IF(A695&gt;TODAY(),"",IF(N('Daily Tracking'!H695)&gt;=Settings!$B$14,1,0))</f>
        <v/>
      </c>
      <c r="F695" s="230" t="str">
        <f ca="1">IF(A695&gt;TODAY(),"",IF(OR(N('Daily Tracking'!I695)&gt;0,'Daily Tracking'!J695="Yes"),1,0))</f>
        <v/>
      </c>
      <c r="G695" s="230" t="str">
        <f ca="1">IF(A695&gt;TODAY(),"",IF(N('Daily Tracking'!K695)&gt;=Settings!$B$15,1,0))</f>
        <v/>
      </c>
      <c r="H695" s="231" t="str">
        <f ca="1">IF(B695="","",AVERAGE(B695:G695))</f>
        <v/>
      </c>
      <c r="I695" s="136" t="str">
        <f ca="1">IF(B695="","",IF(B695=1,N(I694)+1,0))</f>
        <v/>
      </c>
    </row>
    <row r="696" spans="1:9" ht="18" customHeight="1" x14ac:dyDescent="0.3">
      <c r="A696" s="132">
        <f>'Daily Tracking'!A696</f>
        <v>46968</v>
      </c>
      <c r="B696" s="230" t="str">
        <f ca="1">IF(A696&gt;TODAY(),"",IF('Daily Tracking'!B696&lt;&gt;"",1,0))</f>
        <v/>
      </c>
      <c r="C696" s="230" t="str">
        <f ca="1">IF(A696&gt;TODAY(),"",IF('Daily Tracking'!E696&lt;&gt;"",1,0))</f>
        <v/>
      </c>
      <c r="D696" s="230" t="str">
        <f ca="1">IF(A696&gt;TODAY(),"",IF(N('Daily Tracking'!G696)&gt;=Settings!$B$13,1,0))</f>
        <v/>
      </c>
      <c r="E696" s="230" t="str">
        <f ca="1">IF(A696&gt;TODAY(),"",IF(N('Daily Tracking'!H696)&gt;=Settings!$B$14,1,0))</f>
        <v/>
      </c>
      <c r="F696" s="230" t="str">
        <f ca="1">IF(A696&gt;TODAY(),"",IF(OR(N('Daily Tracking'!I696)&gt;0,'Daily Tracking'!J696="Yes"),1,0))</f>
        <v/>
      </c>
      <c r="G696" s="230" t="str">
        <f ca="1">IF(A696&gt;TODAY(),"",IF(N('Daily Tracking'!K696)&gt;=Settings!$B$15,1,0))</f>
        <v/>
      </c>
      <c r="H696" s="231" t="str">
        <f ca="1">IF(B696="","",AVERAGE(B696:G696))</f>
        <v/>
      </c>
      <c r="I696" s="136" t="str">
        <f ca="1">IF(B696="","",IF(B696=1,N(I695)+1,0))</f>
        <v/>
      </c>
    </row>
    <row r="697" spans="1:9" ht="18" customHeight="1" x14ac:dyDescent="0.3">
      <c r="A697" s="132">
        <f>'Daily Tracking'!A697</f>
        <v>46969</v>
      </c>
      <c r="B697" s="230" t="str">
        <f ca="1">IF(A697&gt;TODAY(),"",IF('Daily Tracking'!B697&lt;&gt;"",1,0))</f>
        <v/>
      </c>
      <c r="C697" s="230" t="str">
        <f ca="1">IF(A697&gt;TODAY(),"",IF('Daily Tracking'!E697&lt;&gt;"",1,0))</f>
        <v/>
      </c>
      <c r="D697" s="230" t="str">
        <f ca="1">IF(A697&gt;TODAY(),"",IF(N('Daily Tracking'!G697)&gt;=Settings!$B$13,1,0))</f>
        <v/>
      </c>
      <c r="E697" s="230" t="str">
        <f ca="1">IF(A697&gt;TODAY(),"",IF(N('Daily Tracking'!H697)&gt;=Settings!$B$14,1,0))</f>
        <v/>
      </c>
      <c r="F697" s="230" t="str">
        <f ca="1">IF(A697&gt;TODAY(),"",IF(OR(N('Daily Tracking'!I697)&gt;0,'Daily Tracking'!J697="Yes"),1,0))</f>
        <v/>
      </c>
      <c r="G697" s="230" t="str">
        <f ca="1">IF(A697&gt;TODAY(),"",IF(N('Daily Tracking'!K697)&gt;=Settings!$B$15,1,0))</f>
        <v/>
      </c>
      <c r="H697" s="231" t="str">
        <f ca="1">IF(B697="","",AVERAGE(B697:G697))</f>
        <v/>
      </c>
      <c r="I697" s="136" t="str">
        <f ca="1">IF(B697="","",IF(B697=1,N(I696)+1,0))</f>
        <v/>
      </c>
    </row>
    <row r="698" spans="1:9" ht="18" customHeight="1" x14ac:dyDescent="0.3">
      <c r="A698" s="132">
        <f>'Daily Tracking'!A698</f>
        <v>46970</v>
      </c>
      <c r="B698" s="230" t="str">
        <f ca="1">IF(A698&gt;TODAY(),"",IF('Daily Tracking'!B698&lt;&gt;"",1,0))</f>
        <v/>
      </c>
      <c r="C698" s="230" t="str">
        <f ca="1">IF(A698&gt;TODAY(),"",IF('Daily Tracking'!E698&lt;&gt;"",1,0))</f>
        <v/>
      </c>
      <c r="D698" s="230" t="str">
        <f ca="1">IF(A698&gt;TODAY(),"",IF(N('Daily Tracking'!G698)&gt;=Settings!$B$13,1,0))</f>
        <v/>
      </c>
      <c r="E698" s="230" t="str">
        <f ca="1">IF(A698&gt;TODAY(),"",IF(N('Daily Tracking'!H698)&gt;=Settings!$B$14,1,0))</f>
        <v/>
      </c>
      <c r="F698" s="230" t="str">
        <f ca="1">IF(A698&gt;TODAY(),"",IF(OR(N('Daily Tracking'!I698)&gt;0,'Daily Tracking'!J698="Yes"),1,0))</f>
        <v/>
      </c>
      <c r="G698" s="230" t="str">
        <f ca="1">IF(A698&gt;TODAY(),"",IF(N('Daily Tracking'!K698)&gt;=Settings!$B$15,1,0))</f>
        <v/>
      </c>
      <c r="H698" s="231" t="str">
        <f ca="1">IF(B698="","",AVERAGE(B698:G698))</f>
        <v/>
      </c>
      <c r="I698" s="136" t="str">
        <f ca="1">IF(B698="","",IF(B698=1,N(I697)+1,0))</f>
        <v/>
      </c>
    </row>
    <row r="699" spans="1:9" ht="18" customHeight="1" x14ac:dyDescent="0.3">
      <c r="A699" s="132">
        <f>'Daily Tracking'!A699</f>
        <v>46971</v>
      </c>
      <c r="B699" s="230" t="str">
        <f ca="1">IF(A699&gt;TODAY(),"",IF('Daily Tracking'!B699&lt;&gt;"",1,0))</f>
        <v/>
      </c>
      <c r="C699" s="230" t="str">
        <f ca="1">IF(A699&gt;TODAY(),"",IF('Daily Tracking'!E699&lt;&gt;"",1,0))</f>
        <v/>
      </c>
      <c r="D699" s="230" t="str">
        <f ca="1">IF(A699&gt;TODAY(),"",IF(N('Daily Tracking'!G699)&gt;=Settings!$B$13,1,0))</f>
        <v/>
      </c>
      <c r="E699" s="230" t="str">
        <f ca="1">IF(A699&gt;TODAY(),"",IF(N('Daily Tracking'!H699)&gt;=Settings!$B$14,1,0))</f>
        <v/>
      </c>
      <c r="F699" s="230" t="str">
        <f ca="1">IF(A699&gt;TODAY(),"",IF(OR(N('Daily Tracking'!I699)&gt;0,'Daily Tracking'!J699="Yes"),1,0))</f>
        <v/>
      </c>
      <c r="G699" s="230" t="str">
        <f ca="1">IF(A699&gt;TODAY(),"",IF(N('Daily Tracking'!K699)&gt;=Settings!$B$15,1,0))</f>
        <v/>
      </c>
      <c r="H699" s="231" t="str">
        <f ca="1">IF(B699="","",AVERAGE(B699:G699))</f>
        <v/>
      </c>
      <c r="I699" s="136" t="str">
        <f ca="1">IF(B699="","",IF(B699=1,N(I698)+1,0))</f>
        <v/>
      </c>
    </row>
    <row r="700" spans="1:9" ht="18" customHeight="1" x14ac:dyDescent="0.3">
      <c r="A700" s="132">
        <f>'Daily Tracking'!A700</f>
        <v>46972</v>
      </c>
      <c r="B700" s="230" t="str">
        <f ca="1">IF(A700&gt;TODAY(),"",IF('Daily Tracking'!B700&lt;&gt;"",1,0))</f>
        <v/>
      </c>
      <c r="C700" s="230" t="str">
        <f ca="1">IF(A700&gt;TODAY(),"",IF('Daily Tracking'!E700&lt;&gt;"",1,0))</f>
        <v/>
      </c>
      <c r="D700" s="230" t="str">
        <f ca="1">IF(A700&gt;TODAY(),"",IF(N('Daily Tracking'!G700)&gt;=Settings!$B$13,1,0))</f>
        <v/>
      </c>
      <c r="E700" s="230" t="str">
        <f ca="1">IF(A700&gt;TODAY(),"",IF(N('Daily Tracking'!H700)&gt;=Settings!$B$14,1,0))</f>
        <v/>
      </c>
      <c r="F700" s="230" t="str">
        <f ca="1">IF(A700&gt;TODAY(),"",IF(OR(N('Daily Tracking'!I700)&gt;0,'Daily Tracking'!J700="Yes"),1,0))</f>
        <v/>
      </c>
      <c r="G700" s="230" t="str">
        <f ca="1">IF(A700&gt;TODAY(),"",IF(N('Daily Tracking'!K700)&gt;=Settings!$B$15,1,0))</f>
        <v/>
      </c>
      <c r="H700" s="231" t="str">
        <f ca="1">IF(B700="","",AVERAGE(B700:G700))</f>
        <v/>
      </c>
      <c r="I700" s="136" t="str">
        <f ca="1">IF(B700="","",IF(B700=1,N(I699)+1,0))</f>
        <v/>
      </c>
    </row>
    <row r="701" spans="1:9" ht="18" customHeight="1" x14ac:dyDescent="0.3">
      <c r="A701" s="132">
        <f>'Daily Tracking'!A701</f>
        <v>46973</v>
      </c>
      <c r="B701" s="230" t="str">
        <f ca="1">IF(A701&gt;TODAY(),"",IF('Daily Tracking'!B701&lt;&gt;"",1,0))</f>
        <v/>
      </c>
      <c r="C701" s="230" t="str">
        <f ca="1">IF(A701&gt;TODAY(),"",IF('Daily Tracking'!E701&lt;&gt;"",1,0))</f>
        <v/>
      </c>
      <c r="D701" s="230" t="str">
        <f ca="1">IF(A701&gt;TODAY(),"",IF(N('Daily Tracking'!G701)&gt;=Settings!$B$13,1,0))</f>
        <v/>
      </c>
      <c r="E701" s="230" t="str">
        <f ca="1">IF(A701&gt;TODAY(),"",IF(N('Daily Tracking'!H701)&gt;=Settings!$B$14,1,0))</f>
        <v/>
      </c>
      <c r="F701" s="230" t="str">
        <f ca="1">IF(A701&gt;TODAY(),"",IF(OR(N('Daily Tracking'!I701)&gt;0,'Daily Tracking'!J701="Yes"),1,0))</f>
        <v/>
      </c>
      <c r="G701" s="230" t="str">
        <f ca="1">IF(A701&gt;TODAY(),"",IF(N('Daily Tracking'!K701)&gt;=Settings!$B$15,1,0))</f>
        <v/>
      </c>
      <c r="H701" s="231" t="str">
        <f ca="1">IF(B701="","",AVERAGE(B701:G701))</f>
        <v/>
      </c>
      <c r="I701" s="136" t="str">
        <f ca="1">IF(B701="","",IF(B701=1,N(I700)+1,0))</f>
        <v/>
      </c>
    </row>
    <row r="702" spans="1:9" ht="18" customHeight="1" x14ac:dyDescent="0.3">
      <c r="A702" s="132">
        <f>'Daily Tracking'!A702</f>
        <v>46974</v>
      </c>
      <c r="B702" s="230" t="str">
        <f ca="1">IF(A702&gt;TODAY(),"",IF('Daily Tracking'!B702&lt;&gt;"",1,0))</f>
        <v/>
      </c>
      <c r="C702" s="230" t="str">
        <f ca="1">IF(A702&gt;TODAY(),"",IF('Daily Tracking'!E702&lt;&gt;"",1,0))</f>
        <v/>
      </c>
      <c r="D702" s="230" t="str">
        <f ca="1">IF(A702&gt;TODAY(),"",IF(N('Daily Tracking'!G702)&gt;=Settings!$B$13,1,0))</f>
        <v/>
      </c>
      <c r="E702" s="230" t="str">
        <f ca="1">IF(A702&gt;TODAY(),"",IF(N('Daily Tracking'!H702)&gt;=Settings!$B$14,1,0))</f>
        <v/>
      </c>
      <c r="F702" s="230" t="str">
        <f ca="1">IF(A702&gt;TODAY(),"",IF(OR(N('Daily Tracking'!I702)&gt;0,'Daily Tracking'!J702="Yes"),1,0))</f>
        <v/>
      </c>
      <c r="G702" s="230" t="str">
        <f ca="1">IF(A702&gt;TODAY(),"",IF(N('Daily Tracking'!K702)&gt;=Settings!$B$15,1,0))</f>
        <v/>
      </c>
      <c r="H702" s="231" t="str">
        <f ca="1">IF(B702="","",AVERAGE(B702:G702))</f>
        <v/>
      </c>
      <c r="I702" s="136" t="str">
        <f ca="1">IF(B702="","",IF(B702=1,N(I701)+1,0))</f>
        <v/>
      </c>
    </row>
    <row r="703" spans="1:9" ht="18" customHeight="1" x14ac:dyDescent="0.3">
      <c r="A703" s="132">
        <f>'Daily Tracking'!A703</f>
        <v>46975</v>
      </c>
      <c r="B703" s="230" t="str">
        <f ca="1">IF(A703&gt;TODAY(),"",IF('Daily Tracking'!B703&lt;&gt;"",1,0))</f>
        <v/>
      </c>
      <c r="C703" s="230" t="str">
        <f ca="1">IF(A703&gt;TODAY(),"",IF('Daily Tracking'!E703&lt;&gt;"",1,0))</f>
        <v/>
      </c>
      <c r="D703" s="230" t="str">
        <f ca="1">IF(A703&gt;TODAY(),"",IF(N('Daily Tracking'!G703)&gt;=Settings!$B$13,1,0))</f>
        <v/>
      </c>
      <c r="E703" s="230" t="str">
        <f ca="1">IF(A703&gt;TODAY(),"",IF(N('Daily Tracking'!H703)&gt;=Settings!$B$14,1,0))</f>
        <v/>
      </c>
      <c r="F703" s="230" t="str">
        <f ca="1">IF(A703&gt;TODAY(),"",IF(OR(N('Daily Tracking'!I703)&gt;0,'Daily Tracking'!J703="Yes"),1,0))</f>
        <v/>
      </c>
      <c r="G703" s="230" t="str">
        <f ca="1">IF(A703&gt;TODAY(),"",IF(N('Daily Tracking'!K703)&gt;=Settings!$B$15,1,0))</f>
        <v/>
      </c>
      <c r="H703" s="231" t="str">
        <f ca="1">IF(B703="","",AVERAGE(B703:G703))</f>
        <v/>
      </c>
      <c r="I703" s="136" t="str">
        <f ca="1">IF(B703="","",IF(B703=1,N(I702)+1,0))</f>
        <v/>
      </c>
    </row>
    <row r="704" spans="1:9" ht="18" customHeight="1" x14ac:dyDescent="0.3">
      <c r="A704" s="132">
        <f>'Daily Tracking'!A704</f>
        <v>46976</v>
      </c>
      <c r="B704" s="230" t="str">
        <f ca="1">IF(A704&gt;TODAY(),"",IF('Daily Tracking'!B704&lt;&gt;"",1,0))</f>
        <v/>
      </c>
      <c r="C704" s="230" t="str">
        <f ca="1">IF(A704&gt;TODAY(),"",IF('Daily Tracking'!E704&lt;&gt;"",1,0))</f>
        <v/>
      </c>
      <c r="D704" s="230" t="str">
        <f ca="1">IF(A704&gt;TODAY(),"",IF(N('Daily Tracking'!G704)&gt;=Settings!$B$13,1,0))</f>
        <v/>
      </c>
      <c r="E704" s="230" t="str">
        <f ca="1">IF(A704&gt;TODAY(),"",IF(N('Daily Tracking'!H704)&gt;=Settings!$B$14,1,0))</f>
        <v/>
      </c>
      <c r="F704" s="230" t="str">
        <f ca="1">IF(A704&gt;TODAY(),"",IF(OR(N('Daily Tracking'!I704)&gt;0,'Daily Tracking'!J704="Yes"),1,0))</f>
        <v/>
      </c>
      <c r="G704" s="230" t="str">
        <f ca="1">IF(A704&gt;TODAY(),"",IF(N('Daily Tracking'!K704)&gt;=Settings!$B$15,1,0))</f>
        <v/>
      </c>
      <c r="H704" s="231" t="str">
        <f ca="1">IF(B704="","",AVERAGE(B704:G704))</f>
        <v/>
      </c>
      <c r="I704" s="136" t="str">
        <f ca="1">IF(B704="","",IF(B704=1,N(I703)+1,0))</f>
        <v/>
      </c>
    </row>
    <row r="705" spans="1:9" ht="18" customHeight="1" x14ac:dyDescent="0.3">
      <c r="A705" s="132">
        <f>'Daily Tracking'!A705</f>
        <v>46977</v>
      </c>
      <c r="B705" s="230" t="str">
        <f ca="1">IF(A705&gt;TODAY(),"",IF('Daily Tracking'!B705&lt;&gt;"",1,0))</f>
        <v/>
      </c>
      <c r="C705" s="230" t="str">
        <f ca="1">IF(A705&gt;TODAY(),"",IF('Daily Tracking'!E705&lt;&gt;"",1,0))</f>
        <v/>
      </c>
      <c r="D705" s="230" t="str">
        <f ca="1">IF(A705&gt;TODAY(),"",IF(N('Daily Tracking'!G705)&gt;=Settings!$B$13,1,0))</f>
        <v/>
      </c>
      <c r="E705" s="230" t="str">
        <f ca="1">IF(A705&gt;TODAY(),"",IF(N('Daily Tracking'!H705)&gt;=Settings!$B$14,1,0))</f>
        <v/>
      </c>
      <c r="F705" s="230" t="str">
        <f ca="1">IF(A705&gt;TODAY(),"",IF(OR(N('Daily Tracking'!I705)&gt;0,'Daily Tracking'!J705="Yes"),1,0))</f>
        <v/>
      </c>
      <c r="G705" s="230" t="str">
        <f ca="1">IF(A705&gt;TODAY(),"",IF(N('Daily Tracking'!K705)&gt;=Settings!$B$15,1,0))</f>
        <v/>
      </c>
      <c r="H705" s="231" t="str">
        <f ca="1">IF(B705="","",AVERAGE(B705:G705))</f>
        <v/>
      </c>
      <c r="I705" s="136" t="str">
        <f ca="1">IF(B705="","",IF(B705=1,N(I704)+1,0))</f>
        <v/>
      </c>
    </row>
    <row r="706" spans="1:9" ht="18" customHeight="1" x14ac:dyDescent="0.3">
      <c r="A706" s="132">
        <f>'Daily Tracking'!A706</f>
        <v>46978</v>
      </c>
      <c r="B706" s="230" t="str">
        <f ca="1">IF(A706&gt;TODAY(),"",IF('Daily Tracking'!B706&lt;&gt;"",1,0))</f>
        <v/>
      </c>
      <c r="C706" s="230" t="str">
        <f ca="1">IF(A706&gt;TODAY(),"",IF('Daily Tracking'!E706&lt;&gt;"",1,0))</f>
        <v/>
      </c>
      <c r="D706" s="230" t="str">
        <f ca="1">IF(A706&gt;TODAY(),"",IF(N('Daily Tracking'!G706)&gt;=Settings!$B$13,1,0))</f>
        <v/>
      </c>
      <c r="E706" s="230" t="str">
        <f ca="1">IF(A706&gt;TODAY(),"",IF(N('Daily Tracking'!H706)&gt;=Settings!$B$14,1,0))</f>
        <v/>
      </c>
      <c r="F706" s="230" t="str">
        <f ca="1">IF(A706&gt;TODAY(),"",IF(OR(N('Daily Tracking'!I706)&gt;0,'Daily Tracking'!J706="Yes"),1,0))</f>
        <v/>
      </c>
      <c r="G706" s="230" t="str">
        <f ca="1">IF(A706&gt;TODAY(),"",IF(N('Daily Tracking'!K706)&gt;=Settings!$B$15,1,0))</f>
        <v/>
      </c>
      <c r="H706" s="231" t="str">
        <f ca="1">IF(B706="","",AVERAGE(B706:G706))</f>
        <v/>
      </c>
      <c r="I706" s="136" t="str">
        <f ca="1">IF(B706="","",IF(B706=1,N(I705)+1,0))</f>
        <v/>
      </c>
    </row>
    <row r="707" spans="1:9" ht="18" customHeight="1" x14ac:dyDescent="0.3">
      <c r="A707" s="132">
        <f>'Daily Tracking'!A707</f>
        <v>46979</v>
      </c>
      <c r="B707" s="230" t="str">
        <f ca="1">IF(A707&gt;TODAY(),"",IF('Daily Tracking'!B707&lt;&gt;"",1,0))</f>
        <v/>
      </c>
      <c r="C707" s="230" t="str">
        <f ca="1">IF(A707&gt;TODAY(),"",IF('Daily Tracking'!E707&lt;&gt;"",1,0))</f>
        <v/>
      </c>
      <c r="D707" s="230" t="str">
        <f ca="1">IF(A707&gt;TODAY(),"",IF(N('Daily Tracking'!G707)&gt;=Settings!$B$13,1,0))</f>
        <v/>
      </c>
      <c r="E707" s="230" t="str">
        <f ca="1">IF(A707&gt;TODAY(),"",IF(N('Daily Tracking'!H707)&gt;=Settings!$B$14,1,0))</f>
        <v/>
      </c>
      <c r="F707" s="230" t="str">
        <f ca="1">IF(A707&gt;TODAY(),"",IF(OR(N('Daily Tracking'!I707)&gt;0,'Daily Tracking'!J707="Yes"),1,0))</f>
        <v/>
      </c>
      <c r="G707" s="230" t="str">
        <f ca="1">IF(A707&gt;TODAY(),"",IF(N('Daily Tracking'!K707)&gt;=Settings!$B$15,1,0))</f>
        <v/>
      </c>
      <c r="H707" s="231" t="str">
        <f ca="1">IF(B707="","",AVERAGE(B707:G707))</f>
        <v/>
      </c>
      <c r="I707" s="136" t="str">
        <f ca="1">IF(B707="","",IF(B707=1,N(I706)+1,0))</f>
        <v/>
      </c>
    </row>
    <row r="708" spans="1:9" ht="18" customHeight="1" x14ac:dyDescent="0.3">
      <c r="A708" s="132">
        <f>'Daily Tracking'!A708</f>
        <v>46980</v>
      </c>
      <c r="B708" s="230" t="str">
        <f ca="1">IF(A708&gt;TODAY(),"",IF('Daily Tracking'!B708&lt;&gt;"",1,0))</f>
        <v/>
      </c>
      <c r="C708" s="230" t="str">
        <f ca="1">IF(A708&gt;TODAY(),"",IF('Daily Tracking'!E708&lt;&gt;"",1,0))</f>
        <v/>
      </c>
      <c r="D708" s="230" t="str">
        <f ca="1">IF(A708&gt;TODAY(),"",IF(N('Daily Tracking'!G708)&gt;=Settings!$B$13,1,0))</f>
        <v/>
      </c>
      <c r="E708" s="230" t="str">
        <f ca="1">IF(A708&gt;TODAY(),"",IF(N('Daily Tracking'!H708)&gt;=Settings!$B$14,1,0))</f>
        <v/>
      </c>
      <c r="F708" s="230" t="str">
        <f ca="1">IF(A708&gt;TODAY(),"",IF(OR(N('Daily Tracking'!I708)&gt;0,'Daily Tracking'!J708="Yes"),1,0))</f>
        <v/>
      </c>
      <c r="G708" s="230" t="str">
        <f ca="1">IF(A708&gt;TODAY(),"",IF(N('Daily Tracking'!K708)&gt;=Settings!$B$15,1,0))</f>
        <v/>
      </c>
      <c r="H708" s="231" t="str">
        <f ca="1">IF(B708="","",AVERAGE(B708:G708))</f>
        <v/>
      </c>
      <c r="I708" s="136" t="str">
        <f ca="1">IF(B708="","",IF(B708=1,N(I707)+1,0))</f>
        <v/>
      </c>
    </row>
    <row r="709" spans="1:9" ht="18" customHeight="1" x14ac:dyDescent="0.3">
      <c r="A709" s="132">
        <f>'Daily Tracking'!A709</f>
        <v>46981</v>
      </c>
      <c r="B709" s="230" t="str">
        <f ca="1">IF(A709&gt;TODAY(),"",IF('Daily Tracking'!B709&lt;&gt;"",1,0))</f>
        <v/>
      </c>
      <c r="C709" s="230" t="str">
        <f ca="1">IF(A709&gt;TODAY(),"",IF('Daily Tracking'!E709&lt;&gt;"",1,0))</f>
        <v/>
      </c>
      <c r="D709" s="230" t="str">
        <f ca="1">IF(A709&gt;TODAY(),"",IF(N('Daily Tracking'!G709)&gt;=Settings!$B$13,1,0))</f>
        <v/>
      </c>
      <c r="E709" s="230" t="str">
        <f ca="1">IF(A709&gt;TODAY(),"",IF(N('Daily Tracking'!H709)&gt;=Settings!$B$14,1,0))</f>
        <v/>
      </c>
      <c r="F709" s="230" t="str">
        <f ca="1">IF(A709&gt;TODAY(),"",IF(OR(N('Daily Tracking'!I709)&gt;0,'Daily Tracking'!J709="Yes"),1,0))</f>
        <v/>
      </c>
      <c r="G709" s="230" t="str">
        <f ca="1">IF(A709&gt;TODAY(),"",IF(N('Daily Tracking'!K709)&gt;=Settings!$B$15,1,0))</f>
        <v/>
      </c>
      <c r="H709" s="231" t="str">
        <f ca="1">IF(B709="","",AVERAGE(B709:G709))</f>
        <v/>
      </c>
      <c r="I709" s="136" t="str">
        <f ca="1">IF(B709="","",IF(B709=1,N(I708)+1,0))</f>
        <v/>
      </c>
    </row>
    <row r="710" spans="1:9" ht="18" customHeight="1" x14ac:dyDescent="0.3">
      <c r="A710" s="132">
        <f>'Daily Tracking'!A710</f>
        <v>46982</v>
      </c>
      <c r="B710" s="230" t="str">
        <f ca="1">IF(A710&gt;TODAY(),"",IF('Daily Tracking'!B710&lt;&gt;"",1,0))</f>
        <v/>
      </c>
      <c r="C710" s="230" t="str">
        <f ca="1">IF(A710&gt;TODAY(),"",IF('Daily Tracking'!E710&lt;&gt;"",1,0))</f>
        <v/>
      </c>
      <c r="D710" s="230" t="str">
        <f ca="1">IF(A710&gt;TODAY(),"",IF(N('Daily Tracking'!G710)&gt;=Settings!$B$13,1,0))</f>
        <v/>
      </c>
      <c r="E710" s="230" t="str">
        <f ca="1">IF(A710&gt;TODAY(),"",IF(N('Daily Tracking'!H710)&gt;=Settings!$B$14,1,0))</f>
        <v/>
      </c>
      <c r="F710" s="230" t="str">
        <f ca="1">IF(A710&gt;TODAY(),"",IF(OR(N('Daily Tracking'!I710)&gt;0,'Daily Tracking'!J710="Yes"),1,0))</f>
        <v/>
      </c>
      <c r="G710" s="230" t="str">
        <f ca="1">IF(A710&gt;TODAY(),"",IF(N('Daily Tracking'!K710)&gt;=Settings!$B$15,1,0))</f>
        <v/>
      </c>
      <c r="H710" s="231" t="str">
        <f ca="1">IF(B710="","",AVERAGE(B710:G710))</f>
        <v/>
      </c>
      <c r="I710" s="136" t="str">
        <f ca="1">IF(B710="","",IF(B710=1,N(I709)+1,0))</f>
        <v/>
      </c>
    </row>
    <row r="711" spans="1:9" ht="18" customHeight="1" x14ac:dyDescent="0.3">
      <c r="A711" s="132">
        <f>'Daily Tracking'!A711</f>
        <v>46983</v>
      </c>
      <c r="B711" s="230" t="str">
        <f ca="1">IF(A711&gt;TODAY(),"",IF('Daily Tracking'!B711&lt;&gt;"",1,0))</f>
        <v/>
      </c>
      <c r="C711" s="230" t="str">
        <f ca="1">IF(A711&gt;TODAY(),"",IF('Daily Tracking'!E711&lt;&gt;"",1,0))</f>
        <v/>
      </c>
      <c r="D711" s="230" t="str">
        <f ca="1">IF(A711&gt;TODAY(),"",IF(N('Daily Tracking'!G711)&gt;=Settings!$B$13,1,0))</f>
        <v/>
      </c>
      <c r="E711" s="230" t="str">
        <f ca="1">IF(A711&gt;TODAY(),"",IF(N('Daily Tracking'!H711)&gt;=Settings!$B$14,1,0))</f>
        <v/>
      </c>
      <c r="F711" s="230" t="str">
        <f ca="1">IF(A711&gt;TODAY(),"",IF(OR(N('Daily Tracking'!I711)&gt;0,'Daily Tracking'!J711="Yes"),1,0))</f>
        <v/>
      </c>
      <c r="G711" s="230" t="str">
        <f ca="1">IF(A711&gt;TODAY(),"",IF(N('Daily Tracking'!K711)&gt;=Settings!$B$15,1,0))</f>
        <v/>
      </c>
      <c r="H711" s="231" t="str">
        <f ca="1">IF(B711="","",AVERAGE(B711:G711))</f>
        <v/>
      </c>
      <c r="I711" s="136" t="str">
        <f ca="1">IF(B711="","",IF(B711=1,N(I710)+1,0))</f>
        <v/>
      </c>
    </row>
    <row r="712" spans="1:9" ht="18" customHeight="1" x14ac:dyDescent="0.3">
      <c r="A712" s="132">
        <f>'Daily Tracking'!A712</f>
        <v>46984</v>
      </c>
      <c r="B712" s="230" t="str">
        <f ca="1">IF(A712&gt;TODAY(),"",IF('Daily Tracking'!B712&lt;&gt;"",1,0))</f>
        <v/>
      </c>
      <c r="C712" s="230" t="str">
        <f ca="1">IF(A712&gt;TODAY(),"",IF('Daily Tracking'!E712&lt;&gt;"",1,0))</f>
        <v/>
      </c>
      <c r="D712" s="230" t="str">
        <f ca="1">IF(A712&gt;TODAY(),"",IF(N('Daily Tracking'!G712)&gt;=Settings!$B$13,1,0))</f>
        <v/>
      </c>
      <c r="E712" s="230" t="str">
        <f ca="1">IF(A712&gt;TODAY(),"",IF(N('Daily Tracking'!H712)&gt;=Settings!$B$14,1,0))</f>
        <v/>
      </c>
      <c r="F712" s="230" t="str">
        <f ca="1">IF(A712&gt;TODAY(),"",IF(OR(N('Daily Tracking'!I712)&gt;0,'Daily Tracking'!J712="Yes"),1,0))</f>
        <v/>
      </c>
      <c r="G712" s="230" t="str">
        <f ca="1">IF(A712&gt;TODAY(),"",IF(N('Daily Tracking'!K712)&gt;=Settings!$B$15,1,0))</f>
        <v/>
      </c>
      <c r="H712" s="231" t="str">
        <f ca="1">IF(B712="","",AVERAGE(B712:G712))</f>
        <v/>
      </c>
      <c r="I712" s="136" t="str">
        <f ca="1">IF(B712="","",IF(B712=1,N(I711)+1,0))</f>
        <v/>
      </c>
    </row>
    <row r="713" spans="1:9" ht="18" customHeight="1" x14ac:dyDescent="0.3">
      <c r="A713" s="132">
        <f>'Daily Tracking'!A713</f>
        <v>46985</v>
      </c>
      <c r="B713" s="230" t="str">
        <f ca="1">IF(A713&gt;TODAY(),"",IF('Daily Tracking'!B713&lt;&gt;"",1,0))</f>
        <v/>
      </c>
      <c r="C713" s="230" t="str">
        <f ca="1">IF(A713&gt;TODAY(),"",IF('Daily Tracking'!E713&lt;&gt;"",1,0))</f>
        <v/>
      </c>
      <c r="D713" s="230" t="str">
        <f ca="1">IF(A713&gt;TODAY(),"",IF(N('Daily Tracking'!G713)&gt;=Settings!$B$13,1,0))</f>
        <v/>
      </c>
      <c r="E713" s="230" t="str">
        <f ca="1">IF(A713&gt;TODAY(),"",IF(N('Daily Tracking'!H713)&gt;=Settings!$B$14,1,0))</f>
        <v/>
      </c>
      <c r="F713" s="230" t="str">
        <f ca="1">IF(A713&gt;TODAY(),"",IF(OR(N('Daily Tracking'!I713)&gt;0,'Daily Tracking'!J713="Yes"),1,0))</f>
        <v/>
      </c>
      <c r="G713" s="230" t="str">
        <f ca="1">IF(A713&gt;TODAY(),"",IF(N('Daily Tracking'!K713)&gt;=Settings!$B$15,1,0))</f>
        <v/>
      </c>
      <c r="H713" s="231" t="str">
        <f ca="1">IF(B713="","",AVERAGE(B713:G713))</f>
        <v/>
      </c>
      <c r="I713" s="136" t="str">
        <f ca="1">IF(B713="","",IF(B713=1,N(I712)+1,0))</f>
        <v/>
      </c>
    </row>
    <row r="714" spans="1:9" ht="18" customHeight="1" x14ac:dyDescent="0.3">
      <c r="A714" s="132">
        <f>'Daily Tracking'!A714</f>
        <v>46986</v>
      </c>
      <c r="B714" s="230" t="str">
        <f ca="1">IF(A714&gt;TODAY(),"",IF('Daily Tracking'!B714&lt;&gt;"",1,0))</f>
        <v/>
      </c>
      <c r="C714" s="230" t="str">
        <f ca="1">IF(A714&gt;TODAY(),"",IF('Daily Tracking'!E714&lt;&gt;"",1,0))</f>
        <v/>
      </c>
      <c r="D714" s="230" t="str">
        <f ca="1">IF(A714&gt;TODAY(),"",IF(N('Daily Tracking'!G714)&gt;=Settings!$B$13,1,0))</f>
        <v/>
      </c>
      <c r="E714" s="230" t="str">
        <f ca="1">IF(A714&gt;TODAY(),"",IF(N('Daily Tracking'!H714)&gt;=Settings!$B$14,1,0))</f>
        <v/>
      </c>
      <c r="F714" s="230" t="str">
        <f ca="1">IF(A714&gt;TODAY(),"",IF(OR(N('Daily Tracking'!I714)&gt;0,'Daily Tracking'!J714="Yes"),1,0))</f>
        <v/>
      </c>
      <c r="G714" s="230" t="str">
        <f ca="1">IF(A714&gt;TODAY(),"",IF(N('Daily Tracking'!K714)&gt;=Settings!$B$15,1,0))</f>
        <v/>
      </c>
      <c r="H714" s="231" t="str">
        <f ca="1">IF(B714="","",AVERAGE(B714:G714))</f>
        <v/>
      </c>
      <c r="I714" s="136" t="str">
        <f ca="1">IF(B714="","",IF(B714=1,N(I713)+1,0))</f>
        <v/>
      </c>
    </row>
    <row r="715" spans="1:9" ht="18" customHeight="1" x14ac:dyDescent="0.3">
      <c r="A715" s="132">
        <f>'Daily Tracking'!A715</f>
        <v>46987</v>
      </c>
      <c r="B715" s="230" t="str">
        <f ca="1">IF(A715&gt;TODAY(),"",IF('Daily Tracking'!B715&lt;&gt;"",1,0))</f>
        <v/>
      </c>
      <c r="C715" s="230" t="str">
        <f ca="1">IF(A715&gt;TODAY(),"",IF('Daily Tracking'!E715&lt;&gt;"",1,0))</f>
        <v/>
      </c>
      <c r="D715" s="230" t="str">
        <f ca="1">IF(A715&gt;TODAY(),"",IF(N('Daily Tracking'!G715)&gt;=Settings!$B$13,1,0))</f>
        <v/>
      </c>
      <c r="E715" s="230" t="str">
        <f ca="1">IF(A715&gt;TODAY(),"",IF(N('Daily Tracking'!H715)&gt;=Settings!$B$14,1,0))</f>
        <v/>
      </c>
      <c r="F715" s="230" t="str">
        <f ca="1">IF(A715&gt;TODAY(),"",IF(OR(N('Daily Tracking'!I715)&gt;0,'Daily Tracking'!J715="Yes"),1,0))</f>
        <v/>
      </c>
      <c r="G715" s="230" t="str">
        <f ca="1">IF(A715&gt;TODAY(),"",IF(N('Daily Tracking'!K715)&gt;=Settings!$B$15,1,0))</f>
        <v/>
      </c>
      <c r="H715" s="231" t="str">
        <f ca="1">IF(B715="","",AVERAGE(B715:G715))</f>
        <v/>
      </c>
      <c r="I715" s="136" t="str">
        <f ca="1">IF(B715="","",IF(B715=1,N(I714)+1,0))</f>
        <v/>
      </c>
    </row>
    <row r="716" spans="1:9" ht="18" customHeight="1" x14ac:dyDescent="0.3">
      <c r="A716" s="132">
        <f>'Daily Tracking'!A716</f>
        <v>46988</v>
      </c>
      <c r="B716" s="230" t="str">
        <f ca="1">IF(A716&gt;TODAY(),"",IF('Daily Tracking'!B716&lt;&gt;"",1,0))</f>
        <v/>
      </c>
      <c r="C716" s="230" t="str">
        <f ca="1">IF(A716&gt;TODAY(),"",IF('Daily Tracking'!E716&lt;&gt;"",1,0))</f>
        <v/>
      </c>
      <c r="D716" s="230" t="str">
        <f ca="1">IF(A716&gt;TODAY(),"",IF(N('Daily Tracking'!G716)&gt;=Settings!$B$13,1,0))</f>
        <v/>
      </c>
      <c r="E716" s="230" t="str">
        <f ca="1">IF(A716&gt;TODAY(),"",IF(N('Daily Tracking'!H716)&gt;=Settings!$B$14,1,0))</f>
        <v/>
      </c>
      <c r="F716" s="230" t="str">
        <f ca="1">IF(A716&gt;TODAY(),"",IF(OR(N('Daily Tracking'!I716)&gt;0,'Daily Tracking'!J716="Yes"),1,0))</f>
        <v/>
      </c>
      <c r="G716" s="230" t="str">
        <f ca="1">IF(A716&gt;TODAY(),"",IF(N('Daily Tracking'!K716)&gt;=Settings!$B$15,1,0))</f>
        <v/>
      </c>
      <c r="H716" s="231" t="str">
        <f ca="1">IF(B716="","",AVERAGE(B716:G716))</f>
        <v/>
      </c>
      <c r="I716" s="136" t="str">
        <f ca="1">IF(B716="","",IF(B716=1,N(I715)+1,0))</f>
        <v/>
      </c>
    </row>
    <row r="717" spans="1:9" ht="18" customHeight="1" x14ac:dyDescent="0.3">
      <c r="A717" s="132">
        <f>'Daily Tracking'!A717</f>
        <v>46989</v>
      </c>
      <c r="B717" s="230" t="str">
        <f ca="1">IF(A717&gt;TODAY(),"",IF('Daily Tracking'!B717&lt;&gt;"",1,0))</f>
        <v/>
      </c>
      <c r="C717" s="230" t="str">
        <f ca="1">IF(A717&gt;TODAY(),"",IF('Daily Tracking'!E717&lt;&gt;"",1,0))</f>
        <v/>
      </c>
      <c r="D717" s="230" t="str">
        <f ca="1">IF(A717&gt;TODAY(),"",IF(N('Daily Tracking'!G717)&gt;=Settings!$B$13,1,0))</f>
        <v/>
      </c>
      <c r="E717" s="230" t="str">
        <f ca="1">IF(A717&gt;TODAY(),"",IF(N('Daily Tracking'!H717)&gt;=Settings!$B$14,1,0))</f>
        <v/>
      </c>
      <c r="F717" s="230" t="str">
        <f ca="1">IF(A717&gt;TODAY(),"",IF(OR(N('Daily Tracking'!I717)&gt;0,'Daily Tracking'!J717="Yes"),1,0))</f>
        <v/>
      </c>
      <c r="G717" s="230" t="str">
        <f ca="1">IF(A717&gt;TODAY(),"",IF(N('Daily Tracking'!K717)&gt;=Settings!$B$15,1,0))</f>
        <v/>
      </c>
      <c r="H717" s="231" t="str">
        <f ca="1">IF(B717="","",AVERAGE(B717:G717))</f>
        <v/>
      </c>
      <c r="I717" s="136" t="str">
        <f ca="1">IF(B717="","",IF(B717=1,N(I716)+1,0))</f>
        <v/>
      </c>
    </row>
    <row r="718" spans="1:9" ht="18" customHeight="1" x14ac:dyDescent="0.3">
      <c r="A718" s="132">
        <f>'Daily Tracking'!A718</f>
        <v>46990</v>
      </c>
      <c r="B718" s="230" t="str">
        <f ca="1">IF(A718&gt;TODAY(),"",IF('Daily Tracking'!B718&lt;&gt;"",1,0))</f>
        <v/>
      </c>
      <c r="C718" s="230" t="str">
        <f ca="1">IF(A718&gt;TODAY(),"",IF('Daily Tracking'!E718&lt;&gt;"",1,0))</f>
        <v/>
      </c>
      <c r="D718" s="230" t="str">
        <f ca="1">IF(A718&gt;TODAY(),"",IF(N('Daily Tracking'!G718)&gt;=Settings!$B$13,1,0))</f>
        <v/>
      </c>
      <c r="E718" s="230" t="str">
        <f ca="1">IF(A718&gt;TODAY(),"",IF(N('Daily Tracking'!H718)&gt;=Settings!$B$14,1,0))</f>
        <v/>
      </c>
      <c r="F718" s="230" t="str">
        <f ca="1">IF(A718&gt;TODAY(),"",IF(OR(N('Daily Tracking'!I718)&gt;0,'Daily Tracking'!J718="Yes"),1,0))</f>
        <v/>
      </c>
      <c r="G718" s="230" t="str">
        <f ca="1">IF(A718&gt;TODAY(),"",IF(N('Daily Tracking'!K718)&gt;=Settings!$B$15,1,0))</f>
        <v/>
      </c>
      <c r="H718" s="231" t="str">
        <f ca="1">IF(B718="","",AVERAGE(B718:G718))</f>
        <v/>
      </c>
      <c r="I718" s="136" t="str">
        <f ca="1">IF(B718="","",IF(B718=1,N(I717)+1,0))</f>
        <v/>
      </c>
    </row>
    <row r="719" spans="1:9" ht="18" customHeight="1" x14ac:dyDescent="0.3">
      <c r="A719" s="132">
        <f>'Daily Tracking'!A719</f>
        <v>46991</v>
      </c>
      <c r="B719" s="230" t="str">
        <f ca="1">IF(A719&gt;TODAY(),"",IF('Daily Tracking'!B719&lt;&gt;"",1,0))</f>
        <v/>
      </c>
      <c r="C719" s="230" t="str">
        <f ca="1">IF(A719&gt;TODAY(),"",IF('Daily Tracking'!E719&lt;&gt;"",1,0))</f>
        <v/>
      </c>
      <c r="D719" s="230" t="str">
        <f ca="1">IF(A719&gt;TODAY(),"",IF(N('Daily Tracking'!G719)&gt;=Settings!$B$13,1,0))</f>
        <v/>
      </c>
      <c r="E719" s="230" t="str">
        <f ca="1">IF(A719&gt;TODAY(),"",IF(N('Daily Tracking'!H719)&gt;=Settings!$B$14,1,0))</f>
        <v/>
      </c>
      <c r="F719" s="230" t="str">
        <f ca="1">IF(A719&gt;TODAY(),"",IF(OR(N('Daily Tracking'!I719)&gt;0,'Daily Tracking'!J719="Yes"),1,0))</f>
        <v/>
      </c>
      <c r="G719" s="230" t="str">
        <f ca="1">IF(A719&gt;TODAY(),"",IF(N('Daily Tracking'!K719)&gt;=Settings!$B$15,1,0))</f>
        <v/>
      </c>
      <c r="H719" s="231" t="str">
        <f ca="1">IF(B719="","",AVERAGE(B719:G719))</f>
        <v/>
      </c>
      <c r="I719" s="136" t="str">
        <f ca="1">IF(B719="","",IF(B719=1,N(I718)+1,0))</f>
        <v/>
      </c>
    </row>
    <row r="720" spans="1:9" ht="18" customHeight="1" x14ac:dyDescent="0.3">
      <c r="A720" s="132">
        <f>'Daily Tracking'!A720</f>
        <v>46992</v>
      </c>
      <c r="B720" s="230" t="str">
        <f ca="1">IF(A720&gt;TODAY(),"",IF('Daily Tracking'!B720&lt;&gt;"",1,0))</f>
        <v/>
      </c>
      <c r="C720" s="230" t="str">
        <f ca="1">IF(A720&gt;TODAY(),"",IF('Daily Tracking'!E720&lt;&gt;"",1,0))</f>
        <v/>
      </c>
      <c r="D720" s="230" t="str">
        <f ca="1">IF(A720&gt;TODAY(),"",IF(N('Daily Tracking'!G720)&gt;=Settings!$B$13,1,0))</f>
        <v/>
      </c>
      <c r="E720" s="230" t="str">
        <f ca="1">IF(A720&gt;TODAY(),"",IF(N('Daily Tracking'!H720)&gt;=Settings!$B$14,1,0))</f>
        <v/>
      </c>
      <c r="F720" s="230" t="str">
        <f ca="1">IF(A720&gt;TODAY(),"",IF(OR(N('Daily Tracking'!I720)&gt;0,'Daily Tracking'!J720="Yes"),1,0))</f>
        <v/>
      </c>
      <c r="G720" s="230" t="str">
        <f ca="1">IF(A720&gt;TODAY(),"",IF(N('Daily Tracking'!K720)&gt;=Settings!$B$15,1,0))</f>
        <v/>
      </c>
      <c r="H720" s="231" t="str">
        <f ca="1">IF(B720="","",AVERAGE(B720:G720))</f>
        <v/>
      </c>
      <c r="I720" s="136" t="str">
        <f ca="1">IF(B720="","",IF(B720=1,N(I719)+1,0))</f>
        <v/>
      </c>
    </row>
    <row r="721" spans="1:9" ht="18" customHeight="1" x14ac:dyDescent="0.3">
      <c r="A721" s="132">
        <f>'Daily Tracking'!A721</f>
        <v>46993</v>
      </c>
      <c r="B721" s="230" t="str">
        <f ca="1">IF(A721&gt;TODAY(),"",IF('Daily Tracking'!B721&lt;&gt;"",1,0))</f>
        <v/>
      </c>
      <c r="C721" s="230" t="str">
        <f ca="1">IF(A721&gt;TODAY(),"",IF('Daily Tracking'!E721&lt;&gt;"",1,0))</f>
        <v/>
      </c>
      <c r="D721" s="230" t="str">
        <f ca="1">IF(A721&gt;TODAY(),"",IF(N('Daily Tracking'!G721)&gt;=Settings!$B$13,1,0))</f>
        <v/>
      </c>
      <c r="E721" s="230" t="str">
        <f ca="1">IF(A721&gt;TODAY(),"",IF(N('Daily Tracking'!H721)&gt;=Settings!$B$14,1,0))</f>
        <v/>
      </c>
      <c r="F721" s="230" t="str">
        <f ca="1">IF(A721&gt;TODAY(),"",IF(OR(N('Daily Tracking'!I721)&gt;0,'Daily Tracking'!J721="Yes"),1,0))</f>
        <v/>
      </c>
      <c r="G721" s="230" t="str">
        <f ca="1">IF(A721&gt;TODAY(),"",IF(N('Daily Tracking'!K721)&gt;=Settings!$B$15,1,0))</f>
        <v/>
      </c>
      <c r="H721" s="231" t="str">
        <f ca="1">IF(B721="","",AVERAGE(B721:G721))</f>
        <v/>
      </c>
      <c r="I721" s="136" t="str">
        <f ca="1">IF(B721="","",IF(B721=1,N(I720)+1,0))</f>
        <v/>
      </c>
    </row>
    <row r="722" spans="1:9" ht="18" customHeight="1" x14ac:dyDescent="0.3">
      <c r="A722" s="132">
        <f>'Daily Tracking'!A722</f>
        <v>46994</v>
      </c>
      <c r="B722" s="230" t="str">
        <f ca="1">IF(A722&gt;TODAY(),"",IF('Daily Tracking'!B722&lt;&gt;"",1,0))</f>
        <v/>
      </c>
      <c r="C722" s="230" t="str">
        <f ca="1">IF(A722&gt;TODAY(),"",IF('Daily Tracking'!E722&lt;&gt;"",1,0))</f>
        <v/>
      </c>
      <c r="D722" s="230" t="str">
        <f ca="1">IF(A722&gt;TODAY(),"",IF(N('Daily Tracking'!G722)&gt;=Settings!$B$13,1,0))</f>
        <v/>
      </c>
      <c r="E722" s="230" t="str">
        <f ca="1">IF(A722&gt;TODAY(),"",IF(N('Daily Tracking'!H722)&gt;=Settings!$B$14,1,0))</f>
        <v/>
      </c>
      <c r="F722" s="230" t="str">
        <f ca="1">IF(A722&gt;TODAY(),"",IF(OR(N('Daily Tracking'!I722)&gt;0,'Daily Tracking'!J722="Yes"),1,0))</f>
        <v/>
      </c>
      <c r="G722" s="230" t="str">
        <f ca="1">IF(A722&gt;TODAY(),"",IF(N('Daily Tracking'!K722)&gt;=Settings!$B$15,1,0))</f>
        <v/>
      </c>
      <c r="H722" s="231" t="str">
        <f ca="1">IF(B722="","",AVERAGE(B722:G722))</f>
        <v/>
      </c>
      <c r="I722" s="136" t="str">
        <f ca="1">IF(B722="","",IF(B722=1,N(I721)+1,0))</f>
        <v/>
      </c>
    </row>
    <row r="723" spans="1:9" ht="18" customHeight="1" x14ac:dyDescent="0.3">
      <c r="A723" s="132">
        <f>'Daily Tracking'!A723</f>
        <v>46995</v>
      </c>
      <c r="B723" s="230" t="str">
        <f ca="1">IF(A723&gt;TODAY(),"",IF('Daily Tracking'!B723&lt;&gt;"",1,0))</f>
        <v/>
      </c>
      <c r="C723" s="230" t="str">
        <f ca="1">IF(A723&gt;TODAY(),"",IF('Daily Tracking'!E723&lt;&gt;"",1,0))</f>
        <v/>
      </c>
      <c r="D723" s="230" t="str">
        <f ca="1">IF(A723&gt;TODAY(),"",IF(N('Daily Tracking'!G723)&gt;=Settings!$B$13,1,0))</f>
        <v/>
      </c>
      <c r="E723" s="230" t="str">
        <f ca="1">IF(A723&gt;TODAY(),"",IF(N('Daily Tracking'!H723)&gt;=Settings!$B$14,1,0))</f>
        <v/>
      </c>
      <c r="F723" s="230" t="str">
        <f ca="1">IF(A723&gt;TODAY(),"",IF(OR(N('Daily Tracking'!I723)&gt;0,'Daily Tracking'!J723="Yes"),1,0))</f>
        <v/>
      </c>
      <c r="G723" s="230" t="str">
        <f ca="1">IF(A723&gt;TODAY(),"",IF(N('Daily Tracking'!K723)&gt;=Settings!$B$15,1,0))</f>
        <v/>
      </c>
      <c r="H723" s="231" t="str">
        <f ca="1">IF(B723="","",AVERAGE(B723:G723))</f>
        <v/>
      </c>
      <c r="I723" s="136" t="str">
        <f ca="1">IF(B723="","",IF(B723=1,N(I722)+1,0))</f>
        <v/>
      </c>
    </row>
    <row r="724" spans="1:9" ht="18" customHeight="1" x14ac:dyDescent="0.3">
      <c r="A724" s="132">
        <f>'Daily Tracking'!A724</f>
        <v>46996</v>
      </c>
      <c r="B724" s="230" t="str">
        <f ca="1">IF(A724&gt;TODAY(),"",IF('Daily Tracking'!B724&lt;&gt;"",1,0))</f>
        <v/>
      </c>
      <c r="C724" s="230" t="str">
        <f ca="1">IF(A724&gt;TODAY(),"",IF('Daily Tracking'!E724&lt;&gt;"",1,0))</f>
        <v/>
      </c>
      <c r="D724" s="230" t="str">
        <f ca="1">IF(A724&gt;TODAY(),"",IF(N('Daily Tracking'!G724)&gt;=Settings!$B$13,1,0))</f>
        <v/>
      </c>
      <c r="E724" s="230" t="str">
        <f ca="1">IF(A724&gt;TODAY(),"",IF(N('Daily Tracking'!H724)&gt;=Settings!$B$14,1,0))</f>
        <v/>
      </c>
      <c r="F724" s="230" t="str">
        <f ca="1">IF(A724&gt;TODAY(),"",IF(OR(N('Daily Tracking'!I724)&gt;0,'Daily Tracking'!J724="Yes"),1,0))</f>
        <v/>
      </c>
      <c r="G724" s="230" t="str">
        <f ca="1">IF(A724&gt;TODAY(),"",IF(N('Daily Tracking'!K724)&gt;=Settings!$B$15,1,0))</f>
        <v/>
      </c>
      <c r="H724" s="231" t="str">
        <f ca="1">IF(B724="","",AVERAGE(B724:G724))</f>
        <v/>
      </c>
      <c r="I724" s="136" t="str">
        <f ca="1">IF(B724="","",IF(B724=1,N(I723)+1,0))</f>
        <v/>
      </c>
    </row>
    <row r="725" spans="1:9" ht="18" customHeight="1" x14ac:dyDescent="0.3">
      <c r="A725" s="132">
        <f>'Daily Tracking'!A725</f>
        <v>46997</v>
      </c>
      <c r="B725" s="230" t="str">
        <f ca="1">IF(A725&gt;TODAY(),"",IF('Daily Tracking'!B725&lt;&gt;"",1,0))</f>
        <v/>
      </c>
      <c r="C725" s="230" t="str">
        <f ca="1">IF(A725&gt;TODAY(),"",IF('Daily Tracking'!E725&lt;&gt;"",1,0))</f>
        <v/>
      </c>
      <c r="D725" s="230" t="str">
        <f ca="1">IF(A725&gt;TODAY(),"",IF(N('Daily Tracking'!G725)&gt;=Settings!$B$13,1,0))</f>
        <v/>
      </c>
      <c r="E725" s="230" t="str">
        <f ca="1">IF(A725&gt;TODAY(),"",IF(N('Daily Tracking'!H725)&gt;=Settings!$B$14,1,0))</f>
        <v/>
      </c>
      <c r="F725" s="230" t="str">
        <f ca="1">IF(A725&gt;TODAY(),"",IF(OR(N('Daily Tracking'!I725)&gt;0,'Daily Tracking'!J725="Yes"),1,0))</f>
        <v/>
      </c>
      <c r="G725" s="230" t="str">
        <f ca="1">IF(A725&gt;TODAY(),"",IF(N('Daily Tracking'!K725)&gt;=Settings!$B$15,1,0))</f>
        <v/>
      </c>
      <c r="H725" s="231" t="str">
        <f ca="1">IF(B725="","",AVERAGE(B725:G725))</f>
        <v/>
      </c>
      <c r="I725" s="136" t="str">
        <f ca="1">IF(B725="","",IF(B725=1,N(I724)+1,0))</f>
        <v/>
      </c>
    </row>
    <row r="726" spans="1:9" ht="18" customHeight="1" x14ac:dyDescent="0.3">
      <c r="A726" s="132">
        <f>'Daily Tracking'!A726</f>
        <v>46998</v>
      </c>
      <c r="B726" s="230" t="str">
        <f ca="1">IF(A726&gt;TODAY(),"",IF('Daily Tracking'!B726&lt;&gt;"",1,0))</f>
        <v/>
      </c>
      <c r="C726" s="230" t="str">
        <f ca="1">IF(A726&gt;TODAY(),"",IF('Daily Tracking'!E726&lt;&gt;"",1,0))</f>
        <v/>
      </c>
      <c r="D726" s="230" t="str">
        <f ca="1">IF(A726&gt;TODAY(),"",IF(N('Daily Tracking'!G726)&gt;=Settings!$B$13,1,0))</f>
        <v/>
      </c>
      <c r="E726" s="230" t="str">
        <f ca="1">IF(A726&gt;TODAY(),"",IF(N('Daily Tracking'!H726)&gt;=Settings!$B$14,1,0))</f>
        <v/>
      </c>
      <c r="F726" s="230" t="str">
        <f ca="1">IF(A726&gt;TODAY(),"",IF(OR(N('Daily Tracking'!I726)&gt;0,'Daily Tracking'!J726="Yes"),1,0))</f>
        <v/>
      </c>
      <c r="G726" s="230" t="str">
        <f ca="1">IF(A726&gt;TODAY(),"",IF(N('Daily Tracking'!K726)&gt;=Settings!$B$15,1,0))</f>
        <v/>
      </c>
      <c r="H726" s="231" t="str">
        <f ca="1">IF(B726="","",AVERAGE(B726:G726))</f>
        <v/>
      </c>
      <c r="I726" s="136" t="str">
        <f ca="1">IF(B726="","",IF(B726=1,N(I725)+1,0))</f>
        <v/>
      </c>
    </row>
    <row r="727" spans="1:9" ht="18" customHeight="1" x14ac:dyDescent="0.3">
      <c r="A727" s="132">
        <f>'Daily Tracking'!A727</f>
        <v>46999</v>
      </c>
      <c r="B727" s="230" t="str">
        <f ca="1">IF(A727&gt;TODAY(),"",IF('Daily Tracking'!B727&lt;&gt;"",1,0))</f>
        <v/>
      </c>
      <c r="C727" s="230" t="str">
        <f ca="1">IF(A727&gt;TODAY(),"",IF('Daily Tracking'!E727&lt;&gt;"",1,0))</f>
        <v/>
      </c>
      <c r="D727" s="230" t="str">
        <f ca="1">IF(A727&gt;TODAY(),"",IF(N('Daily Tracking'!G727)&gt;=Settings!$B$13,1,0))</f>
        <v/>
      </c>
      <c r="E727" s="230" t="str">
        <f ca="1">IF(A727&gt;TODAY(),"",IF(N('Daily Tracking'!H727)&gt;=Settings!$B$14,1,0))</f>
        <v/>
      </c>
      <c r="F727" s="230" t="str">
        <f ca="1">IF(A727&gt;TODAY(),"",IF(OR(N('Daily Tracking'!I727)&gt;0,'Daily Tracking'!J727="Yes"),1,0))</f>
        <v/>
      </c>
      <c r="G727" s="230" t="str">
        <f ca="1">IF(A727&gt;TODAY(),"",IF(N('Daily Tracking'!K727)&gt;=Settings!$B$15,1,0))</f>
        <v/>
      </c>
      <c r="H727" s="231" t="str">
        <f ca="1">IF(B727="","",AVERAGE(B727:G727))</f>
        <v/>
      </c>
      <c r="I727" s="136" t="str">
        <f ca="1">IF(B727="","",IF(B727=1,N(I726)+1,0))</f>
        <v/>
      </c>
    </row>
    <row r="728" spans="1:9" ht="18" customHeight="1" x14ac:dyDescent="0.3">
      <c r="A728" s="132">
        <f>'Daily Tracking'!A728</f>
        <v>47000</v>
      </c>
      <c r="B728" s="230" t="str">
        <f ca="1">IF(A728&gt;TODAY(),"",IF('Daily Tracking'!B728&lt;&gt;"",1,0))</f>
        <v/>
      </c>
      <c r="C728" s="230" t="str">
        <f ca="1">IF(A728&gt;TODAY(),"",IF('Daily Tracking'!E728&lt;&gt;"",1,0))</f>
        <v/>
      </c>
      <c r="D728" s="230" t="str">
        <f ca="1">IF(A728&gt;TODAY(),"",IF(N('Daily Tracking'!G728)&gt;=Settings!$B$13,1,0))</f>
        <v/>
      </c>
      <c r="E728" s="230" t="str">
        <f ca="1">IF(A728&gt;TODAY(),"",IF(N('Daily Tracking'!H728)&gt;=Settings!$B$14,1,0))</f>
        <v/>
      </c>
      <c r="F728" s="230" t="str">
        <f ca="1">IF(A728&gt;TODAY(),"",IF(OR(N('Daily Tracking'!I728)&gt;0,'Daily Tracking'!J728="Yes"),1,0))</f>
        <v/>
      </c>
      <c r="G728" s="230" t="str">
        <f ca="1">IF(A728&gt;TODAY(),"",IF(N('Daily Tracking'!K728)&gt;=Settings!$B$15,1,0))</f>
        <v/>
      </c>
      <c r="H728" s="231" t="str">
        <f ca="1">IF(B728="","",AVERAGE(B728:G728))</f>
        <v/>
      </c>
      <c r="I728" s="136" t="str">
        <f ca="1">IF(B728="","",IF(B728=1,N(I727)+1,0))</f>
        <v/>
      </c>
    </row>
    <row r="729" spans="1:9" ht="18" customHeight="1" x14ac:dyDescent="0.3">
      <c r="A729" s="132">
        <f>'Daily Tracking'!A729</f>
        <v>47001</v>
      </c>
      <c r="B729" s="230" t="str">
        <f ca="1">IF(A729&gt;TODAY(),"",IF('Daily Tracking'!B729&lt;&gt;"",1,0))</f>
        <v/>
      </c>
      <c r="C729" s="230" t="str">
        <f ca="1">IF(A729&gt;TODAY(),"",IF('Daily Tracking'!E729&lt;&gt;"",1,0))</f>
        <v/>
      </c>
      <c r="D729" s="230" t="str">
        <f ca="1">IF(A729&gt;TODAY(),"",IF(N('Daily Tracking'!G729)&gt;=Settings!$B$13,1,0))</f>
        <v/>
      </c>
      <c r="E729" s="230" t="str">
        <f ca="1">IF(A729&gt;TODAY(),"",IF(N('Daily Tracking'!H729)&gt;=Settings!$B$14,1,0))</f>
        <v/>
      </c>
      <c r="F729" s="230" t="str">
        <f ca="1">IF(A729&gt;TODAY(),"",IF(OR(N('Daily Tracking'!I729)&gt;0,'Daily Tracking'!J729="Yes"),1,0))</f>
        <v/>
      </c>
      <c r="G729" s="230" t="str">
        <f ca="1">IF(A729&gt;TODAY(),"",IF(N('Daily Tracking'!K729)&gt;=Settings!$B$15,1,0))</f>
        <v/>
      </c>
      <c r="H729" s="231" t="str">
        <f ca="1">IF(B729="","",AVERAGE(B729:G729))</f>
        <v/>
      </c>
      <c r="I729" s="136" t="str">
        <f ca="1">IF(B729="","",IF(B729=1,N(I728)+1,0))</f>
        <v/>
      </c>
    </row>
    <row r="730" spans="1:9" ht="18" customHeight="1" x14ac:dyDescent="0.3">
      <c r="A730" s="132">
        <f>'Daily Tracking'!A730</f>
        <v>47002</v>
      </c>
      <c r="B730" s="230" t="str">
        <f ca="1">IF(A730&gt;TODAY(),"",IF('Daily Tracking'!B730&lt;&gt;"",1,0))</f>
        <v/>
      </c>
      <c r="C730" s="230" t="str">
        <f ca="1">IF(A730&gt;TODAY(),"",IF('Daily Tracking'!E730&lt;&gt;"",1,0))</f>
        <v/>
      </c>
      <c r="D730" s="230" t="str">
        <f ca="1">IF(A730&gt;TODAY(),"",IF(N('Daily Tracking'!G730)&gt;=Settings!$B$13,1,0))</f>
        <v/>
      </c>
      <c r="E730" s="230" t="str">
        <f ca="1">IF(A730&gt;TODAY(),"",IF(N('Daily Tracking'!H730)&gt;=Settings!$B$14,1,0))</f>
        <v/>
      </c>
      <c r="F730" s="230" t="str">
        <f ca="1">IF(A730&gt;TODAY(),"",IF(OR(N('Daily Tracking'!I730)&gt;0,'Daily Tracking'!J730="Yes"),1,0))</f>
        <v/>
      </c>
      <c r="G730" s="230" t="str">
        <f ca="1">IF(A730&gt;TODAY(),"",IF(N('Daily Tracking'!K730)&gt;=Settings!$B$15,1,0))</f>
        <v/>
      </c>
      <c r="H730" s="231" t="str">
        <f ca="1">IF(B730="","",AVERAGE(B730:G730))</f>
        <v/>
      </c>
      <c r="I730" s="136" t="str">
        <f ca="1">IF(B730="","",IF(B730=1,N(I729)+1,0))</f>
        <v/>
      </c>
    </row>
    <row r="731" spans="1:9" ht="18" customHeight="1" x14ac:dyDescent="0.3">
      <c r="A731" s="132">
        <f>'Daily Tracking'!A731</f>
        <v>47003</v>
      </c>
      <c r="B731" s="230" t="str">
        <f ca="1">IF(A731&gt;TODAY(),"",IF('Daily Tracking'!B731&lt;&gt;"",1,0))</f>
        <v/>
      </c>
      <c r="C731" s="230" t="str">
        <f ca="1">IF(A731&gt;TODAY(),"",IF('Daily Tracking'!E731&lt;&gt;"",1,0))</f>
        <v/>
      </c>
      <c r="D731" s="230" t="str">
        <f ca="1">IF(A731&gt;TODAY(),"",IF(N('Daily Tracking'!G731)&gt;=Settings!$B$13,1,0))</f>
        <v/>
      </c>
      <c r="E731" s="230" t="str">
        <f ca="1">IF(A731&gt;TODAY(),"",IF(N('Daily Tracking'!H731)&gt;=Settings!$B$14,1,0))</f>
        <v/>
      </c>
      <c r="F731" s="230" t="str">
        <f ca="1">IF(A731&gt;TODAY(),"",IF(OR(N('Daily Tracking'!I731)&gt;0,'Daily Tracking'!J731="Yes"),1,0))</f>
        <v/>
      </c>
      <c r="G731" s="230" t="str">
        <f ca="1">IF(A731&gt;TODAY(),"",IF(N('Daily Tracking'!K731)&gt;=Settings!$B$15,1,0))</f>
        <v/>
      </c>
      <c r="H731" s="231" t="str">
        <f ca="1">IF(B731="","",AVERAGE(B731:G731))</f>
        <v/>
      </c>
      <c r="I731" s="136" t="str">
        <f ca="1">IF(B731="","",IF(B731=1,N(I730)+1,0))</f>
        <v/>
      </c>
    </row>
    <row r="732" spans="1:9" ht="18" customHeight="1" x14ac:dyDescent="0.3">
      <c r="A732" s="132">
        <f>'Daily Tracking'!A732</f>
        <v>47004</v>
      </c>
      <c r="B732" s="230" t="str">
        <f ca="1">IF(A732&gt;TODAY(),"",IF('Daily Tracking'!B732&lt;&gt;"",1,0))</f>
        <v/>
      </c>
      <c r="C732" s="230" t="str">
        <f ca="1">IF(A732&gt;TODAY(),"",IF('Daily Tracking'!E732&lt;&gt;"",1,0))</f>
        <v/>
      </c>
      <c r="D732" s="230" t="str">
        <f ca="1">IF(A732&gt;TODAY(),"",IF(N('Daily Tracking'!G732)&gt;=Settings!$B$13,1,0))</f>
        <v/>
      </c>
      <c r="E732" s="230" t="str">
        <f ca="1">IF(A732&gt;TODAY(),"",IF(N('Daily Tracking'!H732)&gt;=Settings!$B$14,1,0))</f>
        <v/>
      </c>
      <c r="F732" s="230" t="str">
        <f ca="1">IF(A732&gt;TODAY(),"",IF(OR(N('Daily Tracking'!I732)&gt;0,'Daily Tracking'!J732="Yes"),1,0))</f>
        <v/>
      </c>
      <c r="G732" s="230" t="str">
        <f ca="1">IF(A732&gt;TODAY(),"",IF(N('Daily Tracking'!K732)&gt;=Settings!$B$15,1,0))</f>
        <v/>
      </c>
      <c r="H732" s="231" t="str">
        <f ca="1">IF(B732="","",AVERAGE(B732:G732))</f>
        <v/>
      </c>
      <c r="I732" s="136" t="str">
        <f ca="1">IF(B732="","",IF(B732=1,N(I731)+1,0))</f>
        <v/>
      </c>
    </row>
    <row r="733" spans="1:9" ht="18" customHeight="1" x14ac:dyDescent="0.3">
      <c r="A733" s="132">
        <f>'Daily Tracking'!A733</f>
        <v>47005</v>
      </c>
      <c r="B733" s="230" t="str">
        <f ca="1">IF(A733&gt;TODAY(),"",IF('Daily Tracking'!B733&lt;&gt;"",1,0))</f>
        <v/>
      </c>
      <c r="C733" s="230" t="str">
        <f ca="1">IF(A733&gt;TODAY(),"",IF('Daily Tracking'!E733&lt;&gt;"",1,0))</f>
        <v/>
      </c>
      <c r="D733" s="230" t="str">
        <f ca="1">IF(A733&gt;TODAY(),"",IF(N('Daily Tracking'!G733)&gt;=Settings!$B$13,1,0))</f>
        <v/>
      </c>
      <c r="E733" s="230" t="str">
        <f ca="1">IF(A733&gt;TODAY(),"",IF(N('Daily Tracking'!H733)&gt;=Settings!$B$14,1,0))</f>
        <v/>
      </c>
      <c r="F733" s="230" t="str">
        <f ca="1">IF(A733&gt;TODAY(),"",IF(OR(N('Daily Tracking'!I733)&gt;0,'Daily Tracking'!J733="Yes"),1,0))</f>
        <v/>
      </c>
      <c r="G733" s="230" t="str">
        <f ca="1">IF(A733&gt;TODAY(),"",IF(N('Daily Tracking'!K733)&gt;=Settings!$B$15,1,0))</f>
        <v/>
      </c>
      <c r="H733" s="231" t="str">
        <f ca="1">IF(B733="","",AVERAGE(B733:G733))</f>
        <v/>
      </c>
      <c r="I733" s="136" t="str">
        <f ca="1">IF(B733="","",IF(B733=1,N(I732)+1,0))</f>
        <v/>
      </c>
    </row>
    <row r="734" spans="1:9" ht="18" customHeight="1" x14ac:dyDescent="0.3">
      <c r="A734" s="132">
        <f>'Daily Tracking'!A734</f>
        <v>47006</v>
      </c>
      <c r="B734" s="230" t="str">
        <f ca="1">IF(A734&gt;TODAY(),"",IF('Daily Tracking'!B734&lt;&gt;"",1,0))</f>
        <v/>
      </c>
      <c r="C734" s="230" t="str">
        <f ca="1">IF(A734&gt;TODAY(),"",IF('Daily Tracking'!E734&lt;&gt;"",1,0))</f>
        <v/>
      </c>
      <c r="D734" s="230" t="str">
        <f ca="1">IF(A734&gt;TODAY(),"",IF(N('Daily Tracking'!G734)&gt;=Settings!$B$13,1,0))</f>
        <v/>
      </c>
      <c r="E734" s="230" t="str">
        <f ca="1">IF(A734&gt;TODAY(),"",IF(N('Daily Tracking'!H734)&gt;=Settings!$B$14,1,0))</f>
        <v/>
      </c>
      <c r="F734" s="230" t="str">
        <f ca="1">IF(A734&gt;TODAY(),"",IF(OR(N('Daily Tracking'!I734)&gt;0,'Daily Tracking'!J734="Yes"),1,0))</f>
        <v/>
      </c>
      <c r="G734" s="230" t="str">
        <f ca="1">IF(A734&gt;TODAY(),"",IF(N('Daily Tracking'!K734)&gt;=Settings!$B$15,1,0))</f>
        <v/>
      </c>
      <c r="H734" s="231" t="str">
        <f ca="1">IF(B734="","",AVERAGE(B734:G734))</f>
        <v/>
      </c>
      <c r="I734" s="136" t="str">
        <f ca="1">IF(B734="","",IF(B734=1,N(I733)+1,0))</f>
        <v/>
      </c>
    </row>
    <row r="735" spans="1:9" ht="18" customHeight="1" x14ac:dyDescent="0.3">
      <c r="A735" s="132">
        <f>'Daily Tracking'!A735</f>
        <v>47007</v>
      </c>
      <c r="B735" s="230" t="str">
        <f ca="1">IF(A735&gt;TODAY(),"",IF('Daily Tracking'!B735&lt;&gt;"",1,0))</f>
        <v/>
      </c>
      <c r="C735" s="230" t="str">
        <f ca="1">IF(A735&gt;TODAY(),"",IF('Daily Tracking'!E735&lt;&gt;"",1,0))</f>
        <v/>
      </c>
      <c r="D735" s="230" t="str">
        <f ca="1">IF(A735&gt;TODAY(),"",IF(N('Daily Tracking'!G735)&gt;=Settings!$B$13,1,0))</f>
        <v/>
      </c>
      <c r="E735" s="230" t="str">
        <f ca="1">IF(A735&gt;TODAY(),"",IF(N('Daily Tracking'!H735)&gt;=Settings!$B$14,1,0))</f>
        <v/>
      </c>
      <c r="F735" s="230" t="str">
        <f ca="1">IF(A735&gt;TODAY(),"",IF(OR(N('Daily Tracking'!I735)&gt;0,'Daily Tracking'!J735="Yes"),1,0))</f>
        <v/>
      </c>
      <c r="G735" s="230" t="str">
        <f ca="1">IF(A735&gt;TODAY(),"",IF(N('Daily Tracking'!K735)&gt;=Settings!$B$15,1,0))</f>
        <v/>
      </c>
      <c r="H735" s="231" t="str">
        <f ca="1">IF(B735="","",AVERAGE(B735:G735))</f>
        <v/>
      </c>
      <c r="I735" s="136" t="str">
        <f ca="1">IF(B735="","",IF(B735=1,N(I734)+1,0))</f>
        <v/>
      </c>
    </row>
  </sheetData>
  <sheetProtection sheet="1" objects="1" scenarios="1" sort="0" autoFilter="0"/>
  <mergeCells count="12">
    <mergeCell ref="A1:I1"/>
    <mergeCell ref="A2:I2"/>
    <mergeCell ref="K5:M5"/>
    <mergeCell ref="K6:M7"/>
    <mergeCell ref="K9:M9"/>
    <mergeCell ref="K21:M21"/>
    <mergeCell ref="K22:M23"/>
    <mergeCell ref="K10:M11"/>
    <mergeCell ref="K13:M13"/>
    <mergeCell ref="K14:M15"/>
    <mergeCell ref="K17:M17"/>
    <mergeCell ref="K18:M19"/>
  </mergeCells>
  <conditionalFormatting sqref="B6:G371">
    <cfRule type="cellIs" dxfId="8" priority="7" operator="equal">
      <formula>1</formula>
    </cfRule>
  </conditionalFormatting>
  <conditionalFormatting sqref="B6:G371">
    <cfRule type="cellIs" dxfId="7" priority="8" operator="equal">
      <formula>0</formula>
    </cfRule>
  </conditionalFormatting>
  <conditionalFormatting sqref="H6:H735">
    <cfRule type="dataBar" priority="9">
      <dataBar>
        <cfvo type="num" val="0"/>
        <cfvo type="num" val="1"/>
        <color rgb="FF14B8A6"/>
      </dataBar>
      <extLst>
        <ext xmlns:x14="http://schemas.microsoft.com/office/spreadsheetml/2009/9/main" uri="{B025F937-C7B1-47D3-B67F-A62EFF666E3E}">
          <x14:id>{9F062CDC-E0B3-4E9F-8310-A194FAE83845}</x14:id>
        </ext>
      </extLst>
    </cfRule>
  </conditionalFormatting>
  <conditionalFormatting sqref="B372:G735">
    <cfRule type="cellIs" dxfId="6" priority="1" operator="equal">
      <formula>1</formula>
    </cfRule>
  </conditionalFormatting>
  <conditionalFormatting sqref="B372:G735">
    <cfRule type="cellIs" dxfId="5" priority="2" operator="equal">
      <formula>0</formula>
    </cfRule>
  </conditionalFormatting>
  <pageMargins left="0.75" right="0.75" top="1" bottom="1" header="0.511811023622047" footer="0.511811023622047"/>
  <pageSetup paperSize="9" scale="92" fitToHeight="0" orientation="landscape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062CDC-E0B3-4E9F-8310-A194FAE83845}">
            <x14:dataBar minLength="0" maxLength="100" border="1" gradient="0" direction="leftToRight" negativeBarColorSameAsPositive="1" axisPosition="none">
              <x14:cfvo type="num">
                <xm:f>0</xm:f>
              </x14:cfvo>
              <x14:cfvo type="num">
                <xm:f>1</xm:f>
              </x14:cfvo>
              <x14:borderColor rgb="FF0E7490"/>
            </x14:dataBar>
          </x14:cfRule>
          <xm:sqref>H6:H735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E343-3BA2-4869-98C2-4DBEE9070CF9}">
  <sheetPr>
    <tabColor rgb="FF64748B"/>
  </sheetPr>
  <dimension ref="A1:F120"/>
  <sheetViews>
    <sheetView showGridLines="0" tabSelected="1" workbookViewId="0">
      <pane ySplit="3" topLeftCell="A105" activePane="bottomLeft" state="frozen"/>
      <selection pane="bottomLeft"/>
    </sheetView>
  </sheetViews>
  <sheetFormatPr defaultRowHeight="14.4" x14ac:dyDescent="0.3"/>
  <cols>
    <col min="1" max="1" width="3.33203125" customWidth="1"/>
    <col min="2" max="2" width="32.44140625" customWidth="1"/>
    <col min="3" max="3" width="15.77734375" customWidth="1"/>
    <col min="4" max="4" width="21.33203125" customWidth="1"/>
    <col min="5" max="5" width="87" customWidth="1"/>
    <col min="6" max="6" width="3.33203125" customWidth="1"/>
  </cols>
  <sheetData>
    <row r="1" spans="1:6" ht="34.049999999999997" customHeight="1" x14ac:dyDescent="0.4">
      <c r="A1" s="105"/>
      <c r="B1" s="147" t="s">
        <v>243</v>
      </c>
      <c r="C1" s="105"/>
      <c r="D1" s="105"/>
      <c r="E1" s="105"/>
      <c r="F1" s="105"/>
    </row>
    <row r="2" spans="1:6" ht="18" customHeight="1" x14ac:dyDescent="0.3">
      <c r="A2" s="105"/>
      <c r="B2" s="148" t="s">
        <v>244</v>
      </c>
      <c r="C2" s="105"/>
      <c r="D2" s="105"/>
      <c r="E2" s="105"/>
      <c r="F2" s="105"/>
    </row>
    <row r="3" spans="1:6" ht="10.050000000000001" customHeight="1" x14ac:dyDescent="0.3">
      <c r="A3" s="105"/>
      <c r="B3" s="105"/>
      <c r="C3" s="105"/>
      <c r="D3" s="105"/>
      <c r="E3" s="105"/>
      <c r="F3" s="105"/>
    </row>
    <row r="4" spans="1:6" x14ac:dyDescent="0.3">
      <c r="A4" s="3"/>
      <c r="B4" s="3"/>
      <c r="C4" s="3"/>
      <c r="D4" s="3"/>
      <c r="E4" s="3"/>
      <c r="F4" s="3"/>
    </row>
    <row r="5" spans="1:6" ht="24" customHeight="1" x14ac:dyDescent="0.3">
      <c r="A5" s="256"/>
      <c r="B5" s="256" t="s">
        <v>245</v>
      </c>
      <c r="C5" s="257"/>
      <c r="D5" s="257"/>
      <c r="E5" s="258"/>
      <c r="F5" s="256"/>
    </row>
    <row r="6" spans="1:6" ht="39.6" x14ac:dyDescent="0.3">
      <c r="A6" s="259"/>
      <c r="B6" s="260" t="s">
        <v>246</v>
      </c>
      <c r="C6" s="261"/>
      <c r="D6" s="261"/>
      <c r="E6" s="262" t="s">
        <v>247</v>
      </c>
      <c r="F6" s="259"/>
    </row>
    <row r="7" spans="1:6" ht="26.4" x14ac:dyDescent="0.3">
      <c r="A7" s="259"/>
      <c r="B7" s="260" t="s">
        <v>248</v>
      </c>
      <c r="C7" s="261"/>
      <c r="D7" s="261"/>
      <c r="E7" s="262" t="s">
        <v>249</v>
      </c>
      <c r="F7" s="259"/>
    </row>
    <row r="8" spans="1:6" ht="26.4" x14ac:dyDescent="0.3">
      <c r="A8" s="259"/>
      <c r="B8" s="260" t="s">
        <v>250</v>
      </c>
      <c r="C8" s="261"/>
      <c r="D8" s="261"/>
      <c r="E8" s="262" t="s">
        <v>251</v>
      </c>
      <c r="F8" s="259"/>
    </row>
    <row r="9" spans="1:6" x14ac:dyDescent="0.3">
      <c r="A9" s="259"/>
      <c r="B9" s="260" t="s">
        <v>252</v>
      </c>
      <c r="C9" s="261"/>
      <c r="D9" s="261"/>
      <c r="E9" s="262" t="s">
        <v>253</v>
      </c>
      <c r="F9" s="259"/>
    </row>
    <row r="10" spans="1:6" ht="39.6" x14ac:dyDescent="0.3">
      <c r="A10" s="259"/>
      <c r="B10" s="260" t="s">
        <v>254</v>
      </c>
      <c r="C10" s="261"/>
      <c r="D10" s="261"/>
      <c r="E10" s="262" t="s">
        <v>255</v>
      </c>
      <c r="F10" s="259"/>
    </row>
    <row r="11" spans="1:6" ht="26.4" x14ac:dyDescent="0.3">
      <c r="A11" s="259"/>
      <c r="B11" s="260" t="s">
        <v>256</v>
      </c>
      <c r="C11" s="261"/>
      <c r="D11" s="261"/>
      <c r="E11" s="262" t="s">
        <v>257</v>
      </c>
      <c r="F11" s="259"/>
    </row>
    <row r="12" spans="1:6" x14ac:dyDescent="0.3">
      <c r="A12" s="259"/>
      <c r="B12" s="260"/>
      <c r="C12" s="261"/>
      <c r="D12" s="261"/>
      <c r="E12" s="262"/>
      <c r="F12" s="259"/>
    </row>
    <row r="13" spans="1:6" ht="24" customHeight="1" x14ac:dyDescent="0.3">
      <c r="A13" s="256"/>
      <c r="B13" s="256" t="s">
        <v>258</v>
      </c>
      <c r="C13" s="257" t="s">
        <v>259</v>
      </c>
      <c r="D13" s="257" t="s">
        <v>260</v>
      </c>
      <c r="E13" s="258" t="s">
        <v>261</v>
      </c>
      <c r="F13" s="256"/>
    </row>
    <row r="14" spans="1:6" ht="52.8" x14ac:dyDescent="0.3">
      <c r="A14" s="259"/>
      <c r="B14" s="260" t="s">
        <v>262</v>
      </c>
      <c r="C14" s="261" t="s">
        <v>263</v>
      </c>
      <c r="D14" s="261" t="s">
        <v>173</v>
      </c>
      <c r="E14" s="262" t="s">
        <v>264</v>
      </c>
      <c r="F14" s="259"/>
    </row>
    <row r="15" spans="1:6" ht="39.6" x14ac:dyDescent="0.3">
      <c r="A15" s="259"/>
      <c r="B15" s="260" t="s">
        <v>265</v>
      </c>
      <c r="C15" s="261" t="s">
        <v>266</v>
      </c>
      <c r="D15" s="261" t="s">
        <v>180</v>
      </c>
      <c r="E15" s="262" t="s">
        <v>267</v>
      </c>
      <c r="F15" s="259"/>
    </row>
    <row r="16" spans="1:6" ht="52.8" x14ac:dyDescent="0.3">
      <c r="A16" s="259"/>
      <c r="B16" s="260" t="s">
        <v>268</v>
      </c>
      <c r="C16" s="261" t="s">
        <v>269</v>
      </c>
      <c r="D16" s="261" t="s">
        <v>182</v>
      </c>
      <c r="E16" s="262" t="s">
        <v>270</v>
      </c>
      <c r="F16" s="259"/>
    </row>
    <row r="17" spans="1:6" ht="39.6" x14ac:dyDescent="0.3">
      <c r="A17" s="259"/>
      <c r="B17" s="260" t="s">
        <v>271</v>
      </c>
      <c r="C17" s="261" t="s">
        <v>272</v>
      </c>
      <c r="D17" s="261" t="s">
        <v>184</v>
      </c>
      <c r="E17" s="262" t="s">
        <v>273</v>
      </c>
      <c r="F17" s="259"/>
    </row>
    <row r="18" spans="1:6" ht="26.4" x14ac:dyDescent="0.3">
      <c r="A18" s="259"/>
      <c r="B18" s="260" t="s">
        <v>274</v>
      </c>
      <c r="C18" s="261" t="s">
        <v>275</v>
      </c>
      <c r="D18" s="261" t="s">
        <v>175</v>
      </c>
      <c r="E18" s="262" t="s">
        <v>276</v>
      </c>
      <c r="F18" s="259"/>
    </row>
    <row r="19" spans="1:6" ht="39.6" x14ac:dyDescent="0.3">
      <c r="A19" s="259"/>
      <c r="B19" s="260" t="s">
        <v>188</v>
      </c>
      <c r="C19" s="261" t="s">
        <v>275</v>
      </c>
      <c r="D19" s="261" t="s">
        <v>188</v>
      </c>
      <c r="E19" s="262" t="s">
        <v>277</v>
      </c>
      <c r="F19" s="259"/>
    </row>
    <row r="20" spans="1:6" ht="39.6" x14ac:dyDescent="0.3">
      <c r="A20" s="259"/>
      <c r="B20" s="260" t="s">
        <v>278</v>
      </c>
      <c r="C20" s="261" t="s">
        <v>279</v>
      </c>
      <c r="D20" s="261" t="s">
        <v>177</v>
      </c>
      <c r="E20" s="262" t="s">
        <v>280</v>
      </c>
      <c r="F20" s="259"/>
    </row>
    <row r="21" spans="1:6" ht="39.6" x14ac:dyDescent="0.3">
      <c r="A21" s="259"/>
      <c r="B21" s="260" t="s">
        <v>281</v>
      </c>
      <c r="C21" s="261" t="s">
        <v>282</v>
      </c>
      <c r="D21" s="261" t="s">
        <v>171</v>
      </c>
      <c r="E21" s="262" t="s">
        <v>283</v>
      </c>
      <c r="F21" s="259"/>
    </row>
    <row r="22" spans="1:6" ht="26.4" x14ac:dyDescent="0.3">
      <c r="A22" s="259"/>
      <c r="B22" s="260" t="s">
        <v>284</v>
      </c>
      <c r="C22" s="261" t="s">
        <v>285</v>
      </c>
      <c r="D22" s="261" t="s">
        <v>286</v>
      </c>
      <c r="E22" s="262" t="s">
        <v>287</v>
      </c>
      <c r="F22" s="259"/>
    </row>
    <row r="23" spans="1:6" x14ac:dyDescent="0.3">
      <c r="A23" s="259"/>
      <c r="B23" s="260"/>
      <c r="C23" s="261"/>
      <c r="D23" s="261"/>
      <c r="E23" s="262"/>
      <c r="F23" s="259"/>
    </row>
    <row r="24" spans="1:6" ht="24" customHeight="1" x14ac:dyDescent="0.3">
      <c r="A24" s="256"/>
      <c r="B24" s="256" t="s">
        <v>288</v>
      </c>
      <c r="C24" s="257" t="s">
        <v>223</v>
      </c>
      <c r="D24" s="257" t="s">
        <v>289</v>
      </c>
      <c r="E24" s="258" t="s">
        <v>290</v>
      </c>
      <c r="F24" s="256"/>
    </row>
    <row r="25" spans="1:6" ht="19.95" customHeight="1" x14ac:dyDescent="0.3">
      <c r="A25" s="263"/>
      <c r="B25" s="263" t="s">
        <v>291</v>
      </c>
      <c r="C25" s="264"/>
      <c r="D25" s="264"/>
      <c r="E25" s="265"/>
      <c r="F25" s="263"/>
    </row>
    <row r="26" spans="1:6" x14ac:dyDescent="0.3">
      <c r="A26" s="259"/>
      <c r="B26" s="260" t="s">
        <v>292</v>
      </c>
      <c r="C26" s="261" t="s">
        <v>293</v>
      </c>
      <c r="D26" s="261" t="s">
        <v>294</v>
      </c>
      <c r="E26" s="262" t="s">
        <v>295</v>
      </c>
      <c r="F26" s="259"/>
    </row>
    <row r="27" spans="1:6" x14ac:dyDescent="0.3">
      <c r="A27" s="259"/>
      <c r="B27" s="260" t="s">
        <v>296</v>
      </c>
      <c r="C27" s="261" t="s">
        <v>297</v>
      </c>
      <c r="D27" s="261" t="s">
        <v>294</v>
      </c>
      <c r="E27" s="262" t="s">
        <v>298</v>
      </c>
      <c r="F27" s="259"/>
    </row>
    <row r="28" spans="1:6" ht="26.4" x14ac:dyDescent="0.3">
      <c r="A28" s="259"/>
      <c r="B28" s="260" t="s">
        <v>299</v>
      </c>
      <c r="C28" s="261" t="s">
        <v>297</v>
      </c>
      <c r="D28" s="261" t="s">
        <v>294</v>
      </c>
      <c r="E28" s="262" t="s">
        <v>300</v>
      </c>
      <c r="F28" s="259"/>
    </row>
    <row r="29" spans="1:6" x14ac:dyDescent="0.3">
      <c r="A29" s="259"/>
      <c r="B29" s="260" t="s">
        <v>301</v>
      </c>
      <c r="C29" s="261" t="s">
        <v>302</v>
      </c>
      <c r="D29" s="261" t="s">
        <v>294</v>
      </c>
      <c r="E29" s="262" t="s">
        <v>303</v>
      </c>
      <c r="F29" s="259"/>
    </row>
    <row r="30" spans="1:6" x14ac:dyDescent="0.3">
      <c r="A30" s="259"/>
      <c r="B30" s="260" t="s">
        <v>304</v>
      </c>
      <c r="C30" s="261" t="s">
        <v>302</v>
      </c>
      <c r="D30" s="261" t="s">
        <v>294</v>
      </c>
      <c r="E30" s="262" t="s">
        <v>305</v>
      </c>
      <c r="F30" s="259"/>
    </row>
    <row r="31" spans="1:6" x14ac:dyDescent="0.3">
      <c r="A31" s="259"/>
      <c r="B31" s="260" t="s">
        <v>306</v>
      </c>
      <c r="C31" s="261" t="s">
        <v>307</v>
      </c>
      <c r="D31" s="261" t="s">
        <v>294</v>
      </c>
      <c r="E31" s="262" t="s">
        <v>308</v>
      </c>
      <c r="F31" s="259"/>
    </row>
    <row r="32" spans="1:6" ht="26.4" x14ac:dyDescent="0.3">
      <c r="A32" s="259"/>
      <c r="B32" s="260" t="s">
        <v>309</v>
      </c>
      <c r="C32" s="261" t="s">
        <v>307</v>
      </c>
      <c r="D32" s="261" t="s">
        <v>294</v>
      </c>
      <c r="E32" s="262" t="s">
        <v>310</v>
      </c>
      <c r="F32" s="259"/>
    </row>
    <row r="33" spans="1:6" x14ac:dyDescent="0.3">
      <c r="A33" s="259"/>
      <c r="B33" s="260" t="s">
        <v>311</v>
      </c>
      <c r="C33" s="261" t="s">
        <v>302</v>
      </c>
      <c r="D33" s="261" t="s">
        <v>294</v>
      </c>
      <c r="E33" s="262" t="s">
        <v>312</v>
      </c>
      <c r="F33" s="259"/>
    </row>
    <row r="34" spans="1:6" x14ac:dyDescent="0.3">
      <c r="A34" s="259"/>
      <c r="B34" s="260" t="s">
        <v>313</v>
      </c>
      <c r="C34" s="261" t="s">
        <v>302</v>
      </c>
      <c r="D34" s="261" t="s">
        <v>294</v>
      </c>
      <c r="E34" s="262" t="s">
        <v>314</v>
      </c>
      <c r="F34" s="259"/>
    </row>
    <row r="35" spans="1:6" ht="26.4" x14ac:dyDescent="0.3">
      <c r="A35" s="259"/>
      <c r="B35" s="260" t="s">
        <v>315</v>
      </c>
      <c r="C35" s="261" t="s">
        <v>316</v>
      </c>
      <c r="D35" s="261" t="s">
        <v>294</v>
      </c>
      <c r="E35" s="262" t="s">
        <v>317</v>
      </c>
      <c r="F35" s="259"/>
    </row>
    <row r="36" spans="1:6" x14ac:dyDescent="0.3">
      <c r="A36" s="259"/>
      <c r="B36" s="260" t="s">
        <v>318</v>
      </c>
      <c r="C36" s="261" t="s">
        <v>307</v>
      </c>
      <c r="D36" s="261" t="s">
        <v>294</v>
      </c>
      <c r="E36" s="262" t="s">
        <v>319</v>
      </c>
      <c r="F36" s="259"/>
    </row>
    <row r="37" spans="1:6" x14ac:dyDescent="0.3">
      <c r="A37" s="259"/>
      <c r="B37" s="260"/>
      <c r="C37" s="261"/>
      <c r="D37" s="261"/>
      <c r="E37" s="262"/>
      <c r="F37" s="259"/>
    </row>
    <row r="38" spans="1:6" ht="19.95" customHeight="1" x14ac:dyDescent="0.3">
      <c r="A38" s="263"/>
      <c r="B38" s="263" t="s">
        <v>320</v>
      </c>
      <c r="C38" s="264"/>
      <c r="D38" s="264"/>
      <c r="E38" s="265"/>
      <c r="F38" s="263"/>
    </row>
    <row r="39" spans="1:6" ht="26.4" x14ac:dyDescent="0.3">
      <c r="A39" s="259"/>
      <c r="B39" s="260" t="s">
        <v>321</v>
      </c>
      <c r="C39" s="261" t="s">
        <v>293</v>
      </c>
      <c r="D39" s="261" t="s">
        <v>294</v>
      </c>
      <c r="E39" s="262" t="s">
        <v>322</v>
      </c>
      <c r="F39" s="259"/>
    </row>
    <row r="40" spans="1:6" ht="26.4" x14ac:dyDescent="0.3">
      <c r="A40" s="259"/>
      <c r="B40" s="260" t="s">
        <v>323</v>
      </c>
      <c r="C40" s="261" t="s">
        <v>297</v>
      </c>
      <c r="D40" s="261" t="s">
        <v>324</v>
      </c>
      <c r="E40" s="262" t="s">
        <v>325</v>
      </c>
      <c r="F40" s="259"/>
    </row>
    <row r="41" spans="1:6" x14ac:dyDescent="0.3">
      <c r="A41" s="259"/>
      <c r="B41" s="260" t="s">
        <v>326</v>
      </c>
      <c r="C41" s="261" t="s">
        <v>302</v>
      </c>
      <c r="D41" s="261" t="s">
        <v>324</v>
      </c>
      <c r="E41" s="262" t="s">
        <v>327</v>
      </c>
      <c r="F41" s="259"/>
    </row>
    <row r="42" spans="1:6" x14ac:dyDescent="0.3">
      <c r="A42" s="259"/>
      <c r="B42" s="260" t="s">
        <v>328</v>
      </c>
      <c r="C42" s="261" t="s">
        <v>302</v>
      </c>
      <c r="D42" s="261" t="s">
        <v>324</v>
      </c>
      <c r="E42" s="262" t="s">
        <v>329</v>
      </c>
      <c r="F42" s="259"/>
    </row>
    <row r="43" spans="1:6" x14ac:dyDescent="0.3">
      <c r="A43" s="259"/>
      <c r="B43" s="260" t="s">
        <v>330</v>
      </c>
      <c r="C43" s="261" t="s">
        <v>297</v>
      </c>
      <c r="D43" s="261" t="s">
        <v>324</v>
      </c>
      <c r="E43" s="262" t="s">
        <v>331</v>
      </c>
      <c r="F43" s="259"/>
    </row>
    <row r="44" spans="1:6" x14ac:dyDescent="0.3">
      <c r="A44" s="259"/>
      <c r="B44" s="260" t="s">
        <v>332</v>
      </c>
      <c r="C44" s="261" t="s">
        <v>302</v>
      </c>
      <c r="D44" s="261" t="s">
        <v>324</v>
      </c>
      <c r="E44" s="262" t="s">
        <v>333</v>
      </c>
      <c r="F44" s="259"/>
    </row>
    <row r="45" spans="1:6" x14ac:dyDescent="0.3">
      <c r="A45" s="259"/>
      <c r="B45" s="260" t="s">
        <v>334</v>
      </c>
      <c r="C45" s="261" t="s">
        <v>302</v>
      </c>
      <c r="D45" s="261" t="s">
        <v>324</v>
      </c>
      <c r="E45" s="262" t="s">
        <v>335</v>
      </c>
      <c r="F45" s="259"/>
    </row>
    <row r="46" spans="1:6" x14ac:dyDescent="0.3">
      <c r="A46" s="259"/>
      <c r="B46" s="260" t="s">
        <v>336</v>
      </c>
      <c r="C46" s="261" t="s">
        <v>337</v>
      </c>
      <c r="D46" s="261" t="s">
        <v>324</v>
      </c>
      <c r="E46" s="262" t="s">
        <v>338</v>
      </c>
      <c r="F46" s="259"/>
    </row>
    <row r="47" spans="1:6" x14ac:dyDescent="0.3">
      <c r="A47" s="259"/>
      <c r="B47" s="260" t="s">
        <v>339</v>
      </c>
      <c r="C47" s="261" t="s">
        <v>297</v>
      </c>
      <c r="D47" s="261" t="s">
        <v>324</v>
      </c>
      <c r="E47" s="262" t="s">
        <v>340</v>
      </c>
      <c r="F47" s="259"/>
    </row>
    <row r="48" spans="1:6" x14ac:dyDescent="0.3">
      <c r="A48" s="259"/>
      <c r="B48" s="260" t="s">
        <v>341</v>
      </c>
      <c r="C48" s="261" t="s">
        <v>342</v>
      </c>
      <c r="D48" s="261" t="s">
        <v>324</v>
      </c>
      <c r="E48" s="262" t="s">
        <v>343</v>
      </c>
      <c r="F48" s="259"/>
    </row>
    <row r="49" spans="1:6" x14ac:dyDescent="0.3">
      <c r="A49" s="259"/>
      <c r="B49" s="260"/>
      <c r="C49" s="261"/>
      <c r="D49" s="261"/>
      <c r="E49" s="262"/>
      <c r="F49" s="259"/>
    </row>
    <row r="50" spans="1:6" ht="19.95" customHeight="1" x14ac:dyDescent="0.3">
      <c r="A50" s="263"/>
      <c r="B50" s="263" t="s">
        <v>344</v>
      </c>
      <c r="C50" s="264"/>
      <c r="D50" s="264"/>
      <c r="E50" s="265"/>
      <c r="F50" s="263"/>
    </row>
    <row r="51" spans="1:6" ht="26.4" x14ac:dyDescent="0.3">
      <c r="A51" s="259"/>
      <c r="B51" s="260" t="s">
        <v>345</v>
      </c>
      <c r="C51" s="261" t="s">
        <v>346</v>
      </c>
      <c r="D51" s="261" t="s">
        <v>347</v>
      </c>
      <c r="E51" s="262" t="s">
        <v>348</v>
      </c>
      <c r="F51" s="259"/>
    </row>
    <row r="52" spans="1:6" x14ac:dyDescent="0.3">
      <c r="A52" s="259"/>
      <c r="B52" s="260"/>
      <c r="C52" s="261"/>
      <c r="D52" s="261"/>
      <c r="E52" s="262"/>
      <c r="F52" s="259"/>
    </row>
    <row r="53" spans="1:6" ht="19.95" customHeight="1" x14ac:dyDescent="0.3">
      <c r="A53" s="263"/>
      <c r="B53" s="263" t="s">
        <v>349</v>
      </c>
      <c r="C53" s="264"/>
      <c r="D53" s="264"/>
      <c r="E53" s="265"/>
      <c r="F53" s="263"/>
    </row>
    <row r="54" spans="1:6" ht="26.4" x14ac:dyDescent="0.3">
      <c r="A54" s="259"/>
      <c r="B54" s="260" t="s">
        <v>350</v>
      </c>
      <c r="C54" s="261" t="s">
        <v>346</v>
      </c>
      <c r="D54" s="261" t="s">
        <v>347</v>
      </c>
      <c r="E54" s="262" t="s">
        <v>351</v>
      </c>
      <c r="F54" s="259"/>
    </row>
    <row r="55" spans="1:6" x14ac:dyDescent="0.3">
      <c r="A55" s="259"/>
      <c r="B55" s="260"/>
      <c r="C55" s="261"/>
      <c r="D55" s="261"/>
      <c r="E55" s="262"/>
      <c r="F55" s="259"/>
    </row>
    <row r="56" spans="1:6" ht="19.95" customHeight="1" x14ac:dyDescent="0.3">
      <c r="A56" s="263"/>
      <c r="B56" s="263" t="s">
        <v>352</v>
      </c>
      <c r="C56" s="264"/>
      <c r="D56" s="264"/>
      <c r="E56" s="265"/>
      <c r="F56" s="263"/>
    </row>
    <row r="57" spans="1:6" ht="26.4" x14ac:dyDescent="0.3">
      <c r="A57" s="259"/>
      <c r="B57" s="260" t="s">
        <v>353</v>
      </c>
      <c r="C57" s="261" t="s">
        <v>346</v>
      </c>
      <c r="D57" s="261" t="s">
        <v>293</v>
      </c>
      <c r="E57" s="262" t="s">
        <v>354</v>
      </c>
      <c r="F57" s="259"/>
    </row>
    <row r="58" spans="1:6" x14ac:dyDescent="0.3">
      <c r="A58" s="259"/>
      <c r="B58" s="260"/>
      <c r="C58" s="261"/>
      <c r="D58" s="261"/>
      <c r="E58" s="262"/>
      <c r="F58" s="259"/>
    </row>
    <row r="59" spans="1:6" ht="19.95" customHeight="1" x14ac:dyDescent="0.3">
      <c r="A59" s="263"/>
      <c r="B59" s="263" t="s">
        <v>355</v>
      </c>
      <c r="C59" s="264"/>
      <c r="D59" s="264"/>
      <c r="E59" s="265"/>
      <c r="F59" s="263"/>
    </row>
    <row r="60" spans="1:6" ht="26.4" x14ac:dyDescent="0.3">
      <c r="A60" s="259"/>
      <c r="B60" s="260" t="s">
        <v>356</v>
      </c>
      <c r="C60" s="261" t="s">
        <v>346</v>
      </c>
      <c r="D60" s="261" t="s">
        <v>357</v>
      </c>
      <c r="E60" s="262" t="s">
        <v>358</v>
      </c>
      <c r="F60" s="259"/>
    </row>
    <row r="61" spans="1:6" x14ac:dyDescent="0.3">
      <c r="A61" s="259"/>
      <c r="B61" s="260"/>
      <c r="C61" s="261"/>
      <c r="D61" s="261"/>
      <c r="E61" s="262"/>
      <c r="F61" s="259"/>
    </row>
    <row r="62" spans="1:6" ht="24" customHeight="1" x14ac:dyDescent="0.3">
      <c r="A62" s="256"/>
      <c r="B62" s="256" t="s">
        <v>453</v>
      </c>
      <c r="C62" s="257" t="s">
        <v>359</v>
      </c>
      <c r="D62" s="257"/>
      <c r="E62" s="258" t="s">
        <v>454</v>
      </c>
      <c r="F62" s="256"/>
    </row>
    <row r="63" spans="1:6" ht="26.4" x14ac:dyDescent="0.3">
      <c r="A63" s="259"/>
      <c r="B63" s="260" t="s">
        <v>360</v>
      </c>
      <c r="C63" s="261" t="s">
        <v>361</v>
      </c>
      <c r="D63" s="261"/>
      <c r="E63" s="262" t="s">
        <v>362</v>
      </c>
      <c r="F63" s="259"/>
    </row>
    <row r="64" spans="1:6" ht="26.4" x14ac:dyDescent="0.3">
      <c r="A64" s="259"/>
      <c r="B64" s="260" t="s">
        <v>363</v>
      </c>
      <c r="C64" s="261" t="s">
        <v>364</v>
      </c>
      <c r="D64" s="261"/>
      <c r="E64" s="262" t="s">
        <v>365</v>
      </c>
      <c r="F64" s="259"/>
    </row>
    <row r="65" spans="1:6" ht="26.4" x14ac:dyDescent="0.3">
      <c r="A65" s="259"/>
      <c r="B65" s="260" t="s">
        <v>366</v>
      </c>
      <c r="C65" s="261" t="s">
        <v>367</v>
      </c>
      <c r="D65" s="261"/>
      <c r="E65" s="262" t="s">
        <v>368</v>
      </c>
      <c r="F65" s="259"/>
    </row>
    <row r="66" spans="1:6" x14ac:dyDescent="0.3">
      <c r="A66" s="259"/>
      <c r="B66" s="260" t="s">
        <v>79</v>
      </c>
      <c r="C66" s="261" t="s">
        <v>361</v>
      </c>
      <c r="D66" s="261"/>
      <c r="E66" s="262" t="s">
        <v>369</v>
      </c>
      <c r="F66" s="259"/>
    </row>
    <row r="67" spans="1:6" ht="26.4" x14ac:dyDescent="0.3">
      <c r="A67" s="259"/>
      <c r="B67" s="260" t="s">
        <v>370</v>
      </c>
      <c r="C67" s="261" t="s">
        <v>371</v>
      </c>
      <c r="D67" s="261"/>
      <c r="E67" s="262" t="s">
        <v>372</v>
      </c>
      <c r="F67" s="259"/>
    </row>
    <row r="68" spans="1:6" x14ac:dyDescent="0.3">
      <c r="A68" s="259"/>
      <c r="B68" s="260" t="s">
        <v>373</v>
      </c>
      <c r="C68" s="261" t="s">
        <v>171</v>
      </c>
      <c r="D68" s="261"/>
      <c r="E68" s="262" t="s">
        <v>374</v>
      </c>
      <c r="F68" s="259"/>
    </row>
    <row r="69" spans="1:6" ht="26.4" x14ac:dyDescent="0.3">
      <c r="A69" s="259"/>
      <c r="B69" s="260" t="s">
        <v>375</v>
      </c>
      <c r="C69" s="261" t="s">
        <v>361</v>
      </c>
      <c r="D69" s="261"/>
      <c r="E69" s="262" t="s">
        <v>376</v>
      </c>
      <c r="F69" s="259"/>
    </row>
    <row r="70" spans="1:6" x14ac:dyDescent="0.3">
      <c r="A70" s="259"/>
      <c r="B70" s="260" t="s">
        <v>377</v>
      </c>
      <c r="C70" s="261" t="s">
        <v>361</v>
      </c>
      <c r="D70" s="261"/>
      <c r="E70" s="262" t="s">
        <v>378</v>
      </c>
      <c r="F70" s="259"/>
    </row>
    <row r="71" spans="1:6" x14ac:dyDescent="0.3">
      <c r="A71" s="259"/>
      <c r="B71" s="260" t="s">
        <v>379</v>
      </c>
      <c r="C71" s="261" t="s">
        <v>171</v>
      </c>
      <c r="D71" s="261"/>
      <c r="E71" s="262" t="s">
        <v>380</v>
      </c>
      <c r="F71" s="259"/>
    </row>
    <row r="72" spans="1:6" x14ac:dyDescent="0.3">
      <c r="A72" s="259"/>
      <c r="B72" s="260" t="s">
        <v>381</v>
      </c>
      <c r="C72" s="261" t="s">
        <v>171</v>
      </c>
      <c r="D72" s="261"/>
      <c r="E72" s="262" t="s">
        <v>382</v>
      </c>
      <c r="F72" s="259"/>
    </row>
    <row r="73" spans="1:6" ht="39.6" x14ac:dyDescent="0.3">
      <c r="A73" s="259"/>
      <c r="B73" s="260" t="s">
        <v>383</v>
      </c>
      <c r="C73" s="261" t="s">
        <v>268</v>
      </c>
      <c r="D73" s="261"/>
      <c r="E73" s="262" t="s">
        <v>384</v>
      </c>
      <c r="F73" s="259"/>
    </row>
    <row r="74" spans="1:6" ht="26.4" x14ac:dyDescent="0.3">
      <c r="A74" s="259"/>
      <c r="B74" s="260" t="s">
        <v>385</v>
      </c>
      <c r="C74" s="261" t="s">
        <v>268</v>
      </c>
      <c r="D74" s="261"/>
      <c r="E74" s="262" t="s">
        <v>386</v>
      </c>
      <c r="F74" s="259"/>
    </row>
    <row r="75" spans="1:6" ht="26.4" x14ac:dyDescent="0.3">
      <c r="A75" s="259"/>
      <c r="B75" s="260" t="s">
        <v>387</v>
      </c>
      <c r="C75" s="261" t="s">
        <v>371</v>
      </c>
      <c r="D75" s="261"/>
      <c r="E75" s="262" t="s">
        <v>388</v>
      </c>
      <c r="F75" s="259"/>
    </row>
    <row r="76" spans="1:6" ht="26.4" x14ac:dyDescent="0.3">
      <c r="A76" s="259"/>
      <c r="B76" s="260" t="s">
        <v>389</v>
      </c>
      <c r="C76" s="261" t="s">
        <v>371</v>
      </c>
      <c r="D76" s="261"/>
      <c r="E76" s="262" t="s">
        <v>390</v>
      </c>
      <c r="F76" s="259"/>
    </row>
    <row r="77" spans="1:6" ht="26.4" x14ac:dyDescent="0.3">
      <c r="A77" s="259"/>
      <c r="B77" s="260" t="s">
        <v>391</v>
      </c>
      <c r="C77" s="261" t="s">
        <v>392</v>
      </c>
      <c r="D77" s="261"/>
      <c r="E77" s="262" t="s">
        <v>393</v>
      </c>
      <c r="F77" s="259"/>
    </row>
    <row r="78" spans="1:6" x14ac:dyDescent="0.3">
      <c r="A78" s="259"/>
      <c r="B78" s="260" t="s">
        <v>394</v>
      </c>
      <c r="C78" s="261" t="s">
        <v>371</v>
      </c>
      <c r="D78" s="261"/>
      <c r="E78" s="262" t="s">
        <v>395</v>
      </c>
      <c r="F78" s="259"/>
    </row>
    <row r="79" spans="1:6" ht="39.6" x14ac:dyDescent="0.3">
      <c r="A79" s="259"/>
      <c r="B79" s="260" t="s">
        <v>396</v>
      </c>
      <c r="C79" s="261" t="s">
        <v>271</v>
      </c>
      <c r="D79" s="261"/>
      <c r="E79" s="262" t="s">
        <v>397</v>
      </c>
      <c r="F79" s="259"/>
    </row>
    <row r="80" spans="1:6" ht="26.4" x14ac:dyDescent="0.3">
      <c r="A80" s="259"/>
      <c r="B80" s="260" t="s">
        <v>398</v>
      </c>
      <c r="C80" s="261" t="s">
        <v>271</v>
      </c>
      <c r="D80" s="261"/>
      <c r="E80" s="262" t="s">
        <v>399</v>
      </c>
      <c r="F80" s="259"/>
    </row>
    <row r="81" spans="1:6" x14ac:dyDescent="0.3">
      <c r="A81" s="259"/>
      <c r="B81" s="260" t="s">
        <v>400</v>
      </c>
      <c r="C81" s="261" t="s">
        <v>271</v>
      </c>
      <c r="D81" s="261"/>
      <c r="E81" s="262" t="s">
        <v>401</v>
      </c>
      <c r="F81" s="259"/>
    </row>
    <row r="82" spans="1:6" ht="26.4" x14ac:dyDescent="0.3">
      <c r="A82" s="259"/>
      <c r="B82" s="260" t="s">
        <v>402</v>
      </c>
      <c r="C82" s="261" t="s">
        <v>188</v>
      </c>
      <c r="D82" s="261"/>
      <c r="E82" s="262" t="s">
        <v>403</v>
      </c>
      <c r="F82" s="259"/>
    </row>
    <row r="83" spans="1:6" ht="26.4" x14ac:dyDescent="0.3">
      <c r="A83" s="259"/>
      <c r="B83" s="260" t="s">
        <v>404</v>
      </c>
      <c r="C83" s="261" t="s">
        <v>188</v>
      </c>
      <c r="D83" s="261"/>
      <c r="E83" s="262" t="s">
        <v>405</v>
      </c>
      <c r="F83" s="259"/>
    </row>
    <row r="84" spans="1:6" x14ac:dyDescent="0.3">
      <c r="A84" s="259"/>
      <c r="B84" s="260"/>
      <c r="C84" s="261"/>
      <c r="D84" s="261"/>
      <c r="E84" s="262"/>
      <c r="F84" s="259"/>
    </row>
    <row r="85" spans="1:6" ht="24" customHeight="1" x14ac:dyDescent="0.3">
      <c r="A85" s="256"/>
      <c r="B85" s="256" t="s">
        <v>406</v>
      </c>
      <c r="C85" s="257"/>
      <c r="D85" s="257"/>
      <c r="E85" s="258" t="s">
        <v>455</v>
      </c>
      <c r="F85" s="256"/>
    </row>
    <row r="86" spans="1:6" ht="39.6" x14ac:dyDescent="0.3">
      <c r="A86" s="259"/>
      <c r="B86" s="260" t="s">
        <v>407</v>
      </c>
      <c r="C86" s="261"/>
      <c r="D86" s="261"/>
      <c r="E86" s="262" t="s">
        <v>408</v>
      </c>
      <c r="F86" s="259"/>
    </row>
    <row r="87" spans="1:6" ht="26.4" x14ac:dyDescent="0.3">
      <c r="A87" s="259"/>
      <c r="B87" s="260" t="s">
        <v>409</v>
      </c>
      <c r="C87" s="261"/>
      <c r="D87" s="261"/>
      <c r="E87" s="262" t="s">
        <v>410</v>
      </c>
      <c r="F87" s="259"/>
    </row>
    <row r="88" spans="1:6" ht="26.4" x14ac:dyDescent="0.3">
      <c r="A88" s="259"/>
      <c r="B88" s="260" t="s">
        <v>411</v>
      </c>
      <c r="C88" s="261"/>
      <c r="D88" s="261"/>
      <c r="E88" s="262" t="s">
        <v>412</v>
      </c>
      <c r="F88" s="259"/>
    </row>
    <row r="89" spans="1:6" ht="26.4" x14ac:dyDescent="0.3">
      <c r="A89" s="259"/>
      <c r="B89" s="260" t="s">
        <v>413</v>
      </c>
      <c r="C89" s="261"/>
      <c r="D89" s="261"/>
      <c r="E89" s="262" t="s">
        <v>414</v>
      </c>
      <c r="F89" s="259"/>
    </row>
    <row r="90" spans="1:6" x14ac:dyDescent="0.3">
      <c r="A90" s="259"/>
      <c r="B90" s="260" t="s">
        <v>415</v>
      </c>
      <c r="C90" s="261"/>
      <c r="D90" s="261"/>
      <c r="E90" s="262" t="s">
        <v>416</v>
      </c>
      <c r="F90" s="259"/>
    </row>
    <row r="91" spans="1:6" ht="39.6" x14ac:dyDescent="0.3">
      <c r="A91" s="259"/>
      <c r="B91" s="260" t="s">
        <v>417</v>
      </c>
      <c r="C91" s="261"/>
      <c r="D91" s="261"/>
      <c r="E91" s="262" t="s">
        <v>456</v>
      </c>
      <c r="F91" s="259"/>
    </row>
    <row r="92" spans="1:6" x14ac:dyDescent="0.3">
      <c r="A92" s="259"/>
      <c r="B92" s="260"/>
      <c r="C92" s="261"/>
      <c r="D92" s="261"/>
      <c r="E92" s="262"/>
      <c r="F92" s="259"/>
    </row>
    <row r="93" spans="1:6" ht="24" customHeight="1" x14ac:dyDescent="0.3">
      <c r="A93" s="256"/>
      <c r="B93" s="256" t="s">
        <v>418</v>
      </c>
      <c r="C93" s="257"/>
      <c r="D93" s="257"/>
      <c r="E93" s="258"/>
      <c r="F93" s="256"/>
    </row>
    <row r="94" spans="1:6" x14ac:dyDescent="0.3">
      <c r="A94" s="259"/>
      <c r="B94" s="260" t="s">
        <v>419</v>
      </c>
      <c r="C94" s="261"/>
      <c r="D94" s="261"/>
      <c r="E94" s="262" t="s">
        <v>420</v>
      </c>
      <c r="F94" s="259"/>
    </row>
    <row r="95" spans="1:6" x14ac:dyDescent="0.3">
      <c r="A95" s="259"/>
      <c r="B95" s="260" t="s">
        <v>421</v>
      </c>
      <c r="C95" s="261"/>
      <c r="D95" s="261"/>
      <c r="E95" s="262" t="s">
        <v>422</v>
      </c>
      <c r="F95" s="259"/>
    </row>
    <row r="96" spans="1:6" x14ac:dyDescent="0.3">
      <c r="A96" s="259"/>
      <c r="B96" s="260" t="s">
        <v>423</v>
      </c>
      <c r="C96" s="261"/>
      <c r="D96" s="261"/>
      <c r="E96" s="262" t="s">
        <v>424</v>
      </c>
      <c r="F96" s="259"/>
    </row>
    <row r="97" spans="1:6" ht="26.4" x14ac:dyDescent="0.3">
      <c r="A97" s="259"/>
      <c r="B97" s="260" t="s">
        <v>425</v>
      </c>
      <c r="C97" s="261"/>
      <c r="D97" s="261"/>
      <c r="E97" s="262" t="s">
        <v>426</v>
      </c>
      <c r="F97" s="259"/>
    </row>
    <row r="98" spans="1:6" x14ac:dyDescent="0.3">
      <c r="A98" s="259"/>
      <c r="B98" s="260"/>
      <c r="C98" s="261"/>
      <c r="D98" s="261"/>
      <c r="E98" s="262"/>
      <c r="F98" s="259"/>
    </row>
    <row r="99" spans="1:6" ht="24" customHeight="1" x14ac:dyDescent="0.3">
      <c r="A99" s="256"/>
      <c r="B99" s="256" t="s">
        <v>427</v>
      </c>
      <c r="C99" s="257"/>
      <c r="D99" s="257"/>
      <c r="E99" s="258"/>
      <c r="F99" s="256"/>
    </row>
    <row r="100" spans="1:6" ht="26.4" x14ac:dyDescent="0.3">
      <c r="A100" s="259"/>
      <c r="B100" s="260" t="s">
        <v>428</v>
      </c>
      <c r="C100" s="261"/>
      <c r="D100" s="261"/>
      <c r="E100" s="262" t="s">
        <v>429</v>
      </c>
      <c r="F100" s="259"/>
    </row>
    <row r="101" spans="1:6" ht="26.4" x14ac:dyDescent="0.3">
      <c r="A101" s="259"/>
      <c r="B101" s="260" t="s">
        <v>430</v>
      </c>
      <c r="C101" s="261"/>
      <c r="D101" s="261"/>
      <c r="E101" s="262" t="s">
        <v>431</v>
      </c>
      <c r="F101" s="259"/>
    </row>
    <row r="102" spans="1:6" ht="26.4" x14ac:dyDescent="0.3">
      <c r="A102" s="259"/>
      <c r="B102" s="260" t="s">
        <v>432</v>
      </c>
      <c r="C102" s="261"/>
      <c r="D102" s="261"/>
      <c r="E102" s="262" t="s">
        <v>433</v>
      </c>
      <c r="F102" s="259"/>
    </row>
    <row r="103" spans="1:6" ht="26.4" x14ac:dyDescent="0.3">
      <c r="A103" s="259"/>
      <c r="B103" s="260" t="s">
        <v>434</v>
      </c>
      <c r="C103" s="261"/>
      <c r="D103" s="261"/>
      <c r="E103" s="262" t="s">
        <v>435</v>
      </c>
      <c r="F103" s="259"/>
    </row>
    <row r="104" spans="1:6" ht="26.4" x14ac:dyDescent="0.3">
      <c r="A104" s="259"/>
      <c r="B104" s="260" t="s">
        <v>436</v>
      </c>
      <c r="C104" s="261"/>
      <c r="D104" s="261"/>
      <c r="E104" s="262" t="s">
        <v>437</v>
      </c>
      <c r="F104" s="259"/>
    </row>
    <row r="105" spans="1:6" ht="26.4" x14ac:dyDescent="0.3">
      <c r="A105" s="259"/>
      <c r="B105" s="260" t="s">
        <v>438</v>
      </c>
      <c r="C105" s="261"/>
      <c r="D105" s="261"/>
      <c r="E105" s="262" t="s">
        <v>439</v>
      </c>
      <c r="F105" s="259"/>
    </row>
    <row r="106" spans="1:6" x14ac:dyDescent="0.3">
      <c r="A106" s="259"/>
      <c r="B106" s="260"/>
      <c r="C106" s="261"/>
      <c r="D106" s="261"/>
      <c r="E106" s="262"/>
      <c r="F106" s="259"/>
    </row>
    <row r="107" spans="1:6" ht="24" customHeight="1" x14ac:dyDescent="0.3">
      <c r="A107" s="256"/>
      <c r="B107" s="256" t="s">
        <v>440</v>
      </c>
      <c r="C107" s="257"/>
      <c r="D107" s="257"/>
      <c r="E107" s="258"/>
      <c r="F107" s="256"/>
    </row>
    <row r="108" spans="1:6" ht="26.4" x14ac:dyDescent="0.3">
      <c r="A108" s="259"/>
      <c r="B108" s="260" t="s">
        <v>441</v>
      </c>
      <c r="C108" s="261"/>
      <c r="D108" s="261"/>
      <c r="E108" s="262" t="s">
        <v>442</v>
      </c>
      <c r="F108" s="259"/>
    </row>
    <row r="109" spans="1:6" x14ac:dyDescent="0.3">
      <c r="A109" s="259"/>
      <c r="B109" s="260" t="s">
        <v>443</v>
      </c>
      <c r="C109" s="261"/>
      <c r="D109" s="261"/>
      <c r="E109" s="262" t="s">
        <v>444</v>
      </c>
      <c r="F109" s="259"/>
    </row>
    <row r="110" spans="1:6" ht="26.4" x14ac:dyDescent="0.3">
      <c r="A110" s="259"/>
      <c r="B110" s="260" t="s">
        <v>445</v>
      </c>
      <c r="C110" s="261"/>
      <c r="D110" s="261"/>
      <c r="E110" s="262" t="s">
        <v>446</v>
      </c>
      <c r="F110" s="259"/>
    </row>
    <row r="111" spans="1:6" ht="39.6" x14ac:dyDescent="0.3">
      <c r="A111" s="259"/>
      <c r="B111" s="260" t="s">
        <v>447</v>
      </c>
      <c r="C111" s="261"/>
      <c r="D111" s="261"/>
      <c r="E111" s="262" t="s">
        <v>448</v>
      </c>
      <c r="F111" s="259"/>
    </row>
    <row r="112" spans="1:6" ht="39.6" x14ac:dyDescent="0.3">
      <c r="A112" s="259"/>
      <c r="B112" s="260" t="s">
        <v>449</v>
      </c>
      <c r="C112" s="261"/>
      <c r="D112" s="261"/>
      <c r="E112" s="262" t="s">
        <v>450</v>
      </c>
      <c r="F112" s="259"/>
    </row>
    <row r="113" spans="1:6" x14ac:dyDescent="0.3">
      <c r="A113" s="3"/>
      <c r="B113" s="3"/>
      <c r="C113" s="3"/>
      <c r="D113" s="3"/>
      <c r="E113" s="3"/>
      <c r="F113" s="3"/>
    </row>
    <row r="114" spans="1:6" x14ac:dyDescent="0.3">
      <c r="A114" s="3"/>
      <c r="B114" s="3"/>
      <c r="C114" s="3"/>
      <c r="D114" s="3"/>
      <c r="E114" s="3"/>
      <c r="F114" s="3"/>
    </row>
    <row r="115" spans="1:6" x14ac:dyDescent="0.3">
      <c r="A115" s="3"/>
      <c r="B115" s="3"/>
      <c r="C115" s="3"/>
      <c r="D115" s="3"/>
      <c r="E115" s="3"/>
      <c r="F115" s="3"/>
    </row>
    <row r="116" spans="1:6" x14ac:dyDescent="0.3">
      <c r="A116" s="3"/>
      <c r="B116" s="3"/>
      <c r="C116" s="3"/>
      <c r="D116" s="3"/>
      <c r="E116" s="3"/>
      <c r="F116" s="3"/>
    </row>
    <row r="117" spans="1:6" x14ac:dyDescent="0.3">
      <c r="A117" s="3"/>
      <c r="B117" s="3"/>
      <c r="C117" s="3"/>
      <c r="D117" s="3"/>
      <c r="E117" s="3"/>
      <c r="F117" s="3"/>
    </row>
    <row r="118" spans="1:6" x14ac:dyDescent="0.3">
      <c r="A118" s="3"/>
      <c r="B118" s="3"/>
      <c r="C118" s="3"/>
      <c r="D118" s="3"/>
      <c r="E118" s="3"/>
      <c r="F118" s="3"/>
    </row>
    <row r="119" spans="1:6" x14ac:dyDescent="0.3">
      <c r="A119" s="3"/>
      <c r="B119" s="3"/>
      <c r="C119" s="3"/>
      <c r="D119" s="3"/>
      <c r="E119" s="3"/>
      <c r="F119" s="3"/>
    </row>
    <row r="120" spans="1:6" x14ac:dyDescent="0.3">
      <c r="A120" s="3"/>
      <c r="B120" s="3"/>
      <c r="C120" s="3"/>
      <c r="D120" s="3"/>
      <c r="E120" s="3"/>
      <c r="F120" s="3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Read Me</vt:lpstr>
      <vt:lpstr>Dashboard</vt:lpstr>
      <vt:lpstr>Settings</vt:lpstr>
      <vt:lpstr>Daily Tracking</vt:lpstr>
      <vt:lpstr>Meal &amp; Workout Log</vt:lpstr>
      <vt:lpstr>Weekly Analysis</vt:lpstr>
      <vt:lpstr>Monthly Analysis</vt:lpstr>
      <vt:lpstr>Body Measurements</vt:lpstr>
      <vt:lpstr>Goal Planner</vt:lpstr>
      <vt:lpstr>Milestones</vt:lpstr>
      <vt:lpstr>Habit Tracker</vt:lpstr>
      <vt:lpstr>App Spec</vt:lpstr>
      <vt:lpstr>'Meal &amp; Workout Log'!Print_Area</vt:lpstr>
      <vt:lpstr>Milestones!Print_Area</vt:lpstr>
      <vt:lpstr>'Body Measurements'!Print_Titles</vt:lpstr>
      <vt:lpstr>'Daily Tracking'!Print_Titles</vt:lpstr>
      <vt:lpstr>'Habit Tracker'!Print_Titles</vt:lpstr>
      <vt:lpstr>'Meal &amp; Workout Log'!Print_Titles</vt:lpstr>
      <vt:lpstr>'Monthly Analysis'!Print_Titles</vt:lpstr>
      <vt:lpstr>'Weekly Analysis'!Print_Titles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midou midou</cp:lastModifiedBy>
  <cp:revision>1</cp:revision>
  <dcterms:created xsi:type="dcterms:W3CDTF">2026-06-11T20:39:20Z</dcterms:created>
  <dcterms:modified xsi:type="dcterms:W3CDTF">2026-09-13T16:05:08Z</dcterms:modified>
  <dc:language>en-US</dc:language>
</cp:coreProperties>
</file>